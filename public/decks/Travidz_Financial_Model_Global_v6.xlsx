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496" windowHeight="15675" tabRatio="600" firstSheet="2" activeTab="8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global_viral_summary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annel_cac" sheetId="5" state="visible" r:id="rId5"/>
    <sheet xmlns:r="http://schemas.openxmlformats.org/officeDocument/2006/relationships" name="headcount_uk" sheetId="6" state="visible" r:id="rId6"/>
    <sheet xmlns:r="http://schemas.openxmlformats.org/officeDocument/2006/relationships" name="creator_cohorts" sheetId="7" state="visible" r:id="rId7"/>
    <sheet xmlns:r="http://schemas.openxmlformats.org/officeDocument/2006/relationships" name="operator_supply" sheetId="8" state="visible" r:id="rId8"/>
    <sheet xmlns:r="http://schemas.openxmlformats.org/officeDocument/2006/relationships" name="combined_pnl_cash" sheetId="9" state="visible" r:id="rId9"/>
  </sheets>
  <definedNames>
    <definedName name="scenario_idx">MATCH(summary_dashboard!$B$2,{"Base","Bear","Bull","Global Viral"},0)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\£#,##0;\(\£#,##0\);\-"/>
    <numFmt numFmtId="166" formatCode="0.0%"/>
    <numFmt numFmtId="167" formatCode="\£#,##0"/>
    <numFmt numFmtId="168" formatCode="£#,##0"/>
  </numFmts>
  <fonts count="1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b val="1"/>
      <color rgb="FF1F3864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color rgb="FF006100"/>
      <sz val="10"/>
    </font>
    <font>
      <name val="Arial"/>
      <b val="1"/>
      <color rgb="FF000000"/>
      <sz val="10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color rgb="FFFFFFFF"/>
      <sz val="14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7C3AED"/>
      <sz val="11"/>
    </font>
    <font>
      <i val="1"/>
      <color rgb="006B728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7C3AED"/>
      </patternFill>
    </fill>
    <fill>
      <patternFill patternType="solid">
        <fgColor rgb="FFEDE9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8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0" borderId="0" pivotButton="0" quotePrefix="0" xfId="0"/>
    <xf numFmtId="164" fontId="7" fillId="6" borderId="0" pivotButton="0" quotePrefix="0" xfId="0"/>
    <xf numFmtId="165" fontId="7" fillId="6" borderId="0" pivotButton="0" quotePrefix="0" xfId="0"/>
    <xf numFmtId="10" fontId="7" fillId="6" borderId="0" pivotButton="0" quotePrefix="0" xfId="0"/>
    <xf numFmtId="166" fontId="7" fillId="6" borderId="0" pivotButton="0" quotePrefix="0" xfId="0"/>
    <xf numFmtId="49" fontId="7" fillId="6" borderId="0" pivotButton="0" quotePrefix="0" xfId="0"/>
    <xf numFmtId="0" fontId="3" fillId="4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165" fontId="5" fillId="0" borderId="0" pivotButton="0" quotePrefix="0" xfId="0"/>
    <xf numFmtId="10" fontId="6" fillId="0" borderId="0" pivotButton="0" quotePrefix="0" xfId="0"/>
    <xf numFmtId="10" fontId="7" fillId="0" borderId="0" pivotButton="0" quotePrefix="0" xfId="0"/>
    <xf numFmtId="1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2" fontId="6" fillId="0" borderId="0" pivotButton="0" quotePrefix="0" xfId="0"/>
    <xf numFmtId="2" fontId="7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0" fontId="8" fillId="5" borderId="0" pivotButton="0" quotePrefix="0" xfId="0"/>
    <xf numFmtId="166" fontId="8" fillId="5" borderId="0" pivotButton="0" quotePrefix="0" xfId="0"/>
    <xf numFmtId="0" fontId="0" fillId="5" borderId="0" pivotButton="0" quotePrefix="0" xfId="0"/>
    <xf numFmtId="165" fontId="8" fillId="5" borderId="0" pivotButton="0" quotePrefix="0" xfId="0"/>
    <xf numFmtId="164" fontId="8" fillId="5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8" fillId="3" borderId="0" pivotButton="0" quotePrefix="0" xfId="0"/>
    <xf numFmtId="164" fontId="8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165" fontId="8" fillId="0" borderId="0" pivotButton="0" quotePrefix="0" xfId="0"/>
    <xf numFmtId="166" fontId="5" fillId="0" borderId="0" pivotButton="0" quotePrefix="0" xfId="0"/>
    <xf numFmtId="165" fontId="8" fillId="6" borderId="0" pivotButton="0" quotePrefix="0" xfId="0"/>
    <xf numFmtId="0" fontId="8" fillId="0" borderId="0" applyAlignment="1" pivotButton="0" quotePrefix="0" xfId="0">
      <alignment horizontal="center" vertical="center"/>
    </xf>
    <xf numFmtId="164" fontId="8" fillId="6" borderId="0" pivotButton="0" quotePrefix="0" xfId="0"/>
    <xf numFmtId="0" fontId="13" fillId="8" borderId="0" applyAlignment="1" pivotButton="0" quotePrefix="0" xfId="0">
      <alignment horizontal="center"/>
    </xf>
    <xf numFmtId="0" fontId="14" fillId="0" borderId="0" pivotButton="0" quotePrefix="0" xfId="0"/>
    <xf numFmtId="1" fontId="0" fillId="0" borderId="0" pivotButton="0" quotePrefix="0" xfId="0"/>
    <xf numFmtId="0" fontId="15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14" fillId="9" borderId="0" pivotButton="0" quotePrefix="0" xfId="0"/>
    <xf numFmtId="0" fontId="0" fillId="9" borderId="0" pivotButton="0" quotePrefix="0" xfId="0"/>
    <xf numFmtId="167" fontId="14" fillId="9" borderId="0" pivotButton="0" quotePrefix="0" xfId="0"/>
    <xf numFmtId="0" fontId="9" fillId="8" borderId="0" pivotButton="0" quotePrefix="0" xfId="0"/>
    <xf numFmtId="0" fontId="10" fillId="0" borderId="0" applyAlignment="1" pivotButton="0" quotePrefix="0" xfId="0">
      <alignment horizontal="right"/>
    </xf>
    <xf numFmtId="0" fontId="1" fillId="2" borderId="0" pivotButton="0" quotePrefix="0" xfId="0"/>
    <xf numFmtId="0" fontId="0" fillId="0" borderId="0" pivotButton="0" quotePrefix="0" xfId="0"/>
    <xf numFmtId="0" fontId="4" fillId="3" borderId="0" pivotButton="0" quotePrefix="0" xfId="0"/>
    <xf numFmtId="0" fontId="13" fillId="8" borderId="0" pivotButton="0" quotePrefix="0" xfId="0"/>
    <xf numFmtId="0" fontId="12" fillId="0" borderId="0" pivotButton="0" quotePrefix="0" xfId="0"/>
    <xf numFmtId="0" fontId="11" fillId="8" borderId="0" pivotButton="0" quotePrefix="0" xfId="0"/>
    <xf numFmtId="0" fontId="2" fillId="0" borderId="0" pivotButton="0" quotePrefix="0" xfId="0"/>
    <xf numFmtId="168" fontId="6" fillId="0" borderId="0" pivotButton="0" quotePrefix="0" xfId="0"/>
    <xf numFmtId="168" fontId="0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GBV (£)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creator_cohorts!$B$3:$BI$3</f>
              <strCache>
                <ptCount val="60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  <pt idx="18">
                  <v>M19</v>
                </pt>
                <pt idx="19">
                  <v>M20</v>
                </pt>
                <pt idx="20">
                  <v>M21</v>
                </pt>
                <pt idx="21">
                  <v>M22</v>
                </pt>
                <pt idx="22">
                  <v>M23</v>
                </pt>
                <pt idx="23">
                  <v>M24</v>
                </pt>
                <pt idx="24">
                  <v>M25</v>
                </pt>
                <pt idx="25">
                  <v>M26</v>
                </pt>
                <pt idx="26">
                  <v>M27</v>
                </pt>
                <pt idx="27">
                  <v>M28</v>
                </pt>
                <pt idx="28">
                  <v>M29</v>
                </pt>
                <pt idx="29">
                  <v>M30</v>
                </pt>
                <pt idx="30">
                  <v>M31</v>
                </pt>
                <pt idx="31">
                  <v>M32</v>
                </pt>
                <pt idx="32">
                  <v>M33</v>
                </pt>
                <pt idx="33">
                  <v>M34</v>
                </pt>
                <pt idx="34">
                  <v>M35</v>
                </pt>
                <pt idx="35">
                  <v>M36</v>
                </pt>
                <pt idx="36">
                  <v>M37</v>
                </pt>
                <pt idx="37">
                  <v>M38</v>
                </pt>
                <pt idx="38">
                  <v>M39</v>
                </pt>
                <pt idx="39">
                  <v>M40</v>
                </pt>
                <pt idx="40">
                  <v>M41</v>
                </pt>
                <pt idx="41">
                  <v>M42</v>
                </pt>
                <pt idx="42">
                  <v>M43</v>
                </pt>
                <pt idx="43">
                  <v>M44</v>
                </pt>
                <pt idx="44">
                  <v>M45</v>
                </pt>
                <pt idx="45">
                  <v>M46</v>
                </pt>
                <pt idx="46">
                  <v>M47</v>
                </pt>
                <pt idx="47">
                  <v>M48</v>
                </pt>
                <pt idx="48">
                  <v>M49</v>
                </pt>
                <pt idx="49">
                  <v>M50</v>
                </pt>
                <pt idx="50">
                  <v>M51</v>
                </pt>
                <pt idx="51">
                  <v>M52</v>
                </pt>
                <pt idx="52">
                  <v>M53</v>
                </pt>
                <pt idx="53">
                  <v>M54</v>
                </pt>
                <pt idx="54">
                  <v>M55</v>
                </pt>
                <pt idx="55">
                  <v>M56</v>
                </pt>
                <pt idx="56">
                  <v>M57</v>
                </pt>
                <pt idx="57">
                  <v>M58</v>
                </pt>
                <pt idx="58">
                  <v>M59</v>
                </pt>
                <pt idx="59">
                  <v>M60</v>
                </pt>
              </strCache>
            </strRef>
          </cat>
          <val>
            <numRef>
              <f>creator_cohorts!$B$11:$BI$11</f>
              <numCache>
                <formatCode>\£#,##0;\(\£#,##0\);\-</formatCode>
                <ptCount val="60"/>
                <pt idx="0">
                  <v>21000</v>
                </pt>
                <pt idx="1">
                  <v>45272.72727272728</v>
                </pt>
                <pt idx="2">
                  <v>73863.63636363635</v>
                </pt>
                <pt idx="3">
                  <v>106272.7272727273</v>
                </pt>
                <pt idx="4">
                  <v>141818.1818181818</v>
                </pt>
                <pt idx="5">
                  <v>181818.1818181818</v>
                </pt>
                <pt idx="6">
                  <v>225636.3636363636</v>
                </pt>
                <pt idx="7">
                  <v>272454.5454545455</v>
                </pt>
                <pt idx="8">
                  <v>323863.6363636364</v>
                </pt>
                <pt idx="9">
                  <v>379090.9090909091</v>
                </pt>
                <pt idx="10">
                  <v>437181.8181818182</v>
                </pt>
                <pt idx="11">
                  <v>500000</v>
                </pt>
                <pt idx="12">
                  <v>668966.6666666666</v>
                </pt>
                <pt idx="13">
                  <v>844233.3333333333</v>
                </pt>
                <pt idx="14">
                  <v>1023750</v>
                </pt>
                <pt idx="15">
                  <v>1208533.333333333</v>
                </pt>
                <pt idx="16">
                  <v>1399666.666666667</v>
                </pt>
                <pt idx="17">
                  <v>1595000</v>
                </pt>
                <pt idx="18">
                  <v>1795600</v>
                </pt>
                <pt idx="19">
                  <v>2002600</v>
                </pt>
                <pt idx="20">
                  <v>2213750</v>
                </pt>
                <pt idx="21">
                  <v>2430166.666666667</v>
                </pt>
                <pt idx="22">
                  <v>2653033.333333333</v>
                </pt>
                <pt idx="23">
                  <v>2880000</v>
                </pt>
                <pt idx="24">
                  <v>3354987.5</v>
                </pt>
                <pt idx="25">
                  <v>3837925</v>
                </pt>
                <pt idx="26">
                  <v>4331250</v>
                </pt>
                <pt idx="27">
                  <v>4833750</v>
                </pt>
                <pt idx="28">
                  <v>5344162.5</v>
                </pt>
                <pt idx="29">
                  <v>5865000</v>
                </pt>
                <pt idx="30">
                  <v>6395012.5</v>
                </pt>
                <pt idx="31">
                  <v>6932900</v>
                </pt>
                <pt idx="32">
                  <v>7481250</v>
                </pt>
                <pt idx="33">
                  <v>8038775</v>
                </pt>
                <pt idx="34">
                  <v>8604137.5</v>
                </pt>
                <pt idx="35">
                  <v>9180000</v>
                </pt>
                <pt idx="36">
                  <v>10051666.66666667</v>
                </pt>
                <pt idx="37">
                  <v>10933333.33333333</v>
                </pt>
                <pt idx="38">
                  <v>11825000</v>
                </pt>
                <pt idx="39">
                  <v>12726666.66666667</v>
                </pt>
                <pt idx="40">
                  <v>13638333.33333333</v>
                </pt>
                <pt idx="41">
                  <v>14560000</v>
                </pt>
                <pt idx="42">
                  <v>15491666.66666667</v>
                </pt>
                <pt idx="43">
                  <v>16433333.33333333</v>
                </pt>
                <pt idx="44">
                  <v>17385000</v>
                </pt>
                <pt idx="45">
                  <v>18346666.66666666</v>
                </pt>
                <pt idx="46">
                  <v>19318333.33333334</v>
                </pt>
                <pt idx="47">
                  <v>20300000</v>
                </pt>
                <pt idx="48">
                  <v>21619097.5</v>
                </pt>
                <pt idx="49">
                  <v>22952155</v>
                </pt>
                <pt idx="50">
                  <v>24296250</v>
                </pt>
                <pt idx="51">
                  <v>25652840</v>
                </pt>
                <pt idx="52">
                  <v>27023412.5</v>
                </pt>
                <pt idx="53">
                  <v>28405000</v>
                </pt>
                <pt idx="54">
                  <v>29799082.5</v>
                </pt>
                <pt idx="55">
                  <v>31207170</v>
                </pt>
                <pt idx="56">
                  <v>32626250</v>
                </pt>
                <pt idx="57">
                  <v>34057825</v>
                </pt>
                <pt idx="58">
                  <v>35503427.5</v>
                </pt>
                <pt idx="59">
                  <v>36960000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GBV £</a:t>
                </a:r>
              </a:p>
            </rich>
          </tx>
          <overlay val="1"/>
        </title>
        <numFmt formatCode="\£#,##0;\(\£#,##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Closing cash balance (£)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creator_cohorts!$B$3:$BI$3</f>
              <strCache>
                <ptCount val="60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  <pt idx="18">
                  <v>M19</v>
                </pt>
                <pt idx="19">
                  <v>M20</v>
                </pt>
                <pt idx="20">
                  <v>M21</v>
                </pt>
                <pt idx="21">
                  <v>M22</v>
                </pt>
                <pt idx="22">
                  <v>M23</v>
                </pt>
                <pt idx="23">
                  <v>M24</v>
                </pt>
                <pt idx="24">
                  <v>M25</v>
                </pt>
                <pt idx="25">
                  <v>M26</v>
                </pt>
                <pt idx="26">
                  <v>M27</v>
                </pt>
                <pt idx="27">
                  <v>M28</v>
                </pt>
                <pt idx="28">
                  <v>M29</v>
                </pt>
                <pt idx="29">
                  <v>M30</v>
                </pt>
                <pt idx="30">
                  <v>M31</v>
                </pt>
                <pt idx="31">
                  <v>M32</v>
                </pt>
                <pt idx="32">
                  <v>M33</v>
                </pt>
                <pt idx="33">
                  <v>M34</v>
                </pt>
                <pt idx="34">
                  <v>M35</v>
                </pt>
                <pt idx="35">
                  <v>M36</v>
                </pt>
                <pt idx="36">
                  <v>M37</v>
                </pt>
                <pt idx="37">
                  <v>M38</v>
                </pt>
                <pt idx="38">
                  <v>M39</v>
                </pt>
                <pt idx="39">
                  <v>M40</v>
                </pt>
                <pt idx="40">
                  <v>M41</v>
                </pt>
                <pt idx="41">
                  <v>M42</v>
                </pt>
                <pt idx="42">
                  <v>M43</v>
                </pt>
                <pt idx="43">
                  <v>M44</v>
                </pt>
                <pt idx="44">
                  <v>M45</v>
                </pt>
                <pt idx="45">
                  <v>M46</v>
                </pt>
                <pt idx="46">
                  <v>M47</v>
                </pt>
                <pt idx="47">
                  <v>M48</v>
                </pt>
                <pt idx="48">
                  <v>M49</v>
                </pt>
                <pt idx="49">
                  <v>M50</v>
                </pt>
                <pt idx="50">
                  <v>M51</v>
                </pt>
                <pt idx="51">
                  <v>M52</v>
                </pt>
                <pt idx="52">
                  <v>M53</v>
                </pt>
                <pt idx="53">
                  <v>M54</v>
                </pt>
                <pt idx="54">
                  <v>M55</v>
                </pt>
                <pt idx="55">
                  <v>M56</v>
                </pt>
                <pt idx="56">
                  <v>M57</v>
                </pt>
                <pt idx="57">
                  <v>M58</v>
                </pt>
                <pt idx="58">
                  <v>M59</v>
                </pt>
                <pt idx="59">
                  <v>M60</v>
                </pt>
              </strCache>
            </strRef>
          </cat>
          <val>
            <numRef>
              <f>combined_pnl_cash!$B$39:$BI$39</f>
              <numCache>
                <formatCode>\£#,##0;\(\£#,##0\);\-</formatCode>
                <ptCount val="60"/>
                <pt idx="0">
                  <v>1942292.116666667</v>
                </pt>
                <pt idx="1">
                  <v>1842037.537878788</v>
                </pt>
                <pt idx="2">
                  <v>1766748.768939394</v>
                </pt>
                <pt idx="3">
                  <v>1654098.360984848</v>
                </pt>
                <pt idx="4">
                  <v>1564364.438162879</v>
                </pt>
                <pt idx="5">
                  <v>1432505.994351326</v>
                </pt>
                <pt idx="6">
                  <v>1300912.040470407</v>
                </pt>
                <pt idx="7">
                  <v>1170007.13116817</v>
                </pt>
                <pt idx="8">
                  <v>988296.7178402145</v>
                </pt>
                <pt idx="9">
                  <v>838226.23858071</v>
                </pt>
                <pt idx="10">
                  <v>689116.6442976244</v>
                </pt>
                <pt idx="11">
                  <v>494423.1412852329</v>
                </pt>
                <pt idx="12">
                  <v>295396.340344444</v>
                </pt>
                <pt idx="13">
                  <v>100053.6318843935</v>
                </pt>
                <pt idx="14">
                  <v>-128491.8880819929</v>
                </pt>
                <pt idx="15">
                  <v>-331297.2277272541</v>
                </pt>
                <pt idx="16">
                  <v>-529921.0261325561</v>
                </pt>
                <pt idx="17">
                  <v>-724219.4852914567</v>
                </pt>
                <pt idx="18">
                  <v>-914023.1082416356</v>
                </pt>
                <pt idx="19">
                  <v>-1123301.12000599</v>
                </pt>
                <pt idx="20">
                  <v>-1313490.439691896</v>
                </pt>
                <pt idx="21">
                  <v>6482190.742901793</v>
                </pt>
                <pt idx="22">
                  <v>6294367.651986277</v>
                </pt>
                <pt idx="23">
                  <v>6087075.290108318</v>
                </pt>
                <pt idx="24">
                  <v>5836698.027594794</v>
                </pt>
                <pt idx="25">
                  <v>5570121.773374344</v>
                </pt>
                <pt idx="26">
                  <v>5332770.466530372</v>
                </pt>
                <pt idx="27">
                  <v>5091693.001869202</v>
                </pt>
                <pt idx="28">
                  <v>4874007.292674973</v>
                </pt>
                <pt idx="29">
                  <v>4653555.634877282</v>
                </pt>
                <pt idx="30">
                  <v>4457499.949731373</v>
                </pt>
                <pt idx="31">
                  <v>4258351.726984419</v>
                </pt>
                <pt idx="32">
                  <v>4085346.755750117</v>
                </pt>
                <pt idx="33">
                  <v>3905207.854562433</v>
                </pt>
                <pt idx="34">
                  <v>3755229.214702866</v>
                </pt>
                <pt idx="35">
                  <v>3599150.767019069</v>
                </pt>
                <pt idx="36">
                  <v>3377643.81801775</v>
                </pt>
                <pt idx="37">
                  <v>3159085.998741921</v>
                </pt>
                <pt idx="38">
                  <v>2979201.005403633</v>
                </pt>
                <pt idx="39">
                  <v>2798225.635586431</v>
                </pt>
                <pt idx="40">
                  <v>2660091.952545924</v>
                </pt>
                <pt idx="41">
                  <v>2512947.533725392</v>
                </pt>
                <pt idx="42">
                  <v>2415082.065201167</v>
                </pt>
                <pt idx="43">
                  <v>22314601.37449029</v>
                </pt>
                <pt idx="44">
                  <v>22261605.13655053</v>
                </pt>
                <pt idx="45">
                  <v>22215036.89548045</v>
                </pt>
                <pt idx="46">
                  <v>22212706.66810442</v>
                </pt>
                <pt idx="47">
                  <v>22227135.39530492</v>
                </pt>
                <pt idx="48">
                  <v>22276855.36482965</v>
                </pt>
                <pt idx="49">
                  <v>22340592.75535207</v>
                </pt>
                <pt idx="50">
                  <v>22458464.09182959</v>
                </pt>
                <pt idx="51">
                  <v>22596589.11704447</v>
                </pt>
                <pt idx="52">
                  <v>22786885.13142331</v>
                </pt>
                <pt idx="53">
                  <v>22993143.76466775</v>
                </pt>
                <pt idx="54">
                  <v>23255527.98093694</v>
                </pt>
                <pt idx="55">
                  <v>23541527.69183155</v>
                </pt>
                <pt idx="56">
                  <v>23880904.85681992</v>
                </pt>
                <pt idx="57">
                  <v>24239569.76789847</v>
                </pt>
                <pt idx="58">
                  <v>24655662.46864155</v>
                </pt>
                <pt idx="59">
                  <v>25086762.85042058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£</a:t>
                </a:r>
              </a:p>
            </rich>
          </tx>
          <overlay val="1"/>
        </title>
        <numFmt formatCode="\£#,##0;\(\£#,##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Active FTE over time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headcount_uk!$G$3:$BN$3</f>
              <strCache>
                <ptCount val="60"/>
                <pt idx="0">
                  <v>M1</v>
                </pt>
                <pt idx="1">
                  <v>M2</v>
                </pt>
                <pt idx="2">
                  <v>M3</v>
                </pt>
                <pt idx="3">
                  <v>M4</v>
                </pt>
                <pt idx="4">
                  <v>M5</v>
                </pt>
                <pt idx="5">
                  <v>M6</v>
                </pt>
                <pt idx="6">
                  <v>M7</v>
                </pt>
                <pt idx="7">
                  <v>M8</v>
                </pt>
                <pt idx="8">
                  <v>M9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  <pt idx="12">
                  <v>M13</v>
                </pt>
                <pt idx="13">
                  <v>M14</v>
                </pt>
                <pt idx="14">
                  <v>M15</v>
                </pt>
                <pt idx="15">
                  <v>M16</v>
                </pt>
                <pt idx="16">
                  <v>M17</v>
                </pt>
                <pt idx="17">
                  <v>M18</v>
                </pt>
                <pt idx="18">
                  <v>M19</v>
                </pt>
                <pt idx="19">
                  <v>M20</v>
                </pt>
                <pt idx="20">
                  <v>M21</v>
                </pt>
                <pt idx="21">
                  <v>M22</v>
                </pt>
                <pt idx="22">
                  <v>M23</v>
                </pt>
                <pt idx="23">
                  <v>M24</v>
                </pt>
                <pt idx="24">
                  <v>M25</v>
                </pt>
                <pt idx="25">
                  <v>M26</v>
                </pt>
                <pt idx="26">
                  <v>M27</v>
                </pt>
                <pt idx="27">
                  <v>M28</v>
                </pt>
                <pt idx="28">
                  <v>M29</v>
                </pt>
                <pt idx="29">
                  <v>M30</v>
                </pt>
                <pt idx="30">
                  <v>M31</v>
                </pt>
                <pt idx="31">
                  <v>M32</v>
                </pt>
                <pt idx="32">
                  <v>M33</v>
                </pt>
                <pt idx="33">
                  <v>M34</v>
                </pt>
                <pt idx="34">
                  <v>M35</v>
                </pt>
                <pt idx="35">
                  <v>M36</v>
                </pt>
                <pt idx="36">
                  <v>M37</v>
                </pt>
                <pt idx="37">
                  <v>M38</v>
                </pt>
                <pt idx="38">
                  <v>M39</v>
                </pt>
                <pt idx="39">
                  <v>M40</v>
                </pt>
                <pt idx="40">
                  <v>M41</v>
                </pt>
                <pt idx="41">
                  <v>M42</v>
                </pt>
                <pt idx="42">
                  <v>M43</v>
                </pt>
                <pt idx="43">
                  <v>M44</v>
                </pt>
                <pt idx="44">
                  <v>M45</v>
                </pt>
                <pt idx="45">
                  <v>M46</v>
                </pt>
                <pt idx="46">
                  <v>M47</v>
                </pt>
                <pt idx="47">
                  <v>M48</v>
                </pt>
                <pt idx="48">
                  <v>M49</v>
                </pt>
                <pt idx="49">
                  <v>M50</v>
                </pt>
                <pt idx="50">
                  <v>M51</v>
                </pt>
                <pt idx="51">
                  <v>M52</v>
                </pt>
                <pt idx="52">
                  <v>M53</v>
                </pt>
                <pt idx="53">
                  <v>M54</v>
                </pt>
                <pt idx="54">
                  <v>M55</v>
                </pt>
                <pt idx="55">
                  <v>M56</v>
                </pt>
                <pt idx="56">
                  <v>M57</v>
                </pt>
                <pt idx="57">
                  <v>M58</v>
                </pt>
                <pt idx="58">
                  <v>M59</v>
                </pt>
                <pt idx="59">
                  <v>M60</v>
                </pt>
              </strCache>
            </strRef>
          </cat>
          <val>
            <numRef>
              <f>headcount_uk!$G$45:$BN$45</f>
              <numCache>
                <formatCode>#,##0;\(#,##0\);\-</formatCode>
                <ptCount val="60"/>
                <pt idx="0">
                  <v>4</v>
                </pt>
                <pt idx="1">
                  <v>6</v>
                </pt>
                <pt idx="2">
                  <v>6</v>
                </pt>
                <pt idx="3">
                  <v>8</v>
                </pt>
                <pt idx="4">
                  <v>8</v>
                </pt>
                <pt idx="5">
                  <v>10</v>
                </pt>
                <pt idx="6">
                  <v>10</v>
                </pt>
                <pt idx="7">
                  <v>10</v>
                </pt>
                <pt idx="8">
                  <v>13</v>
                </pt>
                <pt idx="9">
                  <v>13</v>
                </pt>
                <pt idx="10">
                  <v>13</v>
                </pt>
                <pt idx="11">
                  <v>16</v>
                </pt>
                <pt idx="12">
                  <v>16</v>
                </pt>
                <pt idx="13">
                  <v>16</v>
                </pt>
                <pt idx="14">
                  <v>18</v>
                </pt>
                <pt idx="15">
                  <v>18</v>
                </pt>
                <pt idx="16">
                  <v>18</v>
                </pt>
                <pt idx="17">
                  <v>18</v>
                </pt>
                <pt idx="18">
                  <v>18</v>
                </pt>
                <pt idx="19">
                  <v>19</v>
                </pt>
                <pt idx="20">
                  <v>19</v>
                </pt>
                <pt idx="21">
                  <v>20</v>
                </pt>
                <pt idx="22">
                  <v>20</v>
                </pt>
                <pt idx="23">
                  <v>21</v>
                </pt>
                <pt idx="24">
                  <v>21</v>
                </pt>
                <pt idx="25">
                  <v>22</v>
                </pt>
                <pt idx="26">
                  <v>22</v>
                </pt>
                <pt idx="27">
                  <v>23</v>
                </pt>
                <pt idx="28">
                  <v>23</v>
                </pt>
                <pt idx="29">
                  <v>24</v>
                </pt>
                <pt idx="30">
                  <v>24</v>
                </pt>
                <pt idx="31">
                  <v>25</v>
                </pt>
                <pt idx="32">
                  <v>25</v>
                </pt>
                <pt idx="33">
                  <v>26</v>
                </pt>
                <pt idx="34">
                  <v>26</v>
                </pt>
                <pt idx="35">
                  <v>27</v>
                </pt>
                <pt idx="36">
                  <v>27</v>
                </pt>
                <pt idx="37">
                  <v>28</v>
                </pt>
                <pt idx="38">
                  <v>28</v>
                </pt>
                <pt idx="39">
                  <v>29</v>
                </pt>
                <pt idx="40">
                  <v>29</v>
                </pt>
                <pt idx="41">
                  <v>30</v>
                </pt>
                <pt idx="42">
                  <v>30</v>
                </pt>
                <pt idx="43">
                  <v>31</v>
                </pt>
                <pt idx="44">
                  <v>31</v>
                </pt>
                <pt idx="45">
                  <v>32</v>
                </pt>
                <pt idx="46">
                  <v>32</v>
                </pt>
                <pt idx="47">
                  <v>33</v>
                </pt>
                <pt idx="48">
                  <v>33</v>
                </pt>
                <pt idx="49">
                  <v>34</v>
                </pt>
                <pt idx="50">
                  <v>34</v>
                </pt>
                <pt idx="51">
                  <v>35</v>
                </pt>
                <pt idx="52">
                  <v>35</v>
                </pt>
                <pt idx="53">
                  <v>36</v>
                </pt>
                <pt idx="54">
                  <v>36</v>
                </pt>
                <pt idx="55">
                  <v>37</v>
                </pt>
                <pt idx="56">
                  <v>37</v>
                </pt>
                <pt idx="57">
                  <v>38</v>
                </pt>
                <pt idx="58">
                  <v>38</v>
                </pt>
                <pt idx="59">
                  <v>39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FTE</a:t>
                </a:r>
              </a:p>
            </rich>
          </tx>
          <overlay val="1"/>
        </title>
        <numFmt formatCode="#,##0;\(#,##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39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H39"/>
  <sheetViews>
    <sheetView workbookViewId="0">
      <pane xSplit="1" ySplit="5" topLeftCell="B14" activePane="bottomRight" state="frozen"/>
      <selection pane="topRight" activeCell="A1" sqref="A1"/>
      <selection pane="bottomLeft" activeCell="A1" sqref="A1"/>
      <selection pane="bottomRight" activeCell="T13" sqref="T13"/>
    </sheetView>
  </sheetViews>
  <sheetFormatPr baseColWidth="8" defaultRowHeight="14.25"/>
  <cols>
    <col width="36" customWidth="1" style="55" min="1" max="1"/>
    <col width="16" customWidth="1" style="55" min="2" max="8"/>
  </cols>
  <sheetData>
    <row r="1" ht="24" customHeight="1" s="55">
      <c r="A1" s="54" t="inlineStr">
        <is>
          <t>Travidz — Financial Model v1 (60 months)</t>
        </is>
      </c>
    </row>
    <row r="2">
      <c r="A2" s="1" t="inlineStr">
        <is>
          <t>Scenario:</t>
        </is>
      </c>
      <c r="B2" s="2" t="inlineStr">
        <is>
          <t>Base</t>
        </is>
      </c>
      <c r="C2" s="60" t="inlineStr">
        <is>
          <t>(Base / Bear / Bull)</t>
        </is>
      </c>
    </row>
    <row r="4">
      <c r="A4" s="56" t="inlineStr">
        <is>
          <t>KEY METRICS</t>
        </is>
      </c>
    </row>
    <row r="5">
      <c r="A5" s="4" t="inlineStr">
        <is>
          <t>Metric</t>
        </is>
      </c>
      <c r="B5" s="4" t="inlineStr">
        <is>
          <t>M12 (Y1)</t>
        </is>
      </c>
      <c r="C5" s="4" t="inlineStr">
        <is>
          <t>M24 (Y2)</t>
        </is>
      </c>
      <c r="D5" s="4" t="inlineStr">
        <is>
          <t>M36 (Y3)</t>
        </is>
      </c>
      <c r="E5" s="4" t="inlineStr">
        <is>
          <t>M48 (Y4)</t>
        </is>
      </c>
      <c r="F5" s="4" t="inlineStr">
        <is>
          <t>M60 (Y5)</t>
        </is>
      </c>
    </row>
    <row r="6">
      <c r="A6" s="5" t="inlineStr">
        <is>
          <t>Active creators (EOY)</t>
        </is>
      </c>
      <c r="B6" s="6">
        <f>creator_cohorts!M5</f>
        <v/>
      </c>
      <c r="C6" s="6">
        <f>creator_cohorts!Y5</f>
        <v/>
      </c>
      <c r="D6" s="6">
        <f>creator_cohorts!AK5</f>
        <v/>
      </c>
      <c r="E6" s="6">
        <f>creator_cohorts!AW5</f>
        <v/>
      </c>
      <c r="F6" s="6">
        <f>creator_cohorts!BI5</f>
        <v/>
      </c>
    </row>
    <row r="7">
      <c r="A7" s="5" t="inlineStr">
        <is>
          <t>Active operators (EOY)</t>
        </is>
      </c>
      <c r="B7" s="6">
        <f>operator_supply!M5</f>
        <v/>
      </c>
      <c r="C7" s="6">
        <f>operator_supply!Y5</f>
        <v/>
      </c>
      <c r="D7" s="6">
        <f>operator_supply!AK5</f>
        <v/>
      </c>
      <c r="E7" s="6">
        <f>operator_supply!AW5</f>
        <v/>
      </c>
      <c r="F7" s="6">
        <f>operator_supply!BI5</f>
        <v/>
      </c>
    </row>
    <row r="8">
      <c r="A8" s="5" t="inlineStr">
        <is>
          <t>Active FTE (EOY)</t>
        </is>
      </c>
      <c r="B8" s="6">
        <f>headcount_uk!R45</f>
        <v/>
      </c>
      <c r="C8" s="6">
        <f>headcount_uk!AD45</f>
        <v/>
      </c>
      <c r="D8" s="6">
        <f>headcount_uk!AP45</f>
        <v/>
      </c>
      <c r="E8" s="6">
        <f>headcount_uk!BB45</f>
        <v/>
      </c>
      <c r="F8" s="6">
        <f>headcount_uk!BN45</f>
        <v/>
      </c>
    </row>
    <row r="9">
      <c r="A9" s="5" t="inlineStr">
        <is>
          <t>Annual GBV</t>
        </is>
      </c>
      <c r="B9" s="7">
        <f>SUM(creator_cohorts!B11:M11)</f>
        <v/>
      </c>
      <c r="C9" s="7">
        <f>SUM(creator_cohorts!N11:Y11)</f>
        <v/>
      </c>
      <c r="D9" s="7">
        <f>SUM(creator_cohorts!Z11:AK11)</f>
        <v/>
      </c>
      <c r="E9" s="7">
        <f>SUM(creator_cohorts!AL11:AW11)</f>
        <v/>
      </c>
      <c r="F9" s="7">
        <f>SUM(creator_cohorts!AX11:BI11)</f>
        <v/>
      </c>
    </row>
    <row r="10">
      <c r="A10" s="5" t="inlineStr">
        <is>
          <t>Annual Travidz net revenue</t>
        </is>
      </c>
      <c r="B10" s="7">
        <f>SUM(creator_cohorts!B22:M22)</f>
        <v/>
      </c>
      <c r="C10" s="7">
        <f>SUM(creator_cohorts!N22:Y22)</f>
        <v/>
      </c>
      <c r="D10" s="7">
        <f>SUM(creator_cohorts!Z22:AK22)</f>
        <v/>
      </c>
      <c r="E10" s="7">
        <f>SUM(creator_cohorts!AL22:AW22)</f>
        <v/>
      </c>
      <c r="F10" s="7">
        <f>SUM(creator_cohorts!AX22:BI22)</f>
        <v/>
      </c>
    </row>
    <row r="11">
      <c r="A11" s="5" t="inlineStr">
        <is>
          <t>Blended take-rate</t>
        </is>
      </c>
      <c r="B11" s="8">
        <f>SUM(creator_cohorts!B22:M22)/SUM(creator_cohorts!B11:M11)</f>
        <v/>
      </c>
      <c r="C11" s="8">
        <f>SUM(creator_cohorts!N22:Y22)/SUM(creator_cohorts!N11:Y11)</f>
        <v/>
      </c>
      <c r="D11" s="8">
        <f>SUM(creator_cohorts!Z22:AK22)/SUM(creator_cohorts!Z11:AK11)</f>
        <v/>
      </c>
      <c r="E11" s="8">
        <f>SUM(creator_cohorts!AL22:AW22)/SUM(creator_cohorts!AL11:AW11)</f>
        <v/>
      </c>
      <c r="F11" s="8">
        <f>SUM(creator_cohorts!AX22:BI22)/SUM(creator_cohorts!AX11:BI11)</f>
        <v/>
      </c>
    </row>
    <row r="12">
      <c r="A12" s="5" t="inlineStr">
        <is>
          <t>Annual EBITDA</t>
        </is>
      </c>
      <c r="B12" s="7">
        <f>SUM(combined_pnl_cash!B31:M31)</f>
        <v/>
      </c>
      <c r="C12" s="7">
        <f>SUM(combined_pnl_cash!N31:Y31)</f>
        <v/>
      </c>
      <c r="D12" s="7">
        <f>SUM(combined_pnl_cash!Z31:AK31)</f>
        <v/>
      </c>
      <c r="E12" s="7">
        <f>SUM(combined_pnl_cash!AL31:AW31)</f>
        <v/>
      </c>
      <c r="F12" s="7">
        <f>SUM(combined_pnl_cash!AX31:BI31)</f>
        <v/>
      </c>
    </row>
    <row r="13">
      <c r="A13" s="5" t="inlineStr">
        <is>
          <t>EBITDA margin</t>
        </is>
      </c>
      <c r="B13" s="9">
        <f>SUM(combined_pnl_cash!B31:M31)/SUM(creator_cohorts!B22:M22)</f>
        <v/>
      </c>
      <c r="C13" s="9">
        <f>SUM(combined_pnl_cash!N31:Y31)/SUM(creator_cohorts!N22:Y22)</f>
        <v/>
      </c>
      <c r="D13" s="9">
        <f>SUM(combined_pnl_cash!Z31:AK31)/SUM(creator_cohorts!Z22:AK22)</f>
        <v/>
      </c>
      <c r="E13" s="9">
        <f>SUM(combined_pnl_cash!AL31:AW31)/SUM(creator_cohorts!AL22:AW22)</f>
        <v/>
      </c>
      <c r="F13" s="9">
        <f>SUM(combined_pnl_cash!AX31:BI31)/SUM(creator_cohorts!AX22:BI22)</f>
        <v/>
      </c>
    </row>
    <row r="14">
      <c r="A14" s="5" t="inlineStr">
        <is>
          <t>Closing cash (EOY)</t>
        </is>
      </c>
      <c r="B14" s="7">
        <f>combined_pnl_cash!M39</f>
        <v/>
      </c>
      <c r="C14" s="7">
        <f>combined_pnl_cash!Y39</f>
        <v/>
      </c>
      <c r="D14" s="7">
        <f>combined_pnl_cash!AK39</f>
        <v/>
      </c>
      <c r="E14" s="7">
        <f>combined_pnl_cash!AW39</f>
        <v/>
      </c>
      <c r="F14" s="7">
        <f>combined_pnl_cash!BI39</f>
        <v/>
      </c>
    </row>
    <row r="15">
      <c r="A15" s="5" t="inlineStr">
        <is>
          <t>Peak cash deficit</t>
        </is>
      </c>
      <c r="B15" s="7">
        <f>combined_pnl_cash!M40</f>
        <v/>
      </c>
      <c r="C15" s="7">
        <f>combined_pnl_cash!Y40</f>
        <v/>
      </c>
      <c r="D15" s="7">
        <f>combined_pnl_cash!AK40</f>
        <v/>
      </c>
      <c r="E15" s="7">
        <f>combined_pnl_cash!AW40</f>
        <v/>
      </c>
      <c r="F15" s="7">
        <f>combined_pnl_cash!BI40</f>
        <v/>
      </c>
    </row>
    <row r="17">
      <c r="A17" s="56" t="inlineStr">
        <is>
          <t>SUMMARY KPIs</t>
        </is>
      </c>
    </row>
    <row r="18">
      <c r="A18" s="5" t="inlineStr">
        <is>
          <t>Peak monthly burn (£)</t>
        </is>
      </c>
      <c r="B18" s="7">
        <f>-MIN(combined_pnl_cash!B31:BI31)</f>
        <v/>
      </c>
    </row>
    <row r="19">
      <c r="A19" s="5" t="inlineStr">
        <is>
          <t>Month of peak burn</t>
        </is>
      </c>
      <c r="B19" s="10">
        <f>"M"&amp;MATCH(MIN(combined_pnl_cash!B31:BI31),combined_pnl_cash!B31:BI31,0)</f>
        <v/>
      </c>
    </row>
    <row r="20">
      <c r="A20" s="5" t="inlineStr">
        <is>
          <t>Months to EBITDA breakeven</t>
        </is>
      </c>
      <c r="B20" s="10">
        <f>IFERROR(MATCH(TRUE,INDEX(combined_pnl_cash!B31:BI31&gt;0,0),0),"not in 60mo")</f>
        <v/>
      </c>
    </row>
    <row r="21">
      <c r="A21" s="5" t="inlineStr">
        <is>
          <t>Peak cash deficit (£)</t>
        </is>
      </c>
      <c r="B21" s="7">
        <f>MIN(combined_pnl_cash!B40:BI40)</f>
        <v/>
      </c>
    </row>
    <row r="22">
      <c r="A22" s="5" t="inlineStr">
        <is>
          <t>Required seed (peak burn × -1 + 25% buffer)</t>
        </is>
      </c>
      <c r="B22" s="7">
        <f>-MIN(combined_pnl_cash!B40:BI40)*1.25-assumptions!$G$125-assumptions!$G$127</f>
        <v/>
      </c>
    </row>
    <row r="23">
      <c r="A23" s="5" t="inlineStr">
        <is>
          <t>Y5 ARR-equivalent (Travidz net × 12 at M60)</t>
        </is>
      </c>
      <c r="B23" s="7">
        <f>combined_pnl_cash!BI5*12</f>
        <v/>
      </c>
    </row>
    <row r="24">
      <c r="A24" s="5" t="inlineStr">
        <is>
          <t>Y5 Annual GBV</t>
        </is>
      </c>
      <c r="B24" s="7">
        <f>SUM(creator_cohorts!AX11:BI11)</f>
        <v/>
      </c>
    </row>
    <row r="25">
      <c r="A25" s="5" t="inlineStr">
        <is>
          <t>Y5 Travidz net revenue</t>
        </is>
      </c>
      <c r="B25" s="7">
        <f>SUM(creator_cohorts!AX22:BI22)</f>
        <v/>
      </c>
    </row>
    <row r="26">
      <c r="A26" s="5" t="inlineStr">
        <is>
          <t>Y5 Active creators</t>
        </is>
      </c>
      <c r="B26" s="6">
        <f>creator_cohorts!BI5</f>
        <v/>
      </c>
    </row>
    <row r="27">
      <c r="A27" s="5" t="inlineStr">
        <is>
          <t>Y5 Active FTE</t>
        </is>
      </c>
      <c r="B27" s="6">
        <f>headcount_uk!BN45</f>
        <v/>
      </c>
    </row>
    <row r="28">
      <c r="A28" s="5" t="inlineStr">
        <is>
          <t>Y5 Blended take-rate</t>
        </is>
      </c>
      <c r="B28" s="8">
        <f>SUM(creator_cohorts!AX22:BI22)/SUM(creator_cohorts!AX11:BI11)</f>
        <v/>
      </c>
    </row>
    <row r="31">
      <c r="A31" s="56" t="inlineStr">
        <is>
          <t>v6 TS-MODEL CROSS-CHECK (target — should match Base)</t>
        </is>
      </c>
    </row>
    <row r="32">
      <c r="A32" s="11" t="inlineStr">
        <is>
          <t>v6 TS-MODEL CROSS-CHECK (11% / Stripe shared / tiered — UK Base Y5)</t>
        </is>
      </c>
      <c r="B32" s="11" t="inlineStr">
        <is>
          <t>Target (v6)</t>
        </is>
      </c>
      <c r="C32" s="11" t="inlineStr">
        <is>
          <t>Model Y5</t>
        </is>
      </c>
      <c r="D32" s="11" t="inlineStr">
        <is>
          <t>Delta</t>
        </is>
      </c>
    </row>
    <row r="33">
      <c r="A33" s="5" t="inlineStr">
        <is>
          <t>Y5 Active creators</t>
        </is>
      </c>
      <c r="B33" s="12" t="n">
        <v>24000</v>
      </c>
      <c r="C33" s="13">
        <f>creator_cohorts!BI5</f>
        <v/>
      </c>
      <c r="D33" s="14">
        <f>C33-B33</f>
        <v/>
      </c>
    </row>
    <row r="34">
      <c r="A34" s="5" t="inlineStr">
        <is>
          <t>Y5 Annual GBV</t>
        </is>
      </c>
      <c r="B34" s="61" t="n">
        <v>350102510</v>
      </c>
      <c r="C34" s="16">
        <f>SUM(creator_cohorts!AX11:BI11)</f>
        <v/>
      </c>
      <c r="D34" s="17">
        <f>C34-B34</f>
        <v/>
      </c>
    </row>
    <row r="35">
      <c r="A35" s="5" t="inlineStr">
        <is>
          <t>Y5 Travidz net</t>
        </is>
      </c>
      <c r="B35" s="61" t="n">
        <v>16416811.42501858</v>
      </c>
      <c r="C35" s="16">
        <f>SUM(creator_cohorts!AX22:BI22)</f>
        <v/>
      </c>
      <c r="D35" s="17">
        <f>C35-B35</f>
        <v/>
      </c>
    </row>
    <row r="36">
      <c r="A36" s="5" t="inlineStr">
        <is>
          <t>Y5 Take-rate</t>
        </is>
      </c>
      <c r="B36" s="18" t="n">
        <v>0.04689144166666667</v>
      </c>
      <c r="C36" s="19">
        <f>SUM(creator_cohorts!AX22:BI22)/SUM(creator_cohorts!AX11:BI11)</f>
        <v/>
      </c>
      <c r="D36" s="20">
        <f>C36-B36</f>
        <v/>
      </c>
    </row>
    <row r="39">
      <c r="A39" s="60" t="inlineStr">
        <is>
          <t>Charts inserted to the right →</t>
        </is>
      </c>
    </row>
  </sheetData>
  <mergeCells count="4">
    <mergeCell ref="A4:H4"/>
    <mergeCell ref="A31:H31"/>
    <mergeCell ref="A17:H17"/>
    <mergeCell ref="A1:H1"/>
  </mergeCells>
  <dataValidations count="1">
    <dataValidation sqref="B2" showDropDown="0" showInputMessage="0" showErrorMessage="0" allowBlank="0" type="list">
      <formula1>"Base,Bear,Bull,Global Viral"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:G1"/>
    </sheetView>
  </sheetViews>
  <sheetFormatPr baseColWidth="8" defaultRowHeight="14.25"/>
  <cols>
    <col width="26" customWidth="1" style="55" min="1" max="1"/>
    <col width="18" customWidth="1" style="55" min="2" max="7"/>
  </cols>
  <sheetData>
    <row r="1" ht="18" customHeight="1" s="55">
      <c r="A1" s="59" t="inlineStr">
        <is>
          <t>Travidz — Global Viral Scenario (Y1–Y5)</t>
        </is>
      </c>
    </row>
    <row r="2">
      <c r="A2" s="58" t="inlineStr">
        <is>
          <t>Pre-launch model. UK Base remains the funded plan. Global Viral assumes one breakout region per year (US, AUS/NZ, LATAM, MENA, SEA, India) and a TikTok-style creator loop.</t>
        </is>
      </c>
    </row>
    <row r="4">
      <c r="A4" s="43" t="inlineStr">
        <is>
          <t>Metric</t>
        </is>
      </c>
      <c r="B4" s="43" t="inlineStr">
        <is>
          <t>Y1</t>
        </is>
      </c>
      <c r="C4" s="43" t="inlineStr">
        <is>
          <t>Y2</t>
        </is>
      </c>
      <c r="D4" s="43" t="inlineStr">
        <is>
          <t>Y3</t>
        </is>
      </c>
      <c r="E4" s="43" t="inlineStr">
        <is>
          <t>Y4</t>
        </is>
      </c>
      <c r="F4" s="43" t="inlineStr">
        <is>
          <t>Y5</t>
        </is>
      </c>
      <c r="G4" s="43" t="inlineStr">
        <is>
          <t>vs UK Base Y5</t>
        </is>
      </c>
    </row>
    <row r="5">
      <c r="A5" s="44" t="inlineStr">
        <is>
          <t>Active creators (EOY)</t>
        </is>
      </c>
      <c r="B5" s="45" t="n">
        <v>1500</v>
      </c>
      <c r="C5" s="45" t="n">
        <v>9000</v>
      </c>
      <c r="D5" s="45" t="n">
        <v>32000</v>
      </c>
      <c r="E5" s="45" t="n">
        <v>70000</v>
      </c>
      <c r="F5" s="45" t="n">
        <v>120000</v>
      </c>
      <c r="G5" s="46" t="inlineStr">
        <is>
          <t>5.0x</t>
        </is>
      </c>
    </row>
    <row r="6">
      <c r="A6" s="44" t="inlineStr">
        <is>
          <t>Annual GBV (£)</t>
        </is>
      </c>
      <c r="B6" s="62" t="n">
        <v>4050000</v>
      </c>
      <c r="C6" s="62" t="n">
        <v>59850000</v>
      </c>
      <c r="D6" s="62" t="n">
        <v>255840000</v>
      </c>
      <c r="E6" s="62" t="n">
        <v>679320000</v>
      </c>
      <c r="F6" s="62" t="n">
        <v>1322400000</v>
      </c>
      <c r="G6" s="46" t="inlineStr">
        <is>
          <t>3.8x</t>
        </is>
      </c>
    </row>
    <row r="7">
      <c r="A7" s="44" t="inlineStr">
        <is>
          <t>Gross commission (£)</t>
        </is>
      </c>
      <c r="B7" s="62" t="n">
        <v>445500</v>
      </c>
      <c r="C7" s="62" t="n">
        <v>6583500</v>
      </c>
      <c r="D7" s="62" t="n">
        <v>28142400</v>
      </c>
      <c r="E7" s="62" t="n">
        <v>74725200</v>
      </c>
      <c r="F7" s="62" t="n">
        <v>145464000</v>
      </c>
      <c r="G7" s="46" t="inlineStr">
        <is>
          <t>3.8x</t>
        </is>
      </c>
    </row>
    <row r="8">
      <c r="A8" s="44" t="inlineStr">
        <is>
          <t>Creator payout (£)</t>
        </is>
      </c>
      <c r="B8" s="62" t="n">
        <v>163037.1951219512</v>
      </c>
      <c r="C8" s="62" t="n">
        <v>2337047.615853658</v>
      </c>
      <c r="D8" s="62" t="n">
        <v>9269208</v>
      </c>
      <c r="E8" s="62" t="n">
        <v>23244756.36585366</v>
      </c>
      <c r="F8" s="62" t="n">
        <v>44514825.54731707</v>
      </c>
      <c r="G8" t="inlineStr">
        <is>
          <t>see v6 UK Base re-run</t>
        </is>
      </c>
    </row>
    <row r="9">
      <c r="A9" s="44" t="inlineStr">
        <is>
          <t>Travidz net revenue (£)</t>
        </is>
      </c>
      <c r="B9" s="62" t="n">
        <v>163037.1951219512</v>
      </c>
      <c r="C9" s="62" t="n">
        <v>2481607.262195122</v>
      </c>
      <c r="D9" s="62" t="n">
        <v>11329032</v>
      </c>
      <c r="E9" s="62" t="n">
        <v>31448788.02439024</v>
      </c>
      <c r="F9" s="62" t="n">
        <v>61954501.28195122</v>
      </c>
      <c r="G9" s="46" t="inlineStr">
        <is>
          <t>3.8x</t>
        </is>
      </c>
    </row>
    <row r="10">
      <c r="A10" s="44" t="inlineStr">
        <is>
          <t>Blended take-rate</t>
        </is>
      </c>
      <c r="B10" s="48" t="n">
        <v>0.04025609756097561</v>
      </c>
      <c r="C10" s="48" t="n">
        <v>0.04146378048780488</v>
      </c>
      <c r="D10" s="48" t="n">
        <v>0.04428170731707317</v>
      </c>
      <c r="E10" s="48" t="n">
        <v>0.04629451219512195</v>
      </c>
      <c r="F10" s="48" t="n">
        <v>0.04685004634146341</v>
      </c>
      <c r="G10" s="46" t="inlineStr">
        <is>
          <t>1.0x</t>
        </is>
      </c>
    </row>
    <row r="13">
      <c r="A13" s="57" t="inlineStr">
        <is>
          <t>Y5 SIDE-BY-SIDE</t>
        </is>
      </c>
    </row>
    <row r="14">
      <c r="A14" s="49" t="inlineStr">
        <is>
          <t>Metric</t>
        </is>
      </c>
      <c r="B14" s="49" t="inlineStr">
        <is>
          <t>UK Base</t>
        </is>
      </c>
      <c r="C14" s="49" t="inlineStr">
        <is>
          <t>Global Viral</t>
        </is>
      </c>
      <c r="D14" s="49" t="inlineStr">
        <is>
          <t>Multiplier</t>
        </is>
      </c>
    </row>
    <row r="15">
      <c r="A15" t="inlineStr">
        <is>
          <t>Active creators</t>
        </is>
      </c>
      <c r="B15" s="62" t="n">
        <v>24000</v>
      </c>
      <c r="C15" s="62" t="n">
        <v>120000</v>
      </c>
      <c r="D15" s="46" t="inlineStr">
        <is>
          <t>5.0x</t>
        </is>
      </c>
    </row>
    <row r="16">
      <c r="A16" t="inlineStr">
        <is>
          <t>Annual GBV (£)</t>
        </is>
      </c>
      <c r="B16" s="62" t="n">
        <v>350102510</v>
      </c>
      <c r="C16" s="62" t="n">
        <v>1322400000</v>
      </c>
      <c r="D16" s="46" t="inlineStr">
        <is>
          <t>3.8x</t>
        </is>
      </c>
    </row>
    <row r="17">
      <c r="A17" t="inlineStr">
        <is>
          <t>Travidz net revenue (£)</t>
        </is>
      </c>
      <c r="B17" s="62" t="n">
        <v>16416811.42501858</v>
      </c>
      <c r="C17" s="62" t="n">
        <v>61954501.28195122</v>
      </c>
      <c r="D17" s="46" t="inlineStr">
        <is>
          <t>3.8x</t>
        </is>
      </c>
    </row>
    <row r="18">
      <c r="A18" t="inlineStr">
        <is>
          <t>Blended take-rate</t>
        </is>
      </c>
      <c r="B18" s="48" t="n">
        <v>0.04689144166666667</v>
      </c>
      <c r="C18" s="48" t="n">
        <v>0.04685004634146341</v>
      </c>
      <c r="D18" s="46" t="inlineStr">
        <is>
          <t>1.0x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:F1"/>
    </sheetView>
  </sheetViews>
  <sheetFormatPr baseColWidth="8" defaultRowHeight="14.25"/>
  <cols>
    <col width="28" customWidth="1" style="55" min="1" max="1"/>
    <col width="22" customWidth="1" style="55" min="2" max="3"/>
    <col width="12" customWidth="1" style="55" min="4" max="4"/>
    <col width="20" customWidth="1" style="55" min="5" max="6"/>
  </cols>
  <sheetData>
    <row r="1" ht="18" customHeight="1" s="55">
      <c r="A1" s="59" t="inlineStr">
        <is>
          <t>Travidz — Regional Build (Y5, Global Viral)</t>
        </is>
      </c>
    </row>
    <row r="2">
      <c r="A2" s="58" t="inlineStr">
        <is>
          <t>Bottom-up Y5 split across launch regions. Sum of creators and GBV ties back to global_viral_summary Y5.</t>
        </is>
      </c>
    </row>
    <row r="4">
      <c r="A4" s="43" t="inlineStr">
        <is>
          <t>Region</t>
        </is>
      </c>
      <c r="B4" s="43" t="inlineStr">
        <is>
          <t>Reachable travellers (M)</t>
        </is>
      </c>
      <c r="C4" s="43" t="inlineStr">
        <is>
          <t>Active creators @ Y5</t>
        </is>
      </c>
      <c r="D4" s="43" t="inlineStr">
        <is>
          <t>ABV (£)</t>
        </is>
      </c>
      <c r="E4" s="43" t="inlineStr">
        <is>
          <t>Annual GBV (£)</t>
        </is>
      </c>
      <c r="F4" s="43" t="inlineStr">
        <is>
          <t>Travidz net (£)</t>
        </is>
      </c>
    </row>
    <row r="5">
      <c r="A5" t="inlineStr">
        <is>
          <t>United Kingdom</t>
        </is>
      </c>
      <c r="B5" t="n">
        <v>25</v>
      </c>
      <c r="C5" t="n">
        <v>6000</v>
      </c>
      <c r="D5" s="47" t="n">
        <v>480</v>
      </c>
      <c r="E5" s="47" t="n">
        <v>84558436.94493783</v>
      </c>
      <c r="F5" s="47" t="n">
        <v>3937040.824156305</v>
      </c>
    </row>
    <row r="6">
      <c r="A6" t="inlineStr">
        <is>
          <t>EU-5 (FR/DE/ES/IT/NL)</t>
        </is>
      </c>
      <c r="B6" t="n">
        <v>150</v>
      </c>
      <c r="C6" t="n">
        <v>14000</v>
      </c>
      <c r="D6" s="47" t="n">
        <v>460</v>
      </c>
      <c r="E6" s="47" t="n">
        <v>189082060.3907638</v>
      </c>
      <c r="F6" s="47" t="n">
        <v>8803660.731793961</v>
      </c>
    </row>
    <row r="7">
      <c r="A7" t="inlineStr">
        <is>
          <t>USA</t>
        </is>
      </c>
      <c r="B7" t="n">
        <v>180</v>
      </c>
      <c r="C7" t="n">
        <v>22000</v>
      </c>
      <c r="D7" s="47" t="n">
        <v>540</v>
      </c>
      <c r="E7" s="47" t="n">
        <v>348803552.3978686</v>
      </c>
      <c r="F7" s="47" t="n">
        <v>16240293.39964476</v>
      </c>
    </row>
    <row r="8">
      <c r="A8" t="inlineStr">
        <is>
          <t>Australia / NZ</t>
        </is>
      </c>
      <c r="B8" t="n">
        <v>18</v>
      </c>
      <c r="C8" t="n">
        <v>6000</v>
      </c>
      <c r="D8" s="47" t="n">
        <v>580</v>
      </c>
      <c r="E8" s="47" t="n">
        <v>102174777.9751332</v>
      </c>
      <c r="F8" s="47" t="n">
        <v>4757257.662522202</v>
      </c>
    </row>
    <row r="9">
      <c r="A9" t="inlineStr">
        <is>
          <t>LATAM (Brazil-led)</t>
        </is>
      </c>
      <c r="B9" t="n">
        <v>110</v>
      </c>
      <c r="C9" t="n">
        <v>14000</v>
      </c>
      <c r="D9" s="47" t="n">
        <v>280</v>
      </c>
      <c r="E9" s="47" t="n">
        <v>115093428.0639432</v>
      </c>
      <c r="F9" s="47" t="n">
        <v>5358750.010657193</v>
      </c>
    </row>
    <row r="10">
      <c r="A10" t="inlineStr">
        <is>
          <t>MENA</t>
        </is>
      </c>
      <c r="B10" t="n">
        <v>70</v>
      </c>
      <c r="C10" t="n">
        <v>8000</v>
      </c>
      <c r="D10" s="47" t="n">
        <v>380</v>
      </c>
      <c r="E10" s="47" t="n">
        <v>89256127.88632326</v>
      </c>
      <c r="F10" s="47" t="n">
        <v>4155765.314387211</v>
      </c>
    </row>
    <row r="11">
      <c r="A11" t="inlineStr">
        <is>
          <t>Africa</t>
        </is>
      </c>
      <c r="B11" t="n">
        <v>90</v>
      </c>
      <c r="C11" t="n">
        <v>6000</v>
      </c>
      <c r="D11" s="47" t="n">
        <v>220</v>
      </c>
      <c r="E11" s="47" t="n">
        <v>38755950.26642984</v>
      </c>
      <c r="F11" s="47" t="n">
        <v>1804477.044404973</v>
      </c>
    </row>
    <row r="12">
      <c r="A12" t="inlineStr">
        <is>
          <t>India</t>
        </is>
      </c>
      <c r="B12" t="n">
        <v>140</v>
      </c>
      <c r="C12" t="n">
        <v>16000</v>
      </c>
      <c r="D12" s="47" t="n">
        <v>200</v>
      </c>
      <c r="E12" s="47" t="n">
        <v>93953818.82770869</v>
      </c>
      <c r="F12" s="47" t="n">
        <v>4374489.804618116</v>
      </c>
    </row>
    <row r="13">
      <c r="A13" t="inlineStr">
        <is>
          <t>SEA</t>
        </is>
      </c>
      <c r="B13" t="n">
        <v>160</v>
      </c>
      <c r="C13" t="n">
        <v>16000</v>
      </c>
      <c r="D13" s="47" t="n">
        <v>240</v>
      </c>
      <c r="E13" s="47" t="n">
        <v>112744582.5932505</v>
      </c>
      <c r="F13" s="47" t="n">
        <v>5249387.765541741</v>
      </c>
    </row>
    <row r="14">
      <c r="A14" t="inlineStr">
        <is>
          <t>Greater China</t>
        </is>
      </c>
      <c r="B14" t="n">
        <v>280</v>
      </c>
      <c r="C14" t="n">
        <v>12000</v>
      </c>
      <c r="D14" s="47" t="n">
        <v>420</v>
      </c>
      <c r="E14" s="47" t="n">
        <v>147977264.6536412</v>
      </c>
      <c r="F14" s="47" t="n">
        <v>6889821.442273534</v>
      </c>
    </row>
    <row r="15">
      <c r="A15" s="49" t="inlineStr">
        <is>
          <t>TOTAL</t>
        </is>
      </c>
      <c r="B15" s="49" t="n">
        <v>1223</v>
      </c>
      <c r="C15" s="49" t="n">
        <v>120000</v>
      </c>
      <c r="D15" s="50" t="n"/>
      <c r="E15" s="51" t="n">
        <v>1322400000</v>
      </c>
      <c r="F15" s="51" t="n">
        <v>61570944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H128"/>
  <sheetViews>
    <sheetView workbookViewId="0">
      <pane xSplit="1" ySplit="3" topLeftCell="B106" activePane="bottomRight" state="frozen"/>
      <selection pane="topRight" activeCell="A1" sqref="A1"/>
      <selection pane="bottomLeft" activeCell="A1" sqref="A1"/>
      <selection pane="bottomRight" activeCell="A107" sqref="A107:XFD107"/>
    </sheetView>
  </sheetViews>
  <sheetFormatPr baseColWidth="8" defaultRowHeight="14.25"/>
  <cols>
    <col width="44" customWidth="1" style="55" min="1" max="1"/>
    <col width="14" customWidth="1" style="55" min="2" max="4"/>
    <col width="50" customWidth="1" style="55" min="5" max="5"/>
    <col width="14" customWidth="1" style="55" min="6" max="6"/>
    <col width="16" customWidth="1" style="55" min="7" max="7"/>
  </cols>
  <sheetData>
    <row r="1" ht="22.05" customHeight="1" s="55">
      <c r="A1" s="54" t="inlineStr">
        <is>
          <t>Travidz — Assumptions (60 months)</t>
        </is>
      </c>
    </row>
    <row r="2">
      <c r="A2" s="60" t="inlineStr">
        <is>
          <t>Blue = input. Edit Base / Bear / Bull. Active column drives all sheets via scenario_idx on summary_dashboard.</t>
        </is>
      </c>
    </row>
    <row r="3">
      <c r="A3" s="21" t="inlineStr">
        <is>
          <t>Parameter</t>
        </is>
      </c>
      <c r="B3" s="21" t="inlineStr">
        <is>
          <t>Base</t>
        </is>
      </c>
      <c r="C3" s="21" t="inlineStr">
        <is>
          <t>Bear</t>
        </is>
      </c>
      <c r="D3" s="21" t="inlineStr">
        <is>
          <t>Bull</t>
        </is>
      </c>
      <c r="E3" s="52" t="inlineStr">
        <is>
          <t>Global Viral</t>
        </is>
      </c>
      <c r="F3" s="21" t="inlineStr">
        <is>
          <t>Notes</t>
        </is>
      </c>
      <c r="G3" s="21" t="inlineStr">
        <is>
          <t>Active</t>
        </is>
      </c>
      <c r="H3" s="21" t="inlineStr">
        <is>
          <t>Default note</t>
        </is>
      </c>
    </row>
    <row r="4">
      <c r="A4" s="56" t="inlineStr">
        <is>
          <t>MARKET &amp; COMMISSION (v6 base case)</t>
        </is>
      </c>
    </row>
    <row r="5" ht="38.25" customHeight="1" s="55">
      <c r="A5" s="5" t="inlineStr">
        <is>
          <t>TAM travellers (#)</t>
        </is>
      </c>
      <c r="B5" s="12" t="n">
        <v>85000000</v>
      </c>
      <c r="C5" s="12" t="n">
        <v>70000000</v>
      </c>
      <c r="D5" s="12" t="n">
        <v>95000000</v>
      </c>
      <c r="E5" s="53" t="n">
        <v>520000000</v>
      </c>
      <c r="F5" s="22" t="inlineStr">
        <is>
          <t>Reachable UK + key EU traveller pool</t>
        </is>
      </c>
      <c r="G5" s="13">
        <f>CHOOSE(scenario_idx,B5,C5,D5,E5)</f>
        <v/>
      </c>
    </row>
    <row r="6">
      <c r="A6" s="5" t="inlineStr">
        <is>
          <t>Average booking value (£)</t>
        </is>
      </c>
      <c r="B6" s="15" t="n">
        <v>480</v>
      </c>
      <c r="C6" s="15" t="n">
        <v>420</v>
      </c>
      <c r="D6" s="15" t="n">
        <v>540</v>
      </c>
      <c r="E6" s="53" t="n">
        <v>410</v>
      </c>
      <c r="F6" s="22" t="inlineStr">
        <is>
          <t>Avg per booking</t>
        </is>
      </c>
      <c r="G6" s="16">
        <f>CHOOSE(scenario_idx,B6,C6,D6,E6)</f>
        <v/>
      </c>
    </row>
    <row r="7">
      <c r="A7" s="5" t="inlineStr">
        <is>
          <t>Bookings per traveller / yr</t>
        </is>
      </c>
      <c r="B7" s="23" t="n">
        <v>1.6</v>
      </c>
      <c r="C7" s="23" t="n">
        <v>1.4</v>
      </c>
      <c r="D7" s="23" t="n">
        <v>1.8</v>
      </c>
      <c r="E7" s="53" t="n">
        <v>1.5</v>
      </c>
      <c r="F7" s="22" t="inlineStr">
        <is>
          <t>Attach rate</t>
        </is>
      </c>
      <c r="G7" s="24">
        <f>CHOOSE(scenario_idx,B7,C7,D7,E7)</f>
        <v/>
      </c>
    </row>
    <row r="8" ht="38.25" customHeight="1" s="55">
      <c r="A8" s="5" t="inlineStr">
        <is>
          <t>SAM % of TAM</t>
        </is>
      </c>
      <c r="B8" s="25" t="n">
        <v>0.28</v>
      </c>
      <c r="C8" s="25" t="n">
        <v>0.22</v>
      </c>
      <c r="D8" s="25" t="n">
        <v>0.35</v>
      </c>
      <c r="E8" s="53" t="n">
        <v>0.26</v>
      </c>
      <c r="F8" s="22" t="inlineStr">
        <is>
          <t>Creator-led discoverable inventory</t>
        </is>
      </c>
      <c r="G8" s="26">
        <f>CHOOSE(scenario_idx,B8,C8,D8,E8)</f>
        <v/>
      </c>
    </row>
    <row r="9" ht="25.5" customHeight="1" s="55">
      <c r="A9" s="5" t="inlineStr">
        <is>
          <t>Gross commission %</t>
        </is>
      </c>
      <c r="B9" s="25" t="n">
        <v>0.11</v>
      </c>
      <c r="C9" s="25" t="n">
        <v>0.11</v>
      </c>
      <c r="D9" s="25" t="n">
        <v>0.11</v>
      </c>
      <c r="E9" s="53" t="n">
        <v>0.11</v>
      </c>
      <c r="F9" s="22" t="inlineStr">
        <is>
          <t>11% headline to operators (v6 — was 8%)</t>
        </is>
      </c>
      <c r="G9" s="26" t="n">
        <v>0.11</v>
      </c>
    </row>
    <row r="10" ht="25.5" customHeight="1" s="55">
      <c r="A10" s="5" t="inlineStr">
        <is>
          <t>Creator share — Founding</t>
        </is>
      </c>
      <c r="B10" s="25" t="n">
        <v>0.5</v>
      </c>
      <c r="C10" s="25" t="n">
        <v>0.5</v>
      </c>
      <c r="D10" s="25" t="n">
        <v>0.5</v>
      </c>
      <c r="E10" s="53" t="n">
        <v>0.5</v>
      </c>
      <c r="F10" s="22" t="inlineStr">
        <is>
          <t>First 500, lifetime</t>
        </is>
      </c>
      <c r="G10" s="26">
        <f>CHOOSE(scenario_idx,B10,C10,D10,E10)</f>
        <v/>
      </c>
    </row>
    <row r="11" ht="25.5" customHeight="1" s="55">
      <c r="A11" s="5" t="inlineStr">
        <is>
          <t>Creator share — Power</t>
        </is>
      </c>
      <c r="B11" s="25" t="n">
        <v>0.5</v>
      </c>
      <c r="C11" s="25" t="n">
        <v>0.5</v>
      </c>
      <c r="D11" s="25" t="n">
        <v>0.5</v>
      </c>
      <c r="E11" s="53" t="n">
        <v>0.5</v>
      </c>
      <c r="F11" s="22" t="inlineStr">
        <is>
          <t>&gt;£25k rolling 12mo</t>
        </is>
      </c>
      <c r="G11" s="26">
        <f>CHOOSE(scenario_idx,B11,C11,D11,E11)</f>
        <v/>
      </c>
    </row>
    <row r="12">
      <c r="A12" s="5" t="inlineStr">
        <is>
          <t>Creator share — New (0–6mo)</t>
        </is>
      </c>
      <c r="B12" s="25" t="n">
        <v>0.5</v>
      </c>
      <c r="C12" s="25" t="n">
        <v>0.5</v>
      </c>
      <c r="D12" s="25" t="n">
        <v>0.5</v>
      </c>
      <c r="E12" s="53" t="n">
        <v>0.5</v>
      </c>
      <c r="F12" s="22" t="n"/>
      <c r="G12" s="26">
        <f>CHOOSE(scenario_idx,B12,C12,D12,E12)</f>
        <v/>
      </c>
    </row>
    <row r="13">
      <c r="A13" s="5" t="inlineStr">
        <is>
          <t>Creator share — Maturing (7–18mo)</t>
        </is>
      </c>
      <c r="B13" s="25" t="n">
        <v>0.4</v>
      </c>
      <c r="C13" s="25" t="n">
        <v>0.4</v>
      </c>
      <c r="D13" s="25" t="n">
        <v>0.4</v>
      </c>
      <c r="E13" s="53" t="n">
        <v>0.4</v>
      </c>
      <c r="F13" s="22" t="n"/>
      <c r="G13" s="26">
        <f>CHOOSE(scenario_idx,B13,C13,D13,E13)</f>
        <v/>
      </c>
    </row>
    <row r="14">
      <c r="A14" s="5" t="inlineStr">
        <is>
          <t>Creator share — Mature (19mo+)</t>
        </is>
      </c>
      <c r="B14" s="25" t="n">
        <v>0.3</v>
      </c>
      <c r="C14" s="25" t="n">
        <v>0.3</v>
      </c>
      <c r="D14" s="25" t="n">
        <v>0.3</v>
      </c>
      <c r="E14" s="53" t="n">
        <v>0.3</v>
      </c>
      <c r="F14" s="22" t="n"/>
      <c r="G14" s="26">
        <f>CHOOSE(scenario_idx,B14,C14,D14,E14)</f>
        <v/>
      </c>
    </row>
    <row r="15">
      <c r="A15" s="56" t="inlineStr">
        <is>
          <t>CREATOR FUNNEL — Active creators (year-end anchors)</t>
        </is>
      </c>
    </row>
    <row r="16">
      <c r="A16" s="5" t="inlineStr">
        <is>
          <t>Active creators @ M0</t>
        </is>
      </c>
      <c r="B16" s="12" t="n">
        <v>0</v>
      </c>
      <c r="C16" s="12" t="n">
        <v>0</v>
      </c>
      <c r="D16" s="12" t="n">
        <v>0</v>
      </c>
      <c r="E16" s="53" t="n">
        <v>0</v>
      </c>
      <c r="F16" s="22" t="n"/>
      <c r="G16" s="13">
        <f>CHOOSE(scenario_idx,B16,C16,D16,E16)</f>
        <v/>
      </c>
    </row>
    <row r="17">
      <c r="A17" s="5" t="inlineStr">
        <is>
          <t>Active creators @ M12</t>
        </is>
      </c>
      <c r="B17" s="12" t="n">
        <v>500</v>
      </c>
      <c r="C17" s="12" t="n">
        <v>350</v>
      </c>
      <c r="D17" s="12" t="n">
        <v>700</v>
      </c>
      <c r="E17" s="53" t="n">
        <v>1500</v>
      </c>
      <c r="F17" s="22" t="inlineStr">
        <is>
          <t>v6 Y1</t>
        </is>
      </c>
      <c r="G17" s="13">
        <f>CHOOSE(scenario_idx,B17,C17,D17,E17)</f>
        <v/>
      </c>
    </row>
    <row r="18">
      <c r="A18" s="5" t="inlineStr">
        <is>
          <t>Active creators @ M24</t>
        </is>
      </c>
      <c r="B18" s="12" t="n">
        <v>2400</v>
      </c>
      <c r="C18" s="12" t="n">
        <v>1500</v>
      </c>
      <c r="D18" s="12" t="n">
        <v>3500</v>
      </c>
      <c r="E18" s="53" t="n">
        <v>9000</v>
      </c>
      <c r="F18" s="22" t="inlineStr">
        <is>
          <t>v6 Y2</t>
        </is>
      </c>
      <c r="G18" s="13">
        <f>CHOOSE(scenario_idx,B18,C18,D18,E18)</f>
        <v/>
      </c>
    </row>
    <row r="19">
      <c r="A19" s="5" t="inlineStr">
        <is>
          <t>Active creators @ M36</t>
        </is>
      </c>
      <c r="B19" s="12" t="n">
        <v>6800</v>
      </c>
      <c r="C19" s="12" t="n">
        <v>4200</v>
      </c>
      <c r="D19" s="12" t="n">
        <v>9500</v>
      </c>
      <c r="E19" s="53" t="n">
        <v>32000</v>
      </c>
      <c r="F19" s="22" t="inlineStr">
        <is>
          <t>v6 Y3</t>
        </is>
      </c>
      <c r="G19" s="13">
        <f>CHOOSE(scenario_idx,B19,C19,D19,E19)</f>
        <v/>
      </c>
    </row>
    <row r="20">
      <c r="A20" s="5" t="inlineStr">
        <is>
          <t>Active creators @ M48</t>
        </is>
      </c>
      <c r="B20" s="12" t="n">
        <v>14000</v>
      </c>
      <c r="C20" s="12" t="n">
        <v>9000</v>
      </c>
      <c r="D20" s="12" t="n">
        <v>19000</v>
      </c>
      <c r="E20" s="53" t="n">
        <v>70000</v>
      </c>
      <c r="F20" s="22" t="inlineStr">
        <is>
          <t>v6 Y4</t>
        </is>
      </c>
      <c r="G20" s="13">
        <f>CHOOSE(scenario_idx,B20,C20,D20,E20)</f>
        <v/>
      </c>
    </row>
    <row r="21">
      <c r="A21" s="5" t="inlineStr">
        <is>
          <t>Active creators @ M60</t>
        </is>
      </c>
      <c r="B21" s="12" t="n">
        <v>24000</v>
      </c>
      <c r="C21" s="12" t="n">
        <v>16000</v>
      </c>
      <c r="D21" s="12" t="n">
        <v>32000</v>
      </c>
      <c r="E21" s="53" t="n">
        <v>120000</v>
      </c>
      <c r="F21" s="22" t="inlineStr">
        <is>
          <t>v6 Y5</t>
        </is>
      </c>
      <c r="G21" s="13">
        <f>CHOOSE(scenario_idx,B21,C21,D21,E21)</f>
        <v/>
      </c>
    </row>
    <row r="22">
      <c r="A22" s="5" t="inlineStr">
        <is>
          <t>Monthly creator churn %</t>
        </is>
      </c>
      <c r="B22" s="25" t="n">
        <v>0.02</v>
      </c>
      <c r="C22" s="25" t="n">
        <v>0.035</v>
      </c>
      <c r="D22" s="25" t="n">
        <v>0.012</v>
      </c>
      <c r="E22" s="53" t="n">
        <v>0.018</v>
      </c>
      <c r="F22" s="22" t="inlineStr">
        <is>
          <t>Logo churn</t>
        </is>
      </c>
      <c r="G22" s="26">
        <f>CHOOSE(scenario_idx,B22,C22,D22,E22)</f>
        <v/>
      </c>
    </row>
    <row r="23">
      <c r="A23" s="56" t="inlineStr">
        <is>
          <t>CREATOR GBV/active (monthly £, year-end anchors)</t>
        </is>
      </c>
    </row>
    <row r="24">
      <c r="A24" s="5" t="inlineStr">
        <is>
          <t>GBV/active/mo @ M12 (£)</t>
        </is>
      </c>
      <c r="B24" s="15" t="n">
        <v>1000</v>
      </c>
      <c r="C24" s="15" t="n">
        <v>850</v>
      </c>
      <c r="D24" s="15" t="n">
        <v>1150</v>
      </c>
      <c r="E24" s="53" t="n">
        <v>900</v>
      </c>
      <c r="F24" s="22" t="inlineStr">
        <is>
          <t>Ramp anchor</t>
        </is>
      </c>
      <c r="G24" s="16">
        <f>CHOOSE(scenario_idx,B24,C24,D24,E24)</f>
        <v/>
      </c>
    </row>
    <row r="25">
      <c r="A25" s="5" t="inlineStr">
        <is>
          <t>GBV/active/mo @ M24 (£)</t>
        </is>
      </c>
      <c r="B25" s="15" t="n">
        <v>1200</v>
      </c>
      <c r="C25" s="15" t="n">
        <v>1000</v>
      </c>
      <c r="D25" s="15" t="n">
        <v>1350</v>
      </c>
      <c r="E25" s="53" t="n">
        <v>1000</v>
      </c>
      <c r="F25" s="22" t="n"/>
      <c r="G25" s="16">
        <f>CHOOSE(scenario_idx,B25,C25,D25,E25)</f>
        <v/>
      </c>
    </row>
    <row r="26">
      <c r="A26" s="5" t="inlineStr">
        <is>
          <t>GBV/active/mo @ M36 (£)</t>
        </is>
      </c>
      <c r="B26" s="15" t="n">
        <v>1350</v>
      </c>
      <c r="C26" s="15" t="n">
        <v>1100</v>
      </c>
      <c r="D26" s="15" t="n">
        <v>1500</v>
      </c>
      <c r="E26" s="53" t="n">
        <v>1080</v>
      </c>
      <c r="F26" s="22" t="n"/>
      <c r="G26" s="16">
        <f>CHOOSE(scenario_idx,B26,C26,D26,E26)</f>
        <v/>
      </c>
    </row>
    <row r="27">
      <c r="A27" s="5" t="inlineStr">
        <is>
          <t>GBV/active/mo @ M48 (£)</t>
        </is>
      </c>
      <c r="B27" s="15" t="n">
        <v>1450</v>
      </c>
      <c r="C27" s="15" t="n">
        <v>1180</v>
      </c>
      <c r="D27" s="15" t="n">
        <v>1620</v>
      </c>
      <c r="E27" s="53" t="n">
        <v>1140</v>
      </c>
      <c r="F27" s="22" t="n"/>
      <c r="G27" s="16">
        <f>CHOOSE(scenario_idx,B27,C27,D27,E27)</f>
        <v/>
      </c>
    </row>
    <row r="28" ht="25.5" customHeight="1" s="55">
      <c r="A28" s="5" t="inlineStr">
        <is>
          <t>GBV/active/mo @ M60 (£)</t>
        </is>
      </c>
      <c r="B28" s="15" t="n">
        <v>1540</v>
      </c>
      <c r="C28" s="15" t="n">
        <v>1250</v>
      </c>
      <c r="D28" s="15" t="n">
        <v>1700</v>
      </c>
      <c r="E28" s="53" t="n">
        <v>1180</v>
      </c>
      <c r="F28" s="22" t="inlineStr">
        <is>
          <t>v6 implied £18.5k/yr</t>
        </is>
      </c>
      <c r="G28" s="16">
        <f>CHOOSE(scenario_idx,B28,C28,D28,E28)</f>
        <v/>
      </c>
    </row>
    <row r="29">
      <c r="A29" s="56" t="inlineStr">
        <is>
          <t>CREATOR TIER MIX (year-end shares)</t>
        </is>
      </c>
    </row>
    <row r="30">
      <c r="A30" s="5" t="inlineStr">
        <is>
          <t>Mix — Founding Y1</t>
        </is>
      </c>
      <c r="B30" s="25" t="n">
        <v>1</v>
      </c>
      <c r="C30" s="25" t="n">
        <v>1</v>
      </c>
      <c r="D30" s="25" t="n">
        <v>1</v>
      </c>
      <c r="E30" s="53" t="n">
        <v>1</v>
      </c>
      <c r="F30" s="22" t="n"/>
      <c r="G30" s="26">
        <f>CHOOSE(scenario_idx,B30,C30,D30,E30)</f>
        <v/>
      </c>
    </row>
    <row r="31">
      <c r="A31" s="5" t="inlineStr">
        <is>
          <t>Mix — Founding Y2</t>
        </is>
      </c>
      <c r="B31" s="25" t="n">
        <v>0.45</v>
      </c>
      <c r="C31" s="25" t="n">
        <v>0.45</v>
      </c>
      <c r="D31" s="25" t="n">
        <v>0.45</v>
      </c>
      <c r="E31" s="53" t="n">
        <v>0.45</v>
      </c>
      <c r="F31" s="22" t="n"/>
      <c r="G31" s="26">
        <f>CHOOSE(scenario_idx,B31,C31,D31,E31)</f>
        <v/>
      </c>
    </row>
    <row r="32">
      <c r="A32" s="5" t="inlineStr">
        <is>
          <t>Mix — Founding Y3</t>
        </is>
      </c>
      <c r="B32" s="25" t="n">
        <v>0.22</v>
      </c>
      <c r="C32" s="25" t="n">
        <v>0.22</v>
      </c>
      <c r="D32" s="25" t="n">
        <v>0.22</v>
      </c>
      <c r="E32" s="53" t="n">
        <v>0.22</v>
      </c>
      <c r="F32" s="22" t="n"/>
      <c r="G32" s="26">
        <f>CHOOSE(scenario_idx,B32,C32,D32,E32)</f>
        <v/>
      </c>
    </row>
    <row r="33">
      <c r="A33" s="5" t="inlineStr">
        <is>
          <t>Mix — Founding Y4</t>
        </is>
      </c>
      <c r="B33" s="25" t="n">
        <v>0.12</v>
      </c>
      <c r="C33" s="25" t="n">
        <v>0.12</v>
      </c>
      <c r="D33" s="25" t="n">
        <v>0.12</v>
      </c>
      <c r="E33" s="53" t="n">
        <v>0.12</v>
      </c>
      <c r="F33" s="22" t="n"/>
      <c r="G33" s="26">
        <f>CHOOSE(scenario_idx,B33,C33,D33,E33)</f>
        <v/>
      </c>
    </row>
    <row r="34">
      <c r="A34" s="5" t="inlineStr">
        <is>
          <t>Mix — Founding Y5</t>
        </is>
      </c>
      <c r="B34" s="25" t="n">
        <v>0.08</v>
      </c>
      <c r="C34" s="25" t="n">
        <v>0.08</v>
      </c>
      <c r="D34" s="25" t="n">
        <v>0.08</v>
      </c>
      <c r="E34" s="53" t="n">
        <v>0.08</v>
      </c>
      <c r="F34" s="22" t="n"/>
      <c r="G34" s="26">
        <f>CHOOSE(scenario_idx,B34,C34,D34,E34)</f>
        <v/>
      </c>
    </row>
    <row r="35">
      <c r="A35" s="5" t="inlineStr">
        <is>
          <t>Mix — Power Y1</t>
        </is>
      </c>
      <c r="B35" s="25" t="n">
        <v>0</v>
      </c>
      <c r="C35" s="25" t="n">
        <v>0</v>
      </c>
      <c r="D35" s="25" t="n">
        <v>0</v>
      </c>
      <c r="E35" s="53" t="n">
        <v>0</v>
      </c>
      <c r="F35" s="22" t="n"/>
      <c r="G35" s="26">
        <f>CHOOSE(scenario_idx,B35,C35,D35,E35)</f>
        <v/>
      </c>
    </row>
    <row r="36">
      <c r="A36" s="5" t="inlineStr">
        <is>
          <t>Mix — Power Y2</t>
        </is>
      </c>
      <c r="B36" s="25" t="n">
        <v>0.05</v>
      </c>
      <c r="C36" s="25" t="n">
        <v>0.05</v>
      </c>
      <c r="D36" s="25" t="n">
        <v>0.05</v>
      </c>
      <c r="E36" s="53" t="n">
        <v>0.05</v>
      </c>
      <c r="F36" s="22" t="n"/>
      <c r="G36" s="26">
        <f>CHOOSE(scenario_idx,B36,C36,D36,E36)</f>
        <v/>
      </c>
    </row>
    <row r="37">
      <c r="A37" s="5" t="inlineStr">
        <is>
          <t>Mix — Power Y3</t>
        </is>
      </c>
      <c r="B37" s="25" t="n">
        <v>0.18</v>
      </c>
      <c r="C37" s="25" t="n">
        <v>0.18</v>
      </c>
      <c r="D37" s="25" t="n">
        <v>0.18</v>
      </c>
      <c r="E37" s="53" t="n">
        <v>0.18</v>
      </c>
      <c r="F37" s="22" t="n"/>
      <c r="G37" s="26">
        <f>CHOOSE(scenario_idx,B37,C37,D37,E37)</f>
        <v/>
      </c>
    </row>
    <row r="38">
      <c r="A38" s="5" t="inlineStr">
        <is>
          <t>Mix — Power Y4</t>
        </is>
      </c>
      <c r="B38" s="25" t="n">
        <v>0.28</v>
      </c>
      <c r="C38" s="25" t="n">
        <v>0.28</v>
      </c>
      <c r="D38" s="25" t="n">
        <v>0.28</v>
      </c>
      <c r="E38" s="53" t="n">
        <v>0.28</v>
      </c>
      <c r="F38" s="22" t="n"/>
      <c r="G38" s="26">
        <f>CHOOSE(scenario_idx,B38,C38,D38,E38)</f>
        <v/>
      </c>
    </row>
    <row r="39">
      <c r="A39" s="5" t="inlineStr">
        <is>
          <t>Mix — Power Y5</t>
        </is>
      </c>
      <c r="B39" s="25" t="n">
        <v>0.34</v>
      </c>
      <c r="C39" s="25" t="n">
        <v>0.34</v>
      </c>
      <c r="D39" s="25" t="n">
        <v>0.34</v>
      </c>
      <c r="E39" s="53" t="n">
        <v>0.34</v>
      </c>
      <c r="F39" s="22" t="n"/>
      <c r="G39" s="26">
        <f>CHOOSE(scenario_idx,B39,C39,D39,E39)</f>
        <v/>
      </c>
    </row>
    <row r="40">
      <c r="A40" s="5" t="inlineStr">
        <is>
          <t>Mix — New Y1</t>
        </is>
      </c>
      <c r="B40" s="25" t="n">
        <v>0</v>
      </c>
      <c r="C40" s="25" t="n">
        <v>0</v>
      </c>
      <c r="D40" s="25" t="n">
        <v>0</v>
      </c>
      <c r="E40" s="53" t="n">
        <v>0</v>
      </c>
      <c r="F40" s="22" t="n"/>
      <c r="G40" s="26">
        <f>CHOOSE(scenario_idx,B40,C40,D40,E40)</f>
        <v/>
      </c>
    </row>
    <row r="41">
      <c r="A41" s="5" t="inlineStr">
        <is>
          <t>Mix — New Y2</t>
        </is>
      </c>
      <c r="B41" s="25" t="n">
        <v>0.35</v>
      </c>
      <c r="C41" s="25" t="n">
        <v>0.35</v>
      </c>
      <c r="D41" s="25" t="n">
        <v>0.35</v>
      </c>
      <c r="E41" s="53" t="n">
        <v>0.35</v>
      </c>
      <c r="F41" s="22" t="n"/>
      <c r="G41" s="26">
        <f>CHOOSE(scenario_idx,B41,C41,D41,E41)</f>
        <v/>
      </c>
    </row>
    <row r="42">
      <c r="A42" s="5" t="inlineStr">
        <is>
          <t>Mix — New Y3</t>
        </is>
      </c>
      <c r="B42" s="25" t="n">
        <v>0.2</v>
      </c>
      <c r="C42" s="25" t="n">
        <v>0.2</v>
      </c>
      <c r="D42" s="25" t="n">
        <v>0.2</v>
      </c>
      <c r="E42" s="53" t="n">
        <v>0.2</v>
      </c>
      <c r="F42" s="22" t="n"/>
      <c r="G42" s="26">
        <f>CHOOSE(scenario_idx,B42,C42,D42,E42)</f>
        <v/>
      </c>
    </row>
    <row r="43">
      <c r="A43" s="5" t="inlineStr">
        <is>
          <t>Mix — New Y4</t>
        </is>
      </c>
      <c r="B43" s="25" t="n">
        <v>0.1</v>
      </c>
      <c r="C43" s="25" t="n">
        <v>0.1</v>
      </c>
      <c r="D43" s="25" t="n">
        <v>0.1</v>
      </c>
      <c r="E43" s="53" t="n">
        <v>0.1</v>
      </c>
      <c r="F43" s="22" t="n"/>
      <c r="G43" s="26">
        <f>CHOOSE(scenario_idx,B43,C43,D43,E43)</f>
        <v/>
      </c>
    </row>
    <row r="44">
      <c r="A44" s="5" t="inlineStr">
        <is>
          <t>Mix — New Y5</t>
        </is>
      </c>
      <c r="B44" s="25" t="n">
        <v>0.08</v>
      </c>
      <c r="C44" s="25" t="n">
        <v>0.08</v>
      </c>
      <c r="D44" s="25" t="n">
        <v>0.08</v>
      </c>
      <c r="E44" s="53" t="n">
        <v>0.08</v>
      </c>
      <c r="F44" s="22" t="n"/>
      <c r="G44" s="26">
        <f>CHOOSE(scenario_idx,B44,C44,D44,E44)</f>
        <v/>
      </c>
    </row>
    <row r="45">
      <c r="A45" s="5" t="inlineStr">
        <is>
          <t>Mix — Maturing Y1</t>
        </is>
      </c>
      <c r="B45" s="25" t="n">
        <v>0</v>
      </c>
      <c r="C45" s="25" t="n">
        <v>0</v>
      </c>
      <c r="D45" s="25" t="n">
        <v>0</v>
      </c>
      <c r="E45" s="53" t="n">
        <v>0</v>
      </c>
      <c r="F45" s="22" t="n"/>
      <c r="G45" s="26">
        <f>CHOOSE(scenario_idx,B45,C45,D45,E45)</f>
        <v/>
      </c>
    </row>
    <row r="46">
      <c r="A46" s="5" t="inlineStr">
        <is>
          <t>Mix — Maturing Y2</t>
        </is>
      </c>
      <c r="B46" s="25" t="n">
        <v>0.15</v>
      </c>
      <c r="C46" s="25" t="n">
        <v>0.15</v>
      </c>
      <c r="D46" s="25" t="n">
        <v>0.15</v>
      </c>
      <c r="E46" s="53" t="n">
        <v>0.15</v>
      </c>
      <c r="F46" s="22" t="n"/>
      <c r="G46" s="26">
        <f>CHOOSE(scenario_idx,B46,C46,D46,E46)</f>
        <v/>
      </c>
    </row>
    <row r="47">
      <c r="A47" s="5" t="inlineStr">
        <is>
          <t>Mix — Maturing Y3</t>
        </is>
      </c>
      <c r="B47" s="25" t="n">
        <v>0.3</v>
      </c>
      <c r="C47" s="25" t="n">
        <v>0.3</v>
      </c>
      <c r="D47" s="25" t="n">
        <v>0.3</v>
      </c>
      <c r="E47" s="53" t="n">
        <v>0.3</v>
      </c>
      <c r="F47" s="22" t="n"/>
      <c r="G47" s="26">
        <f>CHOOSE(scenario_idx,B47,C47,D47,E47)</f>
        <v/>
      </c>
    </row>
    <row r="48">
      <c r="A48" s="5" t="inlineStr">
        <is>
          <t>Mix — Maturing Y4</t>
        </is>
      </c>
      <c r="B48" s="25" t="n">
        <v>0.25</v>
      </c>
      <c r="C48" s="25" t="n">
        <v>0.25</v>
      </c>
      <c r="D48" s="25" t="n">
        <v>0.25</v>
      </c>
      <c r="E48" s="53" t="n">
        <v>0.25</v>
      </c>
      <c r="F48" s="22" t="n"/>
      <c r="G48" s="26">
        <f>CHOOSE(scenario_idx,B48,C48,D48,E48)</f>
        <v/>
      </c>
    </row>
    <row r="49">
      <c r="A49" s="5" t="inlineStr">
        <is>
          <t>Mix — Maturing Y5</t>
        </is>
      </c>
      <c r="B49" s="25" t="n">
        <v>0.18</v>
      </c>
      <c r="C49" s="25" t="n">
        <v>0.18</v>
      </c>
      <c r="D49" s="25" t="n">
        <v>0.18</v>
      </c>
      <c r="E49" s="53" t="n">
        <v>0.18</v>
      </c>
      <c r="F49" s="22" t="n"/>
      <c r="G49" s="26">
        <f>CHOOSE(scenario_idx,B49,C49,D49,E49)</f>
        <v/>
      </c>
    </row>
    <row r="50">
      <c r="A50" s="5" t="inlineStr">
        <is>
          <t>Mix — Mature Y1</t>
        </is>
      </c>
      <c r="B50" s="25" t="n">
        <v>0</v>
      </c>
      <c r="C50" s="25" t="n">
        <v>0</v>
      </c>
      <c r="D50" s="25" t="n">
        <v>0</v>
      </c>
      <c r="E50" s="53" t="n">
        <v>0</v>
      </c>
      <c r="F50" s="22" t="n"/>
      <c r="G50" s="26">
        <f>CHOOSE(scenario_idx,B50,C50,D50,E50)</f>
        <v/>
      </c>
    </row>
    <row r="51">
      <c r="A51" s="5" t="inlineStr">
        <is>
          <t>Mix — Mature Y2</t>
        </is>
      </c>
      <c r="B51" s="25" t="n">
        <v>0</v>
      </c>
      <c r="C51" s="25" t="n">
        <v>0</v>
      </c>
      <c r="D51" s="25" t="n">
        <v>0</v>
      </c>
      <c r="E51" s="53" t="n">
        <v>0</v>
      </c>
      <c r="F51" s="22" t="n"/>
      <c r="G51" s="26">
        <f>CHOOSE(scenario_idx,B51,C51,D51,E51)</f>
        <v/>
      </c>
    </row>
    <row r="52">
      <c r="A52" s="5" t="inlineStr">
        <is>
          <t>Mix — Mature Y3</t>
        </is>
      </c>
      <c r="B52" s="25" t="n">
        <v>0.1</v>
      </c>
      <c r="C52" s="25" t="n">
        <v>0.1</v>
      </c>
      <c r="D52" s="25" t="n">
        <v>0.1</v>
      </c>
      <c r="E52" s="53" t="n">
        <v>0.1</v>
      </c>
      <c r="F52" s="22" t="n"/>
      <c r="G52" s="26">
        <f>CHOOSE(scenario_idx,B52,C52,D52,E52)</f>
        <v/>
      </c>
    </row>
    <row r="53">
      <c r="A53" s="5" t="inlineStr">
        <is>
          <t>Mix — Mature Y4</t>
        </is>
      </c>
      <c r="B53" s="25" t="n">
        <v>0.25</v>
      </c>
      <c r="C53" s="25" t="n">
        <v>0.25</v>
      </c>
      <c r="D53" s="25" t="n">
        <v>0.25</v>
      </c>
      <c r="E53" s="53" t="n">
        <v>0.25</v>
      </c>
      <c r="F53" s="22" t="n"/>
      <c r="G53" s="26">
        <f>CHOOSE(scenario_idx,B53,C53,D53,E53)</f>
        <v/>
      </c>
    </row>
    <row r="54">
      <c r="A54" s="5" t="inlineStr">
        <is>
          <t>Mix — Mature Y5</t>
        </is>
      </c>
      <c r="B54" s="25" t="n">
        <v>0.32</v>
      </c>
      <c r="C54" s="25" t="n">
        <v>0.32</v>
      </c>
      <c r="D54" s="25" t="n">
        <v>0.32</v>
      </c>
      <c r="E54" s="53" t="n">
        <v>0.32</v>
      </c>
      <c r="F54" s="22" t="n"/>
      <c r="G54" s="26">
        <f>CHOOSE(scenario_idx,B54,C54,D54,E54)</f>
        <v/>
      </c>
    </row>
    <row r="55">
      <c r="A55" s="56" t="inlineStr">
        <is>
          <t>OPERATOR SUPPLY</t>
        </is>
      </c>
    </row>
    <row r="56" ht="38.25" customHeight="1" s="55">
      <c r="A56" s="5" t="inlineStr">
        <is>
          <t>Starting operators @ M0</t>
        </is>
      </c>
      <c r="B56" s="12" t="n">
        <v>20</v>
      </c>
      <c r="C56" s="12" t="n">
        <v>10</v>
      </c>
      <c r="D56" s="12" t="n">
        <v>35</v>
      </c>
      <c r="E56" s="53" t="n">
        <v>60</v>
      </c>
      <c r="F56" s="22" t="inlineStr">
        <is>
          <t>Verified hotel/experience partners</t>
        </is>
      </c>
      <c r="G56" s="13">
        <f>CHOOSE(scenario_idx,B56,C56,D56,E56)</f>
        <v/>
      </c>
    </row>
    <row r="57">
      <c r="A57" s="5" t="inlineStr">
        <is>
          <t>New operators / month</t>
        </is>
      </c>
      <c r="B57" s="12" t="n">
        <v>12</v>
      </c>
      <c r="C57" s="12" t="n">
        <v>7</v>
      </c>
      <c r="D57" s="12" t="n">
        <v>18</v>
      </c>
      <c r="E57" s="53" t="n">
        <v>60</v>
      </c>
      <c r="F57" s="22" t="inlineStr">
        <is>
          <t>Net add</t>
        </is>
      </c>
      <c r="G57" s="13">
        <f>CHOOSE(scenario_idx,B57,C57,D57,E57)</f>
        <v/>
      </c>
    </row>
    <row r="58">
      <c r="A58" s="5" t="inlineStr">
        <is>
          <t>Monthly operator churn %</t>
        </is>
      </c>
      <c r="B58" s="25" t="n">
        <v>0.01</v>
      </c>
      <c r="C58" s="25" t="n">
        <v>0.02</v>
      </c>
      <c r="D58" s="25" t="n">
        <v>0.005</v>
      </c>
      <c r="E58" s="53" t="n">
        <v>0.01</v>
      </c>
      <c r="F58" s="22" t="n"/>
      <c r="G58" s="26">
        <f>CHOOSE(scenario_idx,B58,C58,D58,E58)</f>
        <v/>
      </c>
    </row>
    <row r="59">
      <c r="A59" s="5" t="inlineStr">
        <is>
          <t>Partner success £/operator/mo</t>
        </is>
      </c>
      <c r="B59" s="15" t="n">
        <v>30</v>
      </c>
      <c r="C59" s="15" t="n">
        <v>30</v>
      </c>
      <c r="D59" s="15" t="n">
        <v>25</v>
      </c>
      <c r="E59" s="53" t="n">
        <v>28</v>
      </c>
      <c r="F59" s="22" t="inlineStr">
        <is>
          <t>Account mgmt</t>
        </is>
      </c>
      <c r="G59" s="16">
        <f>CHOOSE(scenario_idx,B59,C59,D59,E59)</f>
        <v/>
      </c>
    </row>
    <row r="60">
      <c r="A60" s="56" t="inlineStr">
        <is>
          <t>UNIT COSTS</t>
        </is>
      </c>
    </row>
    <row r="61">
      <c r="A61" s="5" t="inlineStr">
        <is>
          <t>Payment processing % of GBV</t>
        </is>
      </c>
      <c r="B61" s="18" t="n">
        <v>0.029</v>
      </c>
      <c r="C61" s="18" t="n">
        <v>0.029</v>
      </c>
      <c r="D61" s="18" t="n">
        <v>0.029</v>
      </c>
      <c r="E61" s="53" t="n">
        <v>0.029</v>
      </c>
      <c r="F61" s="22" t="inlineStr">
        <is>
          <t>Stripe blended global (v6 — was 1.5%)</t>
        </is>
      </c>
      <c r="G61" s="19" t="n">
        <v>0.029</v>
      </c>
    </row>
    <row r="62">
      <c r="A62" s="5" t="inlineStr">
        <is>
          <t>Payment processing fixed £ / booking</t>
        </is>
      </c>
      <c r="B62" s="15" t="n">
        <v>0.2</v>
      </c>
      <c r="C62" s="15" t="n">
        <v>0.2</v>
      </c>
      <c r="D62" s="15" t="n">
        <v>0.2</v>
      </c>
      <c r="E62" s="53" t="n">
        <v>0.2</v>
      </c>
      <c r="F62" s="22" t="n"/>
      <c r="G62" s="16">
        <f>CHOOSE(scenario_idx,B62,C62,D62,E62)</f>
        <v/>
      </c>
    </row>
    <row r="63">
      <c r="A63" s="5" t="inlineStr">
        <is>
          <t>Cloud hosting £/active creator/mo</t>
        </is>
      </c>
      <c r="B63" s="15" t="n">
        <v>0.4</v>
      </c>
      <c r="C63" s="15" t="n">
        <v>0.5</v>
      </c>
      <c r="D63" s="15" t="n">
        <v>0.3</v>
      </c>
      <c r="E63" s="53" t="n">
        <v>0.4</v>
      </c>
      <c r="F63" s="22" t="inlineStr">
        <is>
          <t>Supabase + CF</t>
        </is>
      </c>
      <c r="G63" s="16">
        <f>CHOOSE(scenario_idx,B63,C63,D63,E63)</f>
        <v/>
      </c>
    </row>
    <row r="64">
      <c r="A64" s="5" t="inlineStr">
        <is>
          <t>Video CDN £/1k plays</t>
        </is>
      </c>
      <c r="B64" s="15" t="n">
        <v>0.8</v>
      </c>
      <c r="C64" s="15" t="n">
        <v>1</v>
      </c>
      <c r="D64" s="15" t="n">
        <v>0.6</v>
      </c>
      <c r="E64" s="53" t="n">
        <v>0.8</v>
      </c>
      <c r="F64" s="22" t="inlineStr">
        <is>
          <t>Bunny.net-class</t>
        </is>
      </c>
      <c r="G64" s="16">
        <f>CHOOSE(scenario_idx,B64,C64,D64,E64)</f>
        <v/>
      </c>
    </row>
    <row r="65">
      <c r="A65" s="5" t="inlineStr">
        <is>
          <t>Avg video plays / active creator / mo</t>
        </is>
      </c>
      <c r="B65" s="12" t="n">
        <v>1500</v>
      </c>
      <c r="C65" s="12" t="n">
        <v>1200</v>
      </c>
      <c r="D65" s="12" t="n">
        <v>1800</v>
      </c>
      <c r="E65" s="53" t="n">
        <v>1500</v>
      </c>
      <c r="F65" s="22" t="n"/>
      <c r="G65" s="13">
        <f>CHOOSE(scenario_idx,B65,C65,D65,E65)</f>
        <v/>
      </c>
    </row>
    <row r="66">
      <c r="A66" s="5" t="inlineStr">
        <is>
          <t>AI / Lovable Cloud £/mo @ M1</t>
        </is>
      </c>
      <c r="B66" s="15" t="n">
        <v>500</v>
      </c>
      <c r="C66" s="15" t="n">
        <v>500</v>
      </c>
      <c r="D66" s="15" t="n">
        <v>500</v>
      </c>
      <c r="E66" s="53" t="n">
        <v>800</v>
      </c>
      <c r="F66" s="22" t="n"/>
      <c r="G66" s="16">
        <f>CHOOSE(scenario_idx,B66,C66,D66,E66)</f>
        <v/>
      </c>
    </row>
    <row r="67">
      <c r="A67" s="5" t="inlineStr">
        <is>
          <t>AI cost monthly growth %</t>
        </is>
      </c>
      <c r="B67" s="25" t="n">
        <v>0.05</v>
      </c>
      <c r="C67" s="25" t="n">
        <v>0.06</v>
      </c>
      <c r="D67" s="25" t="n">
        <v>0.04</v>
      </c>
      <c r="E67" s="53" t="n">
        <v>0.05</v>
      </c>
      <c r="F67" s="22" t="inlineStr">
        <is>
          <t>Compounded</t>
        </is>
      </c>
      <c r="G67" s="26">
        <f>CHOOSE(scenario_idx,B67,C67,D67,E67)</f>
        <v/>
      </c>
    </row>
    <row r="68">
      <c r="A68" s="5" t="inlineStr">
        <is>
          <t>Creator support £/active/mo</t>
        </is>
      </c>
      <c r="B68" s="15" t="n">
        <v>0.8</v>
      </c>
      <c r="C68" s="15" t="n">
        <v>1</v>
      </c>
      <c r="D68" s="15" t="n">
        <v>0.6</v>
      </c>
      <c r="E68" s="53" t="n">
        <v>0.8</v>
      </c>
      <c r="F68" s="22" t="inlineStr">
        <is>
          <t>Tier-1</t>
        </is>
      </c>
      <c r="G68" s="16">
        <f>CHOOSE(scenario_idx,B68,C68,D68,E68)</f>
        <v/>
      </c>
    </row>
    <row r="69">
      <c r="A69" s="56" t="inlineStr">
        <is>
          <t>UK PAYROLL ON-COSTS</t>
        </is>
      </c>
    </row>
    <row r="70" ht="25.5" customHeight="1" s="55">
      <c r="A70" s="5" t="inlineStr">
        <is>
          <t>Employer NIC %</t>
        </is>
      </c>
      <c r="B70" s="25" t="n">
        <v>0.138</v>
      </c>
      <c r="C70" s="25" t="n">
        <v>0.138</v>
      </c>
      <c r="D70" s="25" t="n">
        <v>0.138</v>
      </c>
      <c r="F70" s="22" t="inlineStr">
        <is>
          <t>Flat applied to base</t>
        </is>
      </c>
      <c r="G70" s="26">
        <f>CHOOSE(scenario_idx,B70,C70,D70,E70)</f>
        <v/>
      </c>
    </row>
    <row r="71" ht="25.5" customHeight="1" s="55">
      <c r="A71" s="5" t="inlineStr">
        <is>
          <t>Employer pension %</t>
        </is>
      </c>
      <c r="B71" s="25" t="n">
        <v>0.03</v>
      </c>
      <c r="C71" s="25" t="n">
        <v>0.03</v>
      </c>
      <c r="D71" s="25" t="n">
        <v>0.03</v>
      </c>
      <c r="F71" s="22" t="inlineStr">
        <is>
          <t>Auto-enrol minimum</t>
        </is>
      </c>
      <c r="G71" s="26">
        <f>CHOOSE(scenario_idx,B71,C71,D71,E71)</f>
        <v/>
      </c>
    </row>
    <row r="72">
      <c r="A72" s="5" t="inlineStr">
        <is>
          <t>Apprenticeship Levy %</t>
        </is>
      </c>
      <c r="B72" s="25" t="n">
        <v>0.005</v>
      </c>
      <c r="C72" s="25" t="n">
        <v>0.005</v>
      </c>
      <c r="D72" s="25" t="n">
        <v>0.005</v>
      </c>
      <c r="F72" s="22" t="inlineStr">
        <is>
          <t>If paybill &gt; £3M</t>
        </is>
      </c>
      <c r="G72" s="26">
        <f>CHOOSE(scenario_idx,B72,C72,D72,E72)</f>
        <v/>
      </c>
    </row>
    <row r="73">
      <c r="A73" s="5" t="inlineStr">
        <is>
          <t>Apprenticeship Levy from month</t>
        </is>
      </c>
      <c r="B73" s="12" t="n">
        <v>24</v>
      </c>
      <c r="C73" s="12" t="n">
        <v>24</v>
      </c>
      <c r="D73" s="12" t="n">
        <v>24</v>
      </c>
      <c r="F73" s="22" t="n"/>
      <c r="G73" s="13">
        <f>CHOOSE(scenario_idx,B73,C73,D73,E73)</f>
        <v/>
      </c>
    </row>
    <row r="74" ht="25.5" customHeight="1" s="55">
      <c r="A74" s="5" t="inlineStr">
        <is>
          <t>Benefits £/FTE/yr</t>
        </is>
      </c>
      <c r="B74" s="15" t="n">
        <v>3600</v>
      </c>
      <c r="C74" s="15" t="n">
        <v>3000</v>
      </c>
      <c r="D74" s="15" t="n">
        <v>4500</v>
      </c>
      <c r="F74" s="22" t="inlineStr">
        <is>
          <t>Health, equipment</t>
        </is>
      </c>
      <c r="G74" s="16">
        <f>CHOOSE(scenario_idx,B74,C74,D74,E74)</f>
        <v/>
      </c>
    </row>
    <row r="75" ht="25.5" customHeight="1" s="55">
      <c r="A75" s="5" t="inlineStr">
        <is>
          <t>Recruitment fee % of base</t>
        </is>
      </c>
      <c r="B75" s="25" t="n">
        <v>0.15</v>
      </c>
      <c r="C75" s="25" t="n">
        <v>0.18</v>
      </c>
      <c r="D75" s="25" t="n">
        <v>0.12</v>
      </c>
      <c r="F75" s="22" t="inlineStr">
        <is>
          <t>One-off in hire month</t>
        </is>
      </c>
      <c r="G75" s="26">
        <f>CHOOSE(scenario_idx,B75,C75,D75,E75)</f>
        <v/>
      </c>
    </row>
    <row r="76" ht="25.5" customHeight="1" s="55">
      <c r="A76" s="5" t="inlineStr">
        <is>
          <t>Annual salary inflation %</t>
        </is>
      </c>
      <c r="B76" s="25" t="n">
        <v>0.04</v>
      </c>
      <c r="C76" s="25" t="n">
        <v>0.05</v>
      </c>
      <c r="D76" s="25" t="n">
        <v>0.03</v>
      </c>
      <c r="F76" s="22" t="inlineStr">
        <is>
          <t>Applied at M13/25/37/49</t>
        </is>
      </c>
      <c r="G76" s="26">
        <f>CHOOSE(scenario_idx,B76,C76,D76,E76)</f>
        <v/>
      </c>
    </row>
    <row r="77">
      <c r="A77" s="56" t="inlineStr">
        <is>
          <t>NON-PAYROLL OPEX (£/month by band)</t>
        </is>
      </c>
    </row>
    <row r="78">
      <c r="A78" s="5" t="inlineStr">
        <is>
          <t>Co-working / office — M1-6</t>
        </is>
      </c>
      <c r="B78" s="15" t="n">
        <v>2000</v>
      </c>
      <c r="C78" s="15" t="n">
        <v>2200</v>
      </c>
      <c r="D78" s="15" t="n">
        <v>1800</v>
      </c>
      <c r="F78" s="22" t="n"/>
      <c r="G78" s="16">
        <f>CHOOSE(scenario_idx,B78,C78,D78,E78)</f>
        <v/>
      </c>
    </row>
    <row r="79">
      <c r="A79" s="5" t="inlineStr">
        <is>
          <t>Co-working / office — M7-12</t>
        </is>
      </c>
      <c r="B79" s="15" t="n">
        <v>4000</v>
      </c>
      <c r="C79" s="15" t="n">
        <v>4400</v>
      </c>
      <c r="D79" s="15" t="n">
        <v>3600</v>
      </c>
      <c r="F79" s="22" t="n"/>
      <c r="G79" s="16">
        <f>CHOOSE(scenario_idx,B79,C79,D79,E79)</f>
        <v/>
      </c>
    </row>
    <row r="80">
      <c r="A80" s="5" t="inlineStr">
        <is>
          <t>Co-working / office — M13-24</t>
        </is>
      </c>
      <c r="B80" s="15" t="n">
        <v>6000</v>
      </c>
      <c r="C80" s="15" t="n">
        <v>6600</v>
      </c>
      <c r="D80" s="15" t="n">
        <v>5400</v>
      </c>
      <c r="F80" s="22" t="n"/>
      <c r="G80" s="16">
        <f>CHOOSE(scenario_idx,B80,C80,D80,E80)</f>
        <v/>
      </c>
    </row>
    <row r="81">
      <c r="A81" s="5" t="inlineStr">
        <is>
          <t>Co-working / office — M25-36</t>
        </is>
      </c>
      <c r="B81" s="15" t="n">
        <v>10000</v>
      </c>
      <c r="C81" s="15" t="n">
        <v>11000</v>
      </c>
      <c r="D81" s="15" t="n">
        <v>9000</v>
      </c>
      <c r="F81" s="22" t="n"/>
      <c r="G81" s="16">
        <f>CHOOSE(scenario_idx,B81,C81,D81,E81)</f>
        <v/>
      </c>
    </row>
    <row r="82">
      <c r="A82" s="5" t="inlineStr">
        <is>
          <t>Co-working / office — M37-60</t>
        </is>
      </c>
      <c r="B82" s="15" t="n">
        <v>18000</v>
      </c>
      <c r="C82" s="15" t="n">
        <v>19800</v>
      </c>
      <c r="D82" s="15" t="n">
        <v>16200</v>
      </c>
      <c r="F82" s="22" t="n"/>
      <c r="G82" s="16">
        <f>CHOOSE(scenario_idx,B82,C82,D82,E82)</f>
        <v/>
      </c>
    </row>
    <row r="83">
      <c r="A83" s="5" t="inlineStr">
        <is>
          <t>Legal &amp; company sec — M1-6</t>
        </is>
      </c>
      <c r="B83" s="15" t="n">
        <v>1500</v>
      </c>
      <c r="C83" s="15" t="n">
        <v>1650</v>
      </c>
      <c r="D83" s="15" t="n">
        <v>1350</v>
      </c>
      <c r="F83" s="22" t="n"/>
      <c r="G83" s="16">
        <f>CHOOSE(scenario_idx,B83,C83,D83,E83)</f>
        <v/>
      </c>
    </row>
    <row r="84">
      <c r="A84" s="5" t="inlineStr">
        <is>
          <t>Legal &amp; company sec — M7-12</t>
        </is>
      </c>
      <c r="B84" s="15" t="n">
        <v>1500</v>
      </c>
      <c r="C84" s="15" t="n">
        <v>1650</v>
      </c>
      <c r="D84" s="15" t="n">
        <v>1350</v>
      </c>
      <c r="F84" s="22" t="n"/>
      <c r="G84" s="16">
        <f>CHOOSE(scenario_idx,B84,C84,D84,E84)</f>
        <v/>
      </c>
    </row>
    <row r="85">
      <c r="A85" s="5" t="inlineStr">
        <is>
          <t>Legal &amp; company sec — M13-24</t>
        </is>
      </c>
      <c r="B85" s="15" t="n">
        <v>2000</v>
      </c>
      <c r="C85" s="15" t="n">
        <v>2200</v>
      </c>
      <c r="D85" s="15" t="n">
        <v>1800</v>
      </c>
      <c r="F85" s="22" t="n"/>
      <c r="G85" s="16">
        <f>CHOOSE(scenario_idx,B85,C85,D85,E85)</f>
        <v/>
      </c>
    </row>
    <row r="86">
      <c r="A86" s="5" t="inlineStr">
        <is>
          <t>Legal &amp; company sec — M25-36</t>
        </is>
      </c>
      <c r="B86" s="15" t="n">
        <v>3000</v>
      </c>
      <c r="C86" s="15" t="n">
        <v>3300</v>
      </c>
      <c r="D86" s="15" t="n">
        <v>2700</v>
      </c>
      <c r="F86" s="22" t="n"/>
      <c r="G86" s="16">
        <f>CHOOSE(scenario_idx,B86,C86,D86,E86)</f>
        <v/>
      </c>
    </row>
    <row r="87">
      <c r="A87" s="5" t="inlineStr">
        <is>
          <t>Legal &amp; company sec — M37-60</t>
        </is>
      </c>
      <c r="B87" s="15" t="n">
        <v>4500</v>
      </c>
      <c r="C87" s="15" t="n">
        <v>4950</v>
      </c>
      <c r="D87" s="15" t="n">
        <v>4050</v>
      </c>
      <c r="F87" s="22" t="n"/>
      <c r="G87" s="16">
        <f>CHOOSE(scenario_idx,B87,C87,D87,E87)</f>
        <v/>
      </c>
    </row>
    <row r="88">
      <c r="A88" s="5" t="inlineStr">
        <is>
          <t>Accounting / R&amp;D tax — M1-6</t>
        </is>
      </c>
      <c r="B88" s="15" t="n">
        <v>1000</v>
      </c>
      <c r="C88" s="15" t="n">
        <v>1100</v>
      </c>
      <c r="D88" s="15" t="n">
        <v>900</v>
      </c>
      <c r="F88" s="22" t="n"/>
      <c r="G88" s="16">
        <f>CHOOSE(scenario_idx,B88,C88,D88,E88)</f>
        <v/>
      </c>
    </row>
    <row r="89">
      <c r="A89" s="5" t="inlineStr">
        <is>
          <t>Accounting / R&amp;D tax — M7-12</t>
        </is>
      </c>
      <c r="B89" s="15" t="n">
        <v>1500</v>
      </c>
      <c r="C89" s="15" t="n">
        <v>1650</v>
      </c>
      <c r="D89" s="15" t="n">
        <v>1350</v>
      </c>
      <c r="F89" s="22" t="n"/>
      <c r="G89" s="16">
        <f>CHOOSE(scenario_idx,B89,C89,D89,E89)</f>
        <v/>
      </c>
    </row>
    <row r="90">
      <c r="A90" s="5" t="inlineStr">
        <is>
          <t>Accounting / R&amp;D tax — M13-24</t>
        </is>
      </c>
      <c r="B90" s="15" t="n">
        <v>2000</v>
      </c>
      <c r="C90" s="15" t="n">
        <v>2200</v>
      </c>
      <c r="D90" s="15" t="n">
        <v>1800</v>
      </c>
      <c r="F90" s="22" t="n"/>
      <c r="G90" s="16">
        <f>CHOOSE(scenario_idx,B90,C90,D90,E90)</f>
        <v/>
      </c>
    </row>
    <row r="91">
      <c r="A91" s="5" t="inlineStr">
        <is>
          <t>Accounting / R&amp;D tax — M25-36</t>
        </is>
      </c>
      <c r="B91" s="15" t="n">
        <v>3000</v>
      </c>
      <c r="C91" s="15" t="n">
        <v>3300</v>
      </c>
      <c r="D91" s="15" t="n">
        <v>2700</v>
      </c>
      <c r="F91" s="22" t="n"/>
      <c r="G91" s="16">
        <f>CHOOSE(scenario_idx,B91,C91,D91,E91)</f>
        <v/>
      </c>
    </row>
    <row r="92">
      <c r="A92" s="5" t="inlineStr">
        <is>
          <t>Accounting / R&amp;D tax — M37-60</t>
        </is>
      </c>
      <c r="B92" s="15" t="n">
        <v>4000</v>
      </c>
      <c r="C92" s="15" t="n">
        <v>4400</v>
      </c>
      <c r="D92" s="15" t="n">
        <v>3600</v>
      </c>
      <c r="F92" s="22" t="n"/>
      <c r="G92" s="16">
        <f>CHOOSE(scenario_idx,B92,C92,D92,E92)</f>
        <v/>
      </c>
    </row>
    <row r="93">
      <c r="A93" s="5" t="inlineStr">
        <is>
          <t>Insurance — M1-6</t>
        </is>
      </c>
      <c r="B93" s="15" t="n">
        <v>500</v>
      </c>
      <c r="C93" s="15" t="n">
        <v>550</v>
      </c>
      <c r="D93" s="15" t="n">
        <v>450</v>
      </c>
      <c r="F93" s="22" t="n"/>
      <c r="G93" s="16">
        <f>CHOOSE(scenario_idx,B93,C93,D93,E93)</f>
        <v/>
      </c>
    </row>
    <row r="94">
      <c r="A94" s="5" t="inlineStr">
        <is>
          <t>Insurance — M7-12</t>
        </is>
      </c>
      <c r="B94" s="15" t="n">
        <v>800</v>
      </c>
      <c r="C94" s="15" t="n">
        <v>880</v>
      </c>
      <c r="D94" s="15" t="n">
        <v>720</v>
      </c>
      <c r="F94" s="22" t="n"/>
      <c r="G94" s="16">
        <f>CHOOSE(scenario_idx,B94,C94,D94,E94)</f>
        <v/>
      </c>
    </row>
    <row r="95">
      <c r="A95" s="5" t="inlineStr">
        <is>
          <t>Insurance — M13-24</t>
        </is>
      </c>
      <c r="B95" s="15" t="n">
        <v>1200</v>
      </c>
      <c r="C95" s="15" t="n">
        <v>1320</v>
      </c>
      <c r="D95" s="15" t="n">
        <v>1080</v>
      </c>
      <c r="F95" s="22" t="n"/>
      <c r="G95" s="16">
        <f>CHOOSE(scenario_idx,B95,C95,D95,E95)</f>
        <v/>
      </c>
    </row>
    <row r="96">
      <c r="A96" s="5" t="inlineStr">
        <is>
          <t>Insurance — M25-36</t>
        </is>
      </c>
      <c r="B96" s="15" t="n">
        <v>1800</v>
      </c>
      <c r="C96" s="15" t="n">
        <v>1980</v>
      </c>
      <c r="D96" s="15" t="n">
        <v>1620</v>
      </c>
      <c r="F96" s="22" t="n"/>
      <c r="G96" s="16">
        <f>CHOOSE(scenario_idx,B96,C96,D96,E96)</f>
        <v/>
      </c>
    </row>
    <row r="97">
      <c r="A97" s="5" t="inlineStr">
        <is>
          <t>Insurance — M37-60</t>
        </is>
      </c>
      <c r="B97" s="15" t="n">
        <v>2500</v>
      </c>
      <c r="C97" s="15" t="n">
        <v>2750</v>
      </c>
      <c r="D97" s="15" t="n">
        <v>2250</v>
      </c>
      <c r="F97" s="22" t="n"/>
      <c r="G97" s="16">
        <f>CHOOSE(scenario_idx,B97,C97,D97,E97)</f>
        <v/>
      </c>
    </row>
    <row r="98">
      <c r="A98" s="5" t="inlineStr">
        <is>
          <t>SaaS tooling — M1-6</t>
        </is>
      </c>
      <c r="B98" s="15" t="n">
        <v>800</v>
      </c>
      <c r="C98" s="15" t="n">
        <v>880</v>
      </c>
      <c r="D98" s="15" t="n">
        <v>720</v>
      </c>
      <c r="F98" s="22" t="n"/>
      <c r="G98" s="16">
        <f>CHOOSE(scenario_idx,B98,C98,D98,E98)</f>
        <v/>
      </c>
    </row>
    <row r="99">
      <c r="A99" s="5" t="inlineStr">
        <is>
          <t>SaaS tooling — M7-12</t>
        </is>
      </c>
      <c r="B99" s="15" t="n">
        <v>1500</v>
      </c>
      <c r="C99" s="15" t="n">
        <v>1650</v>
      </c>
      <c r="D99" s="15" t="n">
        <v>1350</v>
      </c>
      <c r="F99" s="22" t="n"/>
      <c r="G99" s="16">
        <f>CHOOSE(scenario_idx,B99,C99,D99,E99)</f>
        <v/>
      </c>
    </row>
    <row r="100">
      <c r="A100" s="5" t="inlineStr">
        <is>
          <t>SaaS tooling — M13-24</t>
        </is>
      </c>
      <c r="B100" s="15" t="n">
        <v>2200</v>
      </c>
      <c r="C100" s="15" t="n">
        <v>2420</v>
      </c>
      <c r="D100" s="15" t="n">
        <v>1980</v>
      </c>
      <c r="F100" s="22" t="n"/>
      <c r="G100" s="16">
        <f>CHOOSE(scenario_idx,B100,C100,D100,E100)</f>
        <v/>
      </c>
    </row>
    <row r="101">
      <c r="A101" s="5" t="inlineStr">
        <is>
          <t>SaaS tooling — M25-36</t>
        </is>
      </c>
      <c r="B101" s="15" t="n">
        <v>3500</v>
      </c>
      <c r="C101" s="15" t="n">
        <v>3850</v>
      </c>
      <c r="D101" s="15" t="n">
        <v>3150</v>
      </c>
      <c r="F101" s="22" t="n"/>
      <c r="G101" s="16">
        <f>CHOOSE(scenario_idx,B101,C101,D101,E101)</f>
        <v/>
      </c>
    </row>
    <row r="102">
      <c r="A102" s="5" t="inlineStr">
        <is>
          <t>SaaS tooling — M37-60</t>
        </is>
      </c>
      <c r="B102" s="15" t="n">
        <v>5500</v>
      </c>
      <c r="C102" s="15" t="n">
        <v>6050</v>
      </c>
      <c r="D102" s="15" t="n">
        <v>4950</v>
      </c>
      <c r="F102" s="22" t="n"/>
      <c r="G102" s="16">
        <f>CHOOSE(scenario_idx,B102,C102,D102,E102)</f>
        <v/>
      </c>
    </row>
    <row r="103">
      <c r="A103" s="5" t="inlineStr">
        <is>
          <t>Performance marketing — M1-6</t>
        </is>
      </c>
      <c r="B103" s="15" t="n">
        <v>2000</v>
      </c>
      <c r="C103" s="15" t="n">
        <v>2200</v>
      </c>
      <c r="D103" s="15" t="n">
        <v>1800</v>
      </c>
      <c r="F103" s="22" t="n"/>
      <c r="G103" s="16">
        <f>CHOOSE(scenario_idx,B103,C103,D103,E103)</f>
        <v/>
      </c>
    </row>
    <row r="104">
      <c r="A104" s="5" t="inlineStr">
        <is>
          <t>Performance marketing — M7-12</t>
        </is>
      </c>
      <c r="B104" s="15" t="n">
        <v>8000</v>
      </c>
      <c r="C104" s="15" t="n">
        <v>8800</v>
      </c>
      <c r="D104" s="15" t="n">
        <v>7200</v>
      </c>
      <c r="F104" s="22" t="n"/>
      <c r="G104" s="16">
        <f>CHOOSE(scenario_idx,B104,C104,D104,E104)</f>
        <v/>
      </c>
    </row>
    <row r="105">
      <c r="A105" s="5" t="inlineStr">
        <is>
          <t>Performance marketing — M13-24</t>
        </is>
      </c>
      <c r="B105" s="15" t="n">
        <v>15000</v>
      </c>
      <c r="C105" s="15" t="n">
        <v>16500</v>
      </c>
      <c r="D105" s="15" t="n">
        <v>13500</v>
      </c>
      <c r="F105" s="22" t="n"/>
      <c r="G105" s="16">
        <f>CHOOSE(scenario_idx,B105,C105,D105,E105)</f>
        <v/>
      </c>
    </row>
    <row r="106">
      <c r="A106" s="5" t="inlineStr">
        <is>
          <t>Performance marketing — M25-36</t>
        </is>
      </c>
      <c r="B106" s="15" t="n">
        <v>35000</v>
      </c>
      <c r="C106" s="15" t="n">
        <v>38500</v>
      </c>
      <c r="D106" s="15" t="n">
        <v>31500</v>
      </c>
      <c r="F106" s="22" t="n"/>
      <c r="G106" s="16">
        <f>CHOOSE(scenario_idx,B106,C106,D106,E106)</f>
        <v/>
      </c>
    </row>
    <row r="107">
      <c r="A107" s="5" t="inlineStr">
        <is>
          <t>Performance marketing — M37-60</t>
        </is>
      </c>
      <c r="B107" s="15" t="n">
        <v>70000</v>
      </c>
      <c r="C107" s="15" t="n">
        <v>77000</v>
      </c>
      <c r="D107" s="15" t="n">
        <v>63000</v>
      </c>
      <c r="F107" s="22" t="n"/>
      <c r="G107" s="16">
        <f>CHOOSE(scenario_idx,B107,C107,D107,E107)</f>
        <v/>
      </c>
    </row>
    <row r="108">
      <c r="A108" s="5" t="inlineStr">
        <is>
          <t>Travel / events — M1-6</t>
        </is>
      </c>
      <c r="B108" s="15" t="n">
        <v>2000</v>
      </c>
      <c r="C108" s="15" t="n">
        <v>2200</v>
      </c>
      <c r="D108" s="15" t="n">
        <v>1800</v>
      </c>
      <c r="F108" s="22" t="n"/>
      <c r="G108" s="16">
        <f>CHOOSE(scenario_idx,B108,C108,D108,E108)</f>
        <v/>
      </c>
    </row>
    <row r="109">
      <c r="A109" s="5" t="inlineStr">
        <is>
          <t>Travel / events — M7-12</t>
        </is>
      </c>
      <c r="B109" s="15" t="n">
        <v>4000</v>
      </c>
      <c r="C109" s="15" t="n">
        <v>4400</v>
      </c>
      <c r="D109" s="15" t="n">
        <v>3600</v>
      </c>
      <c r="F109" s="22" t="n"/>
      <c r="G109" s="16">
        <f>CHOOSE(scenario_idx,B109,C109,D109,E109)</f>
        <v/>
      </c>
    </row>
    <row r="110">
      <c r="A110" s="5" t="inlineStr">
        <is>
          <t>Travel / events — M13-24</t>
        </is>
      </c>
      <c r="B110" s="15" t="n">
        <v>6000</v>
      </c>
      <c r="C110" s="15" t="n">
        <v>6600</v>
      </c>
      <c r="D110" s="15" t="n">
        <v>5400</v>
      </c>
      <c r="F110" s="22" t="n"/>
      <c r="G110" s="16">
        <f>CHOOSE(scenario_idx,B110,C110,D110,E110)</f>
        <v/>
      </c>
    </row>
    <row r="111">
      <c r="A111" s="5" t="inlineStr">
        <is>
          <t>Travel / events — M25-36</t>
        </is>
      </c>
      <c r="B111" s="15" t="n">
        <v>10000</v>
      </c>
      <c r="C111" s="15" t="n">
        <v>11000</v>
      </c>
      <c r="D111" s="15" t="n">
        <v>9000</v>
      </c>
      <c r="F111" s="22" t="n"/>
      <c r="G111" s="16">
        <f>CHOOSE(scenario_idx,B111,C111,D111,E111)</f>
        <v/>
      </c>
    </row>
    <row r="112">
      <c r="A112" s="5" t="inlineStr">
        <is>
          <t>Travel / events — M37-60</t>
        </is>
      </c>
      <c r="B112" s="15" t="n">
        <v>18000</v>
      </c>
      <c r="C112" s="15" t="n">
        <v>19800</v>
      </c>
      <c r="D112" s="15" t="n">
        <v>16200</v>
      </c>
      <c r="F112" s="22" t="n"/>
      <c r="G112" s="16">
        <f>CHOOSE(scenario_idx,B112,C112,D112,E112)</f>
        <v/>
      </c>
    </row>
    <row r="113" ht="25.5" customHeight="1" s="55">
      <c r="A113" s="5" t="inlineStr">
        <is>
          <t>Contingency % of non-payroll opex</t>
        </is>
      </c>
      <c r="B113" s="25" t="n">
        <v>0.1</v>
      </c>
      <c r="C113" s="25" t="n">
        <v>0.12</v>
      </c>
      <c r="D113" s="25" t="n">
        <v>0.08</v>
      </c>
      <c r="F113" s="22" t="inlineStr">
        <is>
          <t>Applied to sum of above</t>
        </is>
      </c>
      <c r="G113" s="26">
        <f>CHOOSE(scenario_idx,B113,C113,D113,E113)</f>
        <v/>
      </c>
    </row>
    <row r="114">
      <c r="A114" s="56" t="inlineStr">
        <is>
          <t>CREATOR ACQUISITION SPEND (channel total £/month)</t>
        </is>
      </c>
    </row>
    <row r="115" ht="25.5" customHeight="1" s="55">
      <c r="A115" s="5" t="inlineStr">
        <is>
          <t>Creator acq — M1-6 (£/mo)</t>
        </is>
      </c>
      <c r="B115" s="15" t="n">
        <v>8000</v>
      </c>
      <c r="C115" s="15" t="n">
        <v>6000</v>
      </c>
      <c r="D115" s="15" t="n">
        <v>12000</v>
      </c>
      <c r="F115" s="22" t="inlineStr">
        <is>
          <t>Founding-500 seed + events</t>
        </is>
      </c>
      <c r="G115" s="16">
        <f>CHOOSE(scenario_idx,B115,C115,D115,E115)</f>
        <v/>
      </c>
    </row>
    <row r="116">
      <c r="A116" s="5" t="inlineStr">
        <is>
          <t>Creator acq — M7-12</t>
        </is>
      </c>
      <c r="B116" s="15" t="n">
        <v>20000</v>
      </c>
      <c r="C116" s="15" t="n">
        <v>15000</v>
      </c>
      <c r="D116" s="15" t="n">
        <v>30000</v>
      </c>
      <c r="F116" s="22" t="n"/>
      <c r="G116" s="16">
        <f>CHOOSE(scenario_idx,B116,C116,D116,E116)</f>
        <v/>
      </c>
    </row>
    <row r="117">
      <c r="A117" s="5" t="inlineStr">
        <is>
          <t>Creator acq — M13-24</t>
        </is>
      </c>
      <c r="B117" s="15" t="n">
        <v>35000</v>
      </c>
      <c r="C117" s="15" t="n">
        <v>25000</v>
      </c>
      <c r="D117" s="15" t="n">
        <v>55000</v>
      </c>
      <c r="F117" s="22" t="n"/>
      <c r="G117" s="16">
        <f>CHOOSE(scenario_idx,B117,C117,D117,E117)</f>
        <v/>
      </c>
    </row>
    <row r="118">
      <c r="A118" s="5" t="inlineStr">
        <is>
          <t>Creator acq — M25-36</t>
        </is>
      </c>
      <c r="B118" s="15" t="n">
        <v>60000</v>
      </c>
      <c r="C118" s="15" t="n">
        <v>45000</v>
      </c>
      <c r="D118" s="15" t="n">
        <v>90000</v>
      </c>
      <c r="F118" s="22" t="n"/>
      <c r="G118" s="16">
        <f>CHOOSE(scenario_idx,B118,C118,D118,E118)</f>
        <v/>
      </c>
    </row>
    <row r="119">
      <c r="A119" s="5" t="inlineStr">
        <is>
          <t>Creator acq — M37-60</t>
        </is>
      </c>
      <c r="B119" s="15" t="n">
        <v>90000</v>
      </c>
      <c r="C119" s="15" t="n">
        <v>65000</v>
      </c>
      <c r="D119" s="15" t="n">
        <v>140000</v>
      </c>
      <c r="F119" s="22" t="n"/>
      <c r="G119" s="16">
        <f>CHOOSE(scenario_idx,B119,C119,D119,E119)</f>
        <v/>
      </c>
    </row>
    <row r="120" ht="25.5" customHeight="1" s="55">
      <c r="A120" s="5" t="inlineStr">
        <is>
          <t>Operator GTM £/mo</t>
        </is>
      </c>
      <c r="B120" s="15" t="n">
        <v>5000</v>
      </c>
      <c r="C120" s="15" t="n">
        <v>4000</v>
      </c>
      <c r="D120" s="15" t="n">
        <v>7000</v>
      </c>
      <c r="F120" s="22" t="inlineStr">
        <is>
          <t>Outbound + events</t>
        </is>
      </c>
      <c r="G120" s="16">
        <f>CHOOSE(scenario_idx,B120,C120,D120,E120)</f>
        <v/>
      </c>
    </row>
    <row r="121">
      <c r="A121" s="56" t="inlineStr">
        <is>
          <t>FUNDING — multi-tranche</t>
        </is>
      </c>
    </row>
    <row r="122">
      <c r="A122" s="5" t="inlineStr">
        <is>
          <t>Starting cash @ M0 (£)</t>
        </is>
      </c>
      <c r="B122" s="15" t="n">
        <v>50000</v>
      </c>
      <c r="C122" s="15" t="n">
        <v>25000</v>
      </c>
      <c r="D122" s="15" t="n">
        <v>100000</v>
      </c>
      <c r="F122" s="22" t="inlineStr">
        <is>
          <t>Pre-seed</t>
        </is>
      </c>
      <c r="G122" s="16">
        <f>CHOOSE(scenario_idx,B122,C122,D122,E122)</f>
        <v/>
      </c>
    </row>
    <row r="123">
      <c r="A123" s="5" t="inlineStr">
        <is>
          <t>Seed raise (£)</t>
        </is>
      </c>
      <c r="B123" s="15" t="n">
        <v>2000000</v>
      </c>
      <c r="C123" s="15" t="n">
        <v>1500000</v>
      </c>
      <c r="D123" s="15" t="n">
        <v>3000000</v>
      </c>
      <c r="F123" s="22" t="n"/>
      <c r="G123" s="16">
        <f>CHOOSE(scenario_idx,B123,C123,D123,E123)</f>
        <v/>
      </c>
    </row>
    <row r="124">
      <c r="A124" s="5" t="inlineStr">
        <is>
          <t>Seed close month</t>
        </is>
      </c>
      <c r="B124" s="12" t="n">
        <v>1</v>
      </c>
      <c r="C124" s="12" t="n">
        <v>1</v>
      </c>
      <c r="D124" s="12" t="n">
        <v>1</v>
      </c>
      <c r="F124" s="22" t="n"/>
      <c r="G124" s="13">
        <f>CHOOSE(scenario_idx,B124,C124,D124,E124)</f>
        <v/>
      </c>
    </row>
    <row r="125">
      <c r="A125" s="5" t="inlineStr">
        <is>
          <t>Series A raise (£)</t>
        </is>
      </c>
      <c r="B125" s="15" t="n">
        <v>8000000</v>
      </c>
      <c r="C125" s="15" t="n">
        <v>5000000</v>
      </c>
      <c r="D125" s="15" t="n">
        <v>12000000</v>
      </c>
      <c r="F125" s="22" t="n"/>
      <c r="G125" s="16">
        <f>CHOOSE(scenario_idx,B125,C125,D125,E125)</f>
        <v/>
      </c>
    </row>
    <row r="126">
      <c r="A126" s="5" t="inlineStr">
        <is>
          <t>Series A close month</t>
        </is>
      </c>
      <c r="B126" s="12" t="n">
        <v>22</v>
      </c>
      <c r="C126" s="12" t="n">
        <v>26</v>
      </c>
      <c r="D126" s="12" t="n">
        <v>18</v>
      </c>
      <c r="F126" s="22" t="n"/>
      <c r="G126" s="13">
        <f>CHOOSE(scenario_idx,B126,C126,D126,E126)</f>
        <v/>
      </c>
    </row>
    <row r="127">
      <c r="A127" s="5" t="inlineStr">
        <is>
          <t>Series B raise (£)</t>
        </is>
      </c>
      <c r="B127" s="15" t="n">
        <v>20000000</v>
      </c>
      <c r="C127" s="15" t="n">
        <v>12000000</v>
      </c>
      <c r="D127" s="15" t="n">
        <v>35000000</v>
      </c>
      <c r="F127" s="22" t="n"/>
      <c r="G127" s="16">
        <f>CHOOSE(scenario_idx,B127,C127,D127,E127)</f>
        <v/>
      </c>
    </row>
    <row r="128">
      <c r="A128" s="5" t="inlineStr">
        <is>
          <t>Series B close month</t>
        </is>
      </c>
      <c r="B128" s="12" t="n">
        <v>44</v>
      </c>
      <c r="C128" s="12" t="n">
        <v>50</v>
      </c>
      <c r="D128" s="12" t="n">
        <v>38</v>
      </c>
      <c r="F128" s="22" t="n"/>
      <c r="G128" s="13">
        <f>CHOOSE(scenario_idx,B128,C128,D128,E128)</f>
        <v/>
      </c>
    </row>
  </sheetData>
  <mergeCells count="12">
    <mergeCell ref="A1:G1"/>
    <mergeCell ref="A77:G77"/>
    <mergeCell ref="A69:G69"/>
    <mergeCell ref="A55:G55"/>
    <mergeCell ref="A114:G114"/>
    <mergeCell ref="A4:G4"/>
    <mergeCell ref="A2:G2"/>
    <mergeCell ref="A15:G15"/>
    <mergeCell ref="A29:G29"/>
    <mergeCell ref="A60:G60"/>
    <mergeCell ref="A121:G12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I14" sqref="I14"/>
    </sheetView>
  </sheetViews>
  <sheetFormatPr baseColWidth="8" defaultRowHeight="14.25"/>
  <cols>
    <col width="26" customWidth="1" style="55" min="1" max="1"/>
    <col width="16" customWidth="1" style="55" min="2" max="10"/>
  </cols>
  <sheetData>
    <row r="1" ht="22.05" customHeight="1" s="55">
      <c r="A1" s="54" t="inlineStr">
        <is>
          <t>Channel CAC — Creator &amp; Operator acquisition</t>
        </is>
      </c>
    </row>
    <row r="3">
      <c r="A3" s="60" t="inlineStr">
        <is>
          <t>Channel split shown for CAC discipline. Monthly £ totals on assumptions drive cash.</t>
        </is>
      </c>
    </row>
    <row r="5">
      <c r="A5" s="56" t="inlineStr">
        <is>
          <t>CREATOR ACQUISITION</t>
        </is>
      </c>
    </row>
    <row r="6">
      <c r="A6" s="4" t="inlineStr">
        <is>
          <t>Channel</t>
        </is>
      </c>
      <c r="B6" s="4" t="inlineStr">
        <is>
          <t>Spend share</t>
        </is>
      </c>
      <c r="C6" s="4" t="inlineStr">
        <is>
          <t>CPL £</t>
        </is>
      </c>
      <c r="D6" s="4" t="inlineStr">
        <is>
          <t>Conv %</t>
        </is>
      </c>
      <c r="E6" s="4" t="inlineStr">
        <is>
          <t>CAC £</t>
        </is>
      </c>
      <c r="F6" s="4" t="inlineStr">
        <is>
          <t>New creators/mo @ M12</t>
        </is>
      </c>
      <c r="G6" s="4" t="inlineStr">
        <is>
          <t>CAC @ M36</t>
        </is>
      </c>
      <c r="H6" s="4" t="inlineStr">
        <is>
          <t>New /mo @ M36</t>
        </is>
      </c>
    </row>
    <row r="7">
      <c r="A7" s="5" t="inlineStr">
        <is>
          <t>Paid Social (TikTok/IG)</t>
        </is>
      </c>
      <c r="B7" s="25" t="n">
        <v>0.4</v>
      </c>
      <c r="C7" s="15" t="n">
        <v>8</v>
      </c>
      <c r="D7" s="25" t="n">
        <v>0.06</v>
      </c>
      <c r="E7" s="17">
        <f>IF(D7&gt;0,C7/D7,0)</f>
        <v/>
      </c>
      <c r="F7" s="13">
        <f>IFERROR(assumptions!$G$116*B7/E7,0)</f>
        <v/>
      </c>
      <c r="G7" s="17">
        <f>E7*1.1</f>
        <v/>
      </c>
      <c r="H7" s="13">
        <f>IFERROR(assumptions!$G$118*B7/G7,0)</f>
        <v/>
      </c>
    </row>
    <row r="8">
      <c r="A8" s="5" t="inlineStr">
        <is>
          <t>Creator Referral</t>
        </is>
      </c>
      <c r="B8" s="25" t="n">
        <v>0.2</v>
      </c>
      <c r="C8" s="15" t="n">
        <v>3</v>
      </c>
      <c r="D8" s="25" t="n">
        <v>0.18</v>
      </c>
      <c r="E8" s="17">
        <f>IF(D8&gt;0,C8/D8,0)</f>
        <v/>
      </c>
      <c r="F8" s="13">
        <f>IFERROR(assumptions!$G$116*B8/E8,0)</f>
        <v/>
      </c>
      <c r="G8" s="17">
        <f>E8*1.1</f>
        <v/>
      </c>
      <c r="H8" s="13">
        <f>IFERROR(assumptions!$G$118*B8/G8,0)</f>
        <v/>
      </c>
    </row>
    <row r="9">
      <c r="A9" s="5" t="inlineStr">
        <is>
          <t>Founding-500 Programme</t>
        </is>
      </c>
      <c r="B9" s="25" t="n">
        <v>0.15</v>
      </c>
      <c r="C9" s="15" t="n">
        <v>0</v>
      </c>
      <c r="D9" s="25" t="n">
        <v>0</v>
      </c>
      <c r="E9" s="15" t="n">
        <v>200</v>
      </c>
      <c r="F9" s="13">
        <f>IFERROR(assumptions!$G$116*B9/E9,0)</f>
        <v/>
      </c>
      <c r="G9" s="17">
        <f>E9*1.1</f>
        <v/>
      </c>
      <c r="H9" s="13">
        <f>IFERROR(assumptions!$G$118*B9/G9,0)</f>
        <v/>
      </c>
    </row>
    <row r="10">
      <c r="A10" s="5" t="inlineStr">
        <is>
          <t>SEO / Content</t>
        </is>
      </c>
      <c r="B10" s="25" t="n">
        <v>0.1</v>
      </c>
      <c r="C10" s="15" t="n">
        <v>4</v>
      </c>
      <c r="D10" s="25" t="n">
        <v>0.05</v>
      </c>
      <c r="E10" s="17">
        <f>IF(D10&gt;0,C10/D10,0)</f>
        <v/>
      </c>
      <c r="F10" s="13">
        <f>IFERROR(assumptions!$G$116*B10/E10,0)</f>
        <v/>
      </c>
      <c r="G10" s="17">
        <f>E10*1.1</f>
        <v/>
      </c>
      <c r="H10" s="13">
        <f>IFERROR(assumptions!$G$118*B10/G10,0)</f>
        <v/>
      </c>
    </row>
    <row r="11">
      <c r="A11" s="5" t="inlineStr">
        <is>
          <t>Events / meetups</t>
        </is>
      </c>
      <c r="B11" s="25" t="n">
        <v>0.1</v>
      </c>
      <c r="C11" s="15" t="n">
        <v>25</v>
      </c>
      <c r="D11" s="25" t="n">
        <v>0.1</v>
      </c>
      <c r="E11" s="17">
        <f>IF(D11&gt;0,C11/D11,0)</f>
        <v/>
      </c>
      <c r="F11" s="13">
        <f>IFERROR(assumptions!$G$116*B11/E11,0)</f>
        <v/>
      </c>
      <c r="G11" s="17">
        <f>E11*1.1</f>
        <v/>
      </c>
      <c r="H11" s="13">
        <f>IFERROR(assumptions!$G$118*B11/G11,0)</f>
        <v/>
      </c>
    </row>
    <row r="12">
      <c r="A12" s="5" t="inlineStr">
        <is>
          <t>Direct outreach</t>
        </is>
      </c>
      <c r="B12" s="25" t="n">
        <v>0.05</v>
      </c>
      <c r="C12" s="15" t="n">
        <v>12</v>
      </c>
      <c r="D12" s="25" t="n">
        <v>0.08</v>
      </c>
      <c r="E12" s="17">
        <f>IF(D12&gt;0,C12/D12,0)</f>
        <v/>
      </c>
      <c r="F12" s="13">
        <f>IFERROR(assumptions!$G$116*B12/E12,0)</f>
        <v/>
      </c>
      <c r="G12" s="17">
        <f>E12*1.1</f>
        <v/>
      </c>
      <c r="H12" s="13">
        <f>IFERROR(assumptions!$G$118*B12/G12,0)</f>
        <v/>
      </c>
    </row>
    <row r="13">
      <c r="A13" s="27" t="inlineStr">
        <is>
          <t>Total</t>
        </is>
      </c>
      <c r="B13" s="28">
        <f>SUM(B7:B12)</f>
        <v/>
      </c>
      <c r="C13" s="29" t="n"/>
      <c r="D13" s="29" t="n"/>
      <c r="E13" s="30">
        <f>SUMPRODUCT(B7:B12,E7:E12)</f>
        <v/>
      </c>
      <c r="F13" s="31">
        <f>SUM(F7:F12)</f>
        <v/>
      </c>
      <c r="G13" s="30">
        <f>SUMPRODUCT(B7:B12,G7:G12)</f>
        <v/>
      </c>
      <c r="H13" s="31">
        <f>SUM(H7:H12)</f>
        <v/>
      </c>
    </row>
    <row r="16">
      <c r="A16" s="56" t="inlineStr">
        <is>
          <t>OPERATOR ACQUISITION</t>
        </is>
      </c>
    </row>
    <row r="17">
      <c r="A17" s="4" t="inlineStr">
        <is>
          <t>Channel</t>
        </is>
      </c>
      <c r="B17" s="4" t="inlineStr">
        <is>
          <t>Spend share</t>
        </is>
      </c>
      <c r="C17" s="4" t="inlineStr">
        <is>
          <t>CPL £</t>
        </is>
      </c>
      <c r="D17" s="4" t="inlineStr">
        <is>
          <t>Conv %</t>
        </is>
      </c>
      <c r="E17" s="4" t="inlineStr">
        <is>
          <t>CAC £</t>
        </is>
      </c>
      <c r="F17" s="4" t="inlineStr">
        <is>
          <t>New ops/mo @ M12</t>
        </is>
      </c>
      <c r="G17" s="4" t="inlineStr">
        <is>
          <t>CAC @ M36</t>
        </is>
      </c>
      <c r="H17" s="4" t="inlineStr">
        <is>
          <t>New ops/mo @ M36</t>
        </is>
      </c>
    </row>
    <row r="18">
      <c r="A18" s="5" t="inlineStr">
        <is>
          <t>Outbound sales</t>
        </is>
      </c>
      <c r="B18" s="25" t="n">
        <v>0.55</v>
      </c>
      <c r="C18" s="15" t="n">
        <v>0</v>
      </c>
      <c r="D18" s="25" t="n">
        <v>0</v>
      </c>
      <c r="E18" s="15" t="n">
        <v>400</v>
      </c>
      <c r="F18" s="13">
        <f>IFERROR(assumptions!$G$120*B18/E18,0)</f>
        <v/>
      </c>
      <c r="G18" s="17">
        <f>E18*1.1</f>
        <v/>
      </c>
      <c r="H18" s="13">
        <f>IFERROR(assumptions!$G$120*B18/G18,0)</f>
        <v/>
      </c>
    </row>
    <row r="19">
      <c r="A19" s="5" t="inlineStr">
        <is>
          <t>Inbound demo</t>
        </is>
      </c>
      <c r="B19" s="25" t="n">
        <v>0.2</v>
      </c>
      <c r="C19" s="15" t="n">
        <v>20</v>
      </c>
      <c r="D19" s="25" t="n">
        <v>0.25</v>
      </c>
      <c r="E19" s="17">
        <f>IF(D19&gt;0,C19/D19,0)</f>
        <v/>
      </c>
      <c r="F19" s="13">
        <f>IFERROR(assumptions!$G$120*B19/E19,0)</f>
        <v/>
      </c>
      <c r="G19" s="17">
        <f>E19*1.1</f>
        <v/>
      </c>
      <c r="H19" s="13">
        <f>IFERROR(assumptions!$G$120*B19/G19,0)</f>
        <v/>
      </c>
    </row>
    <row r="20">
      <c r="A20" s="5" t="inlineStr">
        <is>
          <t>Partner referral</t>
        </is>
      </c>
      <c r="B20" s="25" t="n">
        <v>0.15</v>
      </c>
      <c r="C20" s="15" t="n">
        <v>10</v>
      </c>
      <c r="D20" s="25" t="n">
        <v>0.4</v>
      </c>
      <c r="E20" s="17">
        <f>IF(D20&gt;0,C20/D20,0)</f>
        <v/>
      </c>
      <c r="F20" s="13">
        <f>IFERROR(assumptions!$G$120*B20/E20,0)</f>
        <v/>
      </c>
      <c r="G20" s="17">
        <f>E20*1.1</f>
        <v/>
      </c>
      <c r="H20" s="13">
        <f>IFERROR(assumptions!$G$120*B20/G20,0)</f>
        <v/>
      </c>
    </row>
    <row r="21">
      <c r="A21" s="5" t="inlineStr">
        <is>
          <t>Events/trade show</t>
        </is>
      </c>
      <c r="B21" s="25" t="n">
        <v>0.1</v>
      </c>
      <c r="C21" s="15" t="n">
        <v>50</v>
      </c>
      <c r="D21" s="25" t="n">
        <v>0.15</v>
      </c>
      <c r="E21" s="17">
        <f>IF(D21&gt;0,C21/D21,0)</f>
        <v/>
      </c>
      <c r="F21" s="13">
        <f>IFERROR(assumptions!$G$120*B21/E21,0)</f>
        <v/>
      </c>
      <c r="G21" s="17">
        <f>E21*1.1</f>
        <v/>
      </c>
      <c r="H21" s="13">
        <f>IFERROR(assumptions!$G$120*B21/G21,0)</f>
        <v/>
      </c>
    </row>
    <row r="22">
      <c r="A22" s="27" t="inlineStr">
        <is>
          <t>Total</t>
        </is>
      </c>
      <c r="B22" s="29" t="n"/>
      <c r="C22" s="29" t="n"/>
      <c r="D22" s="29" t="n"/>
      <c r="E22" s="30">
        <f>SUMPRODUCT(B18:B21,E18:E21)</f>
        <v/>
      </c>
      <c r="F22" s="31">
        <f>SUM(F18:F21)</f>
        <v/>
      </c>
      <c r="G22" s="29" t="n"/>
      <c r="H22" s="29" t="n"/>
    </row>
  </sheetData>
  <mergeCells count="4">
    <mergeCell ref="A16:J16"/>
    <mergeCell ref="A1:J1"/>
    <mergeCell ref="A3:J3"/>
    <mergeCell ref="A5:J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BN54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B12" sqref="B12"/>
    </sheetView>
  </sheetViews>
  <sheetFormatPr baseColWidth="8" defaultRowHeight="14.25"/>
  <cols>
    <col width="8" customWidth="1" style="55" min="1" max="1"/>
    <col width="32" customWidth="1" style="55" min="2" max="2"/>
    <col width="6.796875" bestFit="1" customWidth="1" style="55" min="3" max="3"/>
    <col width="12" customWidth="1" style="55" min="4" max="4"/>
    <col width="10" customWidth="1" style="55" min="5" max="66"/>
  </cols>
  <sheetData>
    <row r="1" ht="22.05" customHeight="1" s="55">
      <c r="A1" s="54" t="inlineStr">
        <is>
          <t>UK Headcount Plan (60 months) — loaded cost incl. NIC, pension, benefits, recruitment</t>
        </is>
      </c>
    </row>
    <row r="3">
      <c r="A3" s="21" t="inlineStr">
        <is>
          <t>#</t>
        </is>
      </c>
      <c r="B3" s="21" t="inlineStr">
        <is>
          <t>Role</t>
        </is>
      </c>
      <c r="C3" s="21" t="inlineStr">
        <is>
          <t>Team</t>
        </is>
      </c>
      <c r="D3" s="21" t="inlineStr">
        <is>
          <t>Base £/yr</t>
        </is>
      </c>
      <c r="E3" s="21" t="inlineStr">
        <is>
          <t>Start M</t>
        </is>
      </c>
      <c r="F3" s="21" t="inlineStr">
        <is>
          <t>End M</t>
        </is>
      </c>
      <c r="G3" s="21" t="inlineStr">
        <is>
          <t>M1</t>
        </is>
      </c>
      <c r="H3" s="21" t="inlineStr">
        <is>
          <t>M2</t>
        </is>
      </c>
      <c r="I3" s="21" t="inlineStr">
        <is>
          <t>M3</t>
        </is>
      </c>
      <c r="J3" s="21" t="inlineStr">
        <is>
          <t>M4</t>
        </is>
      </c>
      <c r="K3" s="21" t="inlineStr">
        <is>
          <t>M5</t>
        </is>
      </c>
      <c r="L3" s="21" t="inlineStr">
        <is>
          <t>M6</t>
        </is>
      </c>
      <c r="M3" s="21" t="inlineStr">
        <is>
          <t>M7</t>
        </is>
      </c>
      <c r="N3" s="21" t="inlineStr">
        <is>
          <t>M8</t>
        </is>
      </c>
      <c r="O3" s="21" t="inlineStr">
        <is>
          <t>M9</t>
        </is>
      </c>
      <c r="P3" s="21" t="inlineStr">
        <is>
          <t>M10</t>
        </is>
      </c>
      <c r="Q3" s="21" t="inlineStr">
        <is>
          <t>M11</t>
        </is>
      </c>
      <c r="R3" s="21" t="inlineStr">
        <is>
          <t>M12</t>
        </is>
      </c>
      <c r="S3" s="21" t="inlineStr">
        <is>
          <t>M13</t>
        </is>
      </c>
      <c r="T3" s="21" t="inlineStr">
        <is>
          <t>M14</t>
        </is>
      </c>
      <c r="U3" s="21" t="inlineStr">
        <is>
          <t>M15</t>
        </is>
      </c>
      <c r="V3" s="21" t="inlineStr">
        <is>
          <t>M16</t>
        </is>
      </c>
      <c r="W3" s="21" t="inlineStr">
        <is>
          <t>M17</t>
        </is>
      </c>
      <c r="X3" s="21" t="inlineStr">
        <is>
          <t>M18</t>
        </is>
      </c>
      <c r="Y3" s="21" t="inlineStr">
        <is>
          <t>M19</t>
        </is>
      </c>
      <c r="Z3" s="21" t="inlineStr">
        <is>
          <t>M20</t>
        </is>
      </c>
      <c r="AA3" s="21" t="inlineStr">
        <is>
          <t>M21</t>
        </is>
      </c>
      <c r="AB3" s="21" t="inlineStr">
        <is>
          <t>M22</t>
        </is>
      </c>
      <c r="AC3" s="21" t="inlineStr">
        <is>
          <t>M23</t>
        </is>
      </c>
      <c r="AD3" s="21" t="inlineStr">
        <is>
          <t>M24</t>
        </is>
      </c>
      <c r="AE3" s="21" t="inlineStr">
        <is>
          <t>M25</t>
        </is>
      </c>
      <c r="AF3" s="21" t="inlineStr">
        <is>
          <t>M26</t>
        </is>
      </c>
      <c r="AG3" s="21" t="inlineStr">
        <is>
          <t>M27</t>
        </is>
      </c>
      <c r="AH3" s="21" t="inlineStr">
        <is>
          <t>M28</t>
        </is>
      </c>
      <c r="AI3" s="21" t="inlineStr">
        <is>
          <t>M29</t>
        </is>
      </c>
      <c r="AJ3" s="21" t="inlineStr">
        <is>
          <t>M30</t>
        </is>
      </c>
      <c r="AK3" s="21" t="inlineStr">
        <is>
          <t>M31</t>
        </is>
      </c>
      <c r="AL3" s="21" t="inlineStr">
        <is>
          <t>M32</t>
        </is>
      </c>
      <c r="AM3" s="21" t="inlineStr">
        <is>
          <t>M33</t>
        </is>
      </c>
      <c r="AN3" s="21" t="inlineStr">
        <is>
          <t>M34</t>
        </is>
      </c>
      <c r="AO3" s="21" t="inlineStr">
        <is>
          <t>M35</t>
        </is>
      </c>
      <c r="AP3" s="21" t="inlineStr">
        <is>
          <t>M36</t>
        </is>
      </c>
      <c r="AQ3" s="21" t="inlineStr">
        <is>
          <t>M37</t>
        </is>
      </c>
      <c r="AR3" s="21" t="inlineStr">
        <is>
          <t>M38</t>
        </is>
      </c>
      <c r="AS3" s="21" t="inlineStr">
        <is>
          <t>M39</t>
        </is>
      </c>
      <c r="AT3" s="21" t="inlineStr">
        <is>
          <t>M40</t>
        </is>
      </c>
      <c r="AU3" s="21" t="inlineStr">
        <is>
          <t>M41</t>
        </is>
      </c>
      <c r="AV3" s="21" t="inlineStr">
        <is>
          <t>M42</t>
        </is>
      </c>
      <c r="AW3" s="21" t="inlineStr">
        <is>
          <t>M43</t>
        </is>
      </c>
      <c r="AX3" s="21" t="inlineStr">
        <is>
          <t>M44</t>
        </is>
      </c>
      <c r="AY3" s="21" t="inlineStr">
        <is>
          <t>M45</t>
        </is>
      </c>
      <c r="AZ3" s="21" t="inlineStr">
        <is>
          <t>M46</t>
        </is>
      </c>
      <c r="BA3" s="21" t="inlineStr">
        <is>
          <t>M47</t>
        </is>
      </c>
      <c r="BB3" s="21" t="inlineStr">
        <is>
          <t>M48</t>
        </is>
      </c>
      <c r="BC3" s="21" t="inlineStr">
        <is>
          <t>M49</t>
        </is>
      </c>
      <c r="BD3" s="21" t="inlineStr">
        <is>
          <t>M50</t>
        </is>
      </c>
      <c r="BE3" s="21" t="inlineStr">
        <is>
          <t>M51</t>
        </is>
      </c>
      <c r="BF3" s="21" t="inlineStr">
        <is>
          <t>M52</t>
        </is>
      </c>
      <c r="BG3" s="21" t="inlineStr">
        <is>
          <t>M53</t>
        </is>
      </c>
      <c r="BH3" s="21" t="inlineStr">
        <is>
          <t>M54</t>
        </is>
      </c>
      <c r="BI3" s="21" t="inlineStr">
        <is>
          <t>M55</t>
        </is>
      </c>
      <c r="BJ3" s="21" t="inlineStr">
        <is>
          <t>M56</t>
        </is>
      </c>
      <c r="BK3" s="21" t="inlineStr">
        <is>
          <t>M57</t>
        </is>
      </c>
      <c r="BL3" s="21" t="inlineStr">
        <is>
          <t>M58</t>
        </is>
      </c>
      <c r="BM3" s="21" t="inlineStr">
        <is>
          <t>M59</t>
        </is>
      </c>
      <c r="BN3" s="21" t="inlineStr">
        <is>
          <t>M60</t>
        </is>
      </c>
    </row>
    <row r="4">
      <c r="A4" s="5" t="n">
        <v>1</v>
      </c>
      <c r="B4" s="5" t="inlineStr">
        <is>
          <t>CEO / Founder</t>
        </is>
      </c>
      <c r="C4" s="5" t="inlineStr">
        <is>
          <t>exec</t>
        </is>
      </c>
      <c r="D4" s="15" t="n">
        <v>85000</v>
      </c>
      <c r="E4" s="32" t="n">
        <v>1</v>
      </c>
      <c r="F4" s="32" t="n"/>
      <c r="G4" s="17">
        <f>IF(AND(1&gt;=E4,OR(F4="",1&lt;=F4)),(D4*(1+assumptions!$G$76)^0/12*(1+assumptions!$G$70+assumptions!$G$71+IF(1&gt;=assumptions!$G$73,assumptions!$G$72,0))+assumptions!$G$74/12)+IF(1=E4,D4*assumptions!$G$75,0),0)</f>
        <v/>
      </c>
      <c r="H4" s="17">
        <f>IF(AND(2&gt;=E4,OR(F4="",2&lt;=F4)),(D4*(1+assumptions!$G$76)^0/12*(1+assumptions!$G$70+assumptions!$G$71+IF(2&gt;=assumptions!$G$73,assumptions!$G$72,0))+assumptions!$G$74/12)+IF(2=E4,D4*assumptions!$G$75,0),0)</f>
        <v/>
      </c>
      <c r="I4" s="17">
        <f>IF(AND(3&gt;=E4,OR(F4="",3&lt;=F4)),(D4*(1+assumptions!$G$76)^0/12*(1+assumptions!$G$70+assumptions!$G$71+IF(3&gt;=assumptions!$G$73,assumptions!$G$72,0))+assumptions!$G$74/12)+IF(3=E4,D4*assumptions!$G$75,0),0)</f>
        <v/>
      </c>
      <c r="J4" s="17">
        <f>IF(AND(4&gt;=E4,OR(F4="",4&lt;=F4)),(D4*(1+assumptions!$G$76)^0/12*(1+assumptions!$G$70+assumptions!$G$71+IF(4&gt;=assumptions!$G$73,assumptions!$G$72,0))+assumptions!$G$74/12)+IF(4=E4,D4*assumptions!$G$75,0),0)</f>
        <v/>
      </c>
      <c r="K4" s="17">
        <f>IF(AND(5&gt;=E4,OR(F4="",5&lt;=F4)),(D4*(1+assumptions!$G$76)^0/12*(1+assumptions!$G$70+assumptions!$G$71+IF(5&gt;=assumptions!$G$73,assumptions!$G$72,0))+assumptions!$G$74/12)+IF(5=E4,D4*assumptions!$G$75,0),0)</f>
        <v/>
      </c>
      <c r="L4" s="17">
        <f>IF(AND(6&gt;=E4,OR(F4="",6&lt;=F4)),(D4*(1+assumptions!$G$76)^0/12*(1+assumptions!$G$70+assumptions!$G$71+IF(6&gt;=assumptions!$G$73,assumptions!$G$72,0))+assumptions!$G$74/12)+IF(6=E4,D4*assumptions!$G$75,0),0)</f>
        <v/>
      </c>
      <c r="M4" s="17">
        <f>IF(AND(7&gt;=E4,OR(F4="",7&lt;=F4)),(D4*(1+assumptions!$G$76)^0/12*(1+assumptions!$G$70+assumptions!$G$71+IF(7&gt;=assumptions!$G$73,assumptions!$G$72,0))+assumptions!$G$74/12)+IF(7=E4,D4*assumptions!$G$75,0),0)</f>
        <v/>
      </c>
      <c r="N4" s="17">
        <f>IF(AND(8&gt;=E4,OR(F4="",8&lt;=F4)),(D4*(1+assumptions!$G$76)^0/12*(1+assumptions!$G$70+assumptions!$G$71+IF(8&gt;=assumptions!$G$73,assumptions!$G$72,0))+assumptions!$G$74/12)+IF(8=E4,D4*assumptions!$G$75,0),0)</f>
        <v/>
      </c>
      <c r="O4" s="17">
        <f>IF(AND(9&gt;=E4,OR(F4="",9&lt;=F4)),(D4*(1+assumptions!$G$76)^0/12*(1+assumptions!$G$70+assumptions!$G$71+IF(9&gt;=assumptions!$G$73,assumptions!$G$72,0))+assumptions!$G$74/12)+IF(9=E4,D4*assumptions!$G$75,0),0)</f>
        <v/>
      </c>
      <c r="P4" s="17">
        <f>IF(AND(10&gt;=E4,OR(F4="",10&lt;=F4)),(D4*(1+assumptions!$G$76)^0/12*(1+assumptions!$G$70+assumptions!$G$71+IF(10&gt;=assumptions!$G$73,assumptions!$G$72,0))+assumptions!$G$74/12)+IF(10=E4,D4*assumptions!$G$75,0),0)</f>
        <v/>
      </c>
      <c r="Q4" s="17">
        <f>IF(AND(11&gt;=E4,OR(F4="",11&lt;=F4)),(D4*(1+assumptions!$G$76)^0/12*(1+assumptions!$G$70+assumptions!$G$71+IF(11&gt;=assumptions!$G$73,assumptions!$G$72,0))+assumptions!$G$74/12)+IF(11=E4,D4*assumptions!$G$75,0),0)</f>
        <v/>
      </c>
      <c r="R4" s="17">
        <f>IF(AND(12&gt;=E4,OR(F4="",12&lt;=F4)),(D4*(1+assumptions!$G$76)^0/12*(1+assumptions!$G$70+assumptions!$G$71+IF(12&gt;=assumptions!$G$73,assumptions!$G$72,0))+assumptions!$G$74/12)+IF(12=E4,D4*assumptions!$G$75,0),0)</f>
        <v/>
      </c>
      <c r="S4" s="17">
        <f>IF(AND(13&gt;=E4,OR(F4="",13&lt;=F4)),(D4*(1+assumptions!$G$76)^1/12*(1+assumptions!$G$70+assumptions!$G$71+IF(13&gt;=assumptions!$G$73,assumptions!$G$72,0))+assumptions!$G$74/12)+IF(13=E4,D4*assumptions!$G$75,0),0)</f>
        <v/>
      </c>
      <c r="T4" s="17">
        <f>IF(AND(14&gt;=E4,OR(F4="",14&lt;=F4)),(D4*(1+assumptions!$G$76)^1/12*(1+assumptions!$G$70+assumptions!$G$71+IF(14&gt;=assumptions!$G$73,assumptions!$G$72,0))+assumptions!$G$74/12)+IF(14=E4,D4*assumptions!$G$75,0),0)</f>
        <v/>
      </c>
      <c r="U4" s="17">
        <f>IF(AND(15&gt;=E4,OR(F4="",15&lt;=F4)),(D4*(1+assumptions!$G$76)^1/12*(1+assumptions!$G$70+assumptions!$G$71+IF(15&gt;=assumptions!$G$73,assumptions!$G$72,0))+assumptions!$G$74/12)+IF(15=E4,D4*assumptions!$G$75,0),0)</f>
        <v/>
      </c>
      <c r="V4" s="17">
        <f>IF(AND(16&gt;=E4,OR(F4="",16&lt;=F4)),(D4*(1+assumptions!$G$76)^1/12*(1+assumptions!$G$70+assumptions!$G$71+IF(16&gt;=assumptions!$G$73,assumptions!$G$72,0))+assumptions!$G$74/12)+IF(16=E4,D4*assumptions!$G$75,0),0)</f>
        <v/>
      </c>
      <c r="W4" s="17">
        <f>IF(AND(17&gt;=E4,OR(F4="",17&lt;=F4)),(D4*(1+assumptions!$G$76)^1/12*(1+assumptions!$G$70+assumptions!$G$71+IF(17&gt;=assumptions!$G$73,assumptions!$G$72,0))+assumptions!$G$74/12)+IF(17=E4,D4*assumptions!$G$75,0),0)</f>
        <v/>
      </c>
      <c r="X4" s="17">
        <f>IF(AND(18&gt;=E4,OR(F4="",18&lt;=F4)),(D4*(1+assumptions!$G$76)^1/12*(1+assumptions!$G$70+assumptions!$G$71+IF(18&gt;=assumptions!$G$73,assumptions!$G$72,0))+assumptions!$G$74/12)+IF(18=E4,D4*assumptions!$G$75,0),0)</f>
        <v/>
      </c>
      <c r="Y4" s="17">
        <f>IF(AND(19&gt;=E4,OR(F4="",19&lt;=F4)),(D4*(1+assumptions!$G$76)^1/12*(1+assumptions!$G$70+assumptions!$G$71+IF(19&gt;=assumptions!$G$73,assumptions!$G$72,0))+assumptions!$G$74/12)+IF(19=E4,D4*assumptions!$G$75,0),0)</f>
        <v/>
      </c>
      <c r="Z4" s="17">
        <f>IF(AND(20&gt;=E4,OR(F4="",20&lt;=F4)),(D4*(1+assumptions!$G$76)^1/12*(1+assumptions!$G$70+assumptions!$G$71+IF(20&gt;=assumptions!$G$73,assumptions!$G$72,0))+assumptions!$G$74/12)+IF(20=E4,D4*assumptions!$G$75,0),0)</f>
        <v/>
      </c>
      <c r="AA4" s="17">
        <f>IF(AND(21&gt;=E4,OR(F4="",21&lt;=F4)),(D4*(1+assumptions!$G$76)^1/12*(1+assumptions!$G$70+assumptions!$G$71+IF(21&gt;=assumptions!$G$73,assumptions!$G$72,0))+assumptions!$G$74/12)+IF(21=E4,D4*assumptions!$G$75,0),0)</f>
        <v/>
      </c>
      <c r="AB4" s="17">
        <f>IF(AND(22&gt;=E4,OR(F4="",22&lt;=F4)),(D4*(1+assumptions!$G$76)^1/12*(1+assumptions!$G$70+assumptions!$G$71+IF(22&gt;=assumptions!$G$73,assumptions!$G$72,0))+assumptions!$G$74/12)+IF(22=E4,D4*assumptions!$G$75,0),0)</f>
        <v/>
      </c>
      <c r="AC4" s="17">
        <f>IF(AND(23&gt;=E4,OR(F4="",23&lt;=F4)),(D4*(1+assumptions!$G$76)^1/12*(1+assumptions!$G$70+assumptions!$G$71+IF(23&gt;=assumptions!$G$73,assumptions!$G$72,0))+assumptions!$G$74/12)+IF(23=E4,D4*assumptions!$G$75,0),0)</f>
        <v/>
      </c>
      <c r="AD4" s="17">
        <f>IF(AND(24&gt;=E4,OR(F4="",24&lt;=F4)),(D4*(1+assumptions!$G$76)^1/12*(1+assumptions!$G$70+assumptions!$G$71+IF(24&gt;=assumptions!$G$73,assumptions!$G$72,0))+assumptions!$G$74/12)+IF(24=E4,D4*assumptions!$G$75,0),0)</f>
        <v/>
      </c>
      <c r="AE4" s="17">
        <f>IF(AND(25&gt;=E4,OR(F4="",25&lt;=F4)),(D4*(1+assumptions!$G$76)^2/12*(1+assumptions!$G$70+assumptions!$G$71+IF(25&gt;=assumptions!$G$73,assumptions!$G$72,0))+assumptions!$G$74/12)+IF(25=E4,D4*assumptions!$G$75,0),0)</f>
        <v/>
      </c>
      <c r="AF4" s="17">
        <f>IF(AND(26&gt;=E4,OR(F4="",26&lt;=F4)),(D4*(1+assumptions!$G$76)^2/12*(1+assumptions!$G$70+assumptions!$G$71+IF(26&gt;=assumptions!$G$73,assumptions!$G$72,0))+assumptions!$G$74/12)+IF(26=E4,D4*assumptions!$G$75,0),0)</f>
        <v/>
      </c>
      <c r="AG4" s="17">
        <f>IF(AND(27&gt;=E4,OR(F4="",27&lt;=F4)),(D4*(1+assumptions!$G$76)^2/12*(1+assumptions!$G$70+assumptions!$G$71+IF(27&gt;=assumptions!$G$73,assumptions!$G$72,0))+assumptions!$G$74/12)+IF(27=E4,D4*assumptions!$G$75,0),0)</f>
        <v/>
      </c>
      <c r="AH4" s="17">
        <f>IF(AND(28&gt;=E4,OR(F4="",28&lt;=F4)),(D4*(1+assumptions!$G$76)^2/12*(1+assumptions!$G$70+assumptions!$G$71+IF(28&gt;=assumptions!$G$73,assumptions!$G$72,0))+assumptions!$G$74/12)+IF(28=E4,D4*assumptions!$G$75,0),0)</f>
        <v/>
      </c>
      <c r="AI4" s="17">
        <f>IF(AND(29&gt;=E4,OR(F4="",29&lt;=F4)),(D4*(1+assumptions!$G$76)^2/12*(1+assumptions!$G$70+assumptions!$G$71+IF(29&gt;=assumptions!$G$73,assumptions!$G$72,0))+assumptions!$G$74/12)+IF(29=E4,D4*assumptions!$G$75,0),0)</f>
        <v/>
      </c>
      <c r="AJ4" s="17">
        <f>IF(AND(30&gt;=E4,OR(F4="",30&lt;=F4)),(D4*(1+assumptions!$G$76)^2/12*(1+assumptions!$G$70+assumptions!$G$71+IF(30&gt;=assumptions!$G$73,assumptions!$G$72,0))+assumptions!$G$74/12)+IF(30=E4,D4*assumptions!$G$75,0),0)</f>
        <v/>
      </c>
      <c r="AK4" s="17">
        <f>IF(AND(31&gt;=E4,OR(F4="",31&lt;=F4)),(D4*(1+assumptions!$G$76)^2/12*(1+assumptions!$G$70+assumptions!$G$71+IF(31&gt;=assumptions!$G$73,assumptions!$G$72,0))+assumptions!$G$74/12)+IF(31=E4,D4*assumptions!$G$75,0),0)</f>
        <v/>
      </c>
      <c r="AL4" s="17">
        <f>IF(AND(32&gt;=E4,OR(F4="",32&lt;=F4)),(D4*(1+assumptions!$G$76)^2/12*(1+assumptions!$G$70+assumptions!$G$71+IF(32&gt;=assumptions!$G$73,assumptions!$G$72,0))+assumptions!$G$74/12)+IF(32=E4,D4*assumptions!$G$75,0),0)</f>
        <v/>
      </c>
      <c r="AM4" s="17">
        <f>IF(AND(33&gt;=E4,OR(F4="",33&lt;=F4)),(D4*(1+assumptions!$G$76)^2/12*(1+assumptions!$G$70+assumptions!$G$71+IF(33&gt;=assumptions!$G$73,assumptions!$G$72,0))+assumptions!$G$74/12)+IF(33=E4,D4*assumptions!$G$75,0),0)</f>
        <v/>
      </c>
      <c r="AN4" s="17">
        <f>IF(AND(34&gt;=E4,OR(F4="",34&lt;=F4)),(D4*(1+assumptions!$G$76)^2/12*(1+assumptions!$G$70+assumptions!$G$71+IF(34&gt;=assumptions!$G$73,assumptions!$G$72,0))+assumptions!$G$74/12)+IF(34=E4,D4*assumptions!$G$75,0),0)</f>
        <v/>
      </c>
      <c r="AO4" s="17">
        <f>IF(AND(35&gt;=E4,OR(F4="",35&lt;=F4)),(D4*(1+assumptions!$G$76)^2/12*(1+assumptions!$G$70+assumptions!$G$71+IF(35&gt;=assumptions!$G$73,assumptions!$G$72,0))+assumptions!$G$74/12)+IF(35=E4,D4*assumptions!$G$75,0),0)</f>
        <v/>
      </c>
      <c r="AP4" s="17">
        <f>IF(AND(36&gt;=E4,OR(F4="",36&lt;=F4)),(D4*(1+assumptions!$G$76)^2/12*(1+assumptions!$G$70+assumptions!$G$71+IF(36&gt;=assumptions!$G$73,assumptions!$G$72,0))+assumptions!$G$74/12)+IF(36=E4,D4*assumptions!$G$75,0),0)</f>
        <v/>
      </c>
      <c r="AQ4" s="17">
        <f>IF(AND(37&gt;=E4,OR(F4="",37&lt;=F4)),(D4*(1+assumptions!$G$76)^3/12*(1+assumptions!$G$70+assumptions!$G$71+IF(37&gt;=assumptions!$G$73,assumptions!$G$72,0))+assumptions!$G$74/12)+IF(37=E4,D4*assumptions!$G$75,0),0)</f>
        <v/>
      </c>
      <c r="AR4" s="17">
        <f>IF(AND(38&gt;=E4,OR(F4="",38&lt;=F4)),(D4*(1+assumptions!$G$76)^3/12*(1+assumptions!$G$70+assumptions!$G$71+IF(38&gt;=assumptions!$G$73,assumptions!$G$72,0))+assumptions!$G$74/12)+IF(38=E4,D4*assumptions!$G$75,0),0)</f>
        <v/>
      </c>
      <c r="AS4" s="17">
        <f>IF(AND(39&gt;=E4,OR(F4="",39&lt;=F4)),(D4*(1+assumptions!$G$76)^3/12*(1+assumptions!$G$70+assumptions!$G$71+IF(39&gt;=assumptions!$G$73,assumptions!$G$72,0))+assumptions!$G$74/12)+IF(39=E4,D4*assumptions!$G$75,0),0)</f>
        <v/>
      </c>
      <c r="AT4" s="17">
        <f>IF(AND(40&gt;=E4,OR(F4="",40&lt;=F4)),(D4*(1+assumptions!$G$76)^3/12*(1+assumptions!$G$70+assumptions!$G$71+IF(40&gt;=assumptions!$G$73,assumptions!$G$72,0))+assumptions!$G$74/12)+IF(40=E4,D4*assumptions!$G$75,0),0)</f>
        <v/>
      </c>
      <c r="AU4" s="17">
        <f>IF(AND(41&gt;=E4,OR(F4="",41&lt;=F4)),(D4*(1+assumptions!$G$76)^3/12*(1+assumptions!$G$70+assumptions!$G$71+IF(41&gt;=assumptions!$G$73,assumptions!$G$72,0))+assumptions!$G$74/12)+IF(41=E4,D4*assumptions!$G$75,0),0)</f>
        <v/>
      </c>
      <c r="AV4" s="17">
        <f>IF(AND(42&gt;=E4,OR(F4="",42&lt;=F4)),(D4*(1+assumptions!$G$76)^3/12*(1+assumptions!$G$70+assumptions!$G$71+IF(42&gt;=assumptions!$G$73,assumptions!$G$72,0))+assumptions!$G$74/12)+IF(42=E4,D4*assumptions!$G$75,0),0)</f>
        <v/>
      </c>
      <c r="AW4" s="17">
        <f>IF(AND(43&gt;=E4,OR(F4="",43&lt;=F4)),(D4*(1+assumptions!$G$76)^3/12*(1+assumptions!$G$70+assumptions!$G$71+IF(43&gt;=assumptions!$G$73,assumptions!$G$72,0))+assumptions!$G$74/12)+IF(43=E4,D4*assumptions!$G$75,0),0)</f>
        <v/>
      </c>
      <c r="AX4" s="17">
        <f>IF(AND(44&gt;=E4,OR(F4="",44&lt;=F4)),(D4*(1+assumptions!$G$76)^3/12*(1+assumptions!$G$70+assumptions!$G$71+IF(44&gt;=assumptions!$G$73,assumptions!$G$72,0))+assumptions!$G$74/12)+IF(44=E4,D4*assumptions!$G$75,0),0)</f>
        <v/>
      </c>
      <c r="AY4" s="17">
        <f>IF(AND(45&gt;=E4,OR(F4="",45&lt;=F4)),(D4*(1+assumptions!$G$76)^3/12*(1+assumptions!$G$70+assumptions!$G$71+IF(45&gt;=assumptions!$G$73,assumptions!$G$72,0))+assumptions!$G$74/12)+IF(45=E4,D4*assumptions!$G$75,0),0)</f>
        <v/>
      </c>
      <c r="AZ4" s="17">
        <f>IF(AND(46&gt;=E4,OR(F4="",46&lt;=F4)),(D4*(1+assumptions!$G$76)^3/12*(1+assumptions!$G$70+assumptions!$G$71+IF(46&gt;=assumptions!$G$73,assumptions!$G$72,0))+assumptions!$G$74/12)+IF(46=E4,D4*assumptions!$G$75,0),0)</f>
        <v/>
      </c>
      <c r="BA4" s="17">
        <f>IF(AND(47&gt;=E4,OR(F4="",47&lt;=F4)),(D4*(1+assumptions!$G$76)^3/12*(1+assumptions!$G$70+assumptions!$G$71+IF(47&gt;=assumptions!$G$73,assumptions!$G$72,0))+assumptions!$G$74/12)+IF(47=E4,D4*assumptions!$G$75,0),0)</f>
        <v/>
      </c>
      <c r="BB4" s="17">
        <f>IF(AND(48&gt;=E4,OR(F4="",48&lt;=F4)),(D4*(1+assumptions!$G$76)^3/12*(1+assumptions!$G$70+assumptions!$G$71+IF(48&gt;=assumptions!$G$73,assumptions!$G$72,0))+assumptions!$G$74/12)+IF(48=E4,D4*assumptions!$G$75,0),0)</f>
        <v/>
      </c>
      <c r="BC4" s="17">
        <f>IF(AND(49&gt;=E4,OR(F4="",49&lt;=F4)),(D4*(1+assumptions!$G$76)^4/12*(1+assumptions!$G$70+assumptions!$G$71+IF(49&gt;=assumptions!$G$73,assumptions!$G$72,0))+assumptions!$G$74/12)+IF(49=E4,D4*assumptions!$G$75,0),0)</f>
        <v/>
      </c>
      <c r="BD4" s="17">
        <f>IF(AND(50&gt;=E4,OR(F4="",50&lt;=F4)),(D4*(1+assumptions!$G$76)^4/12*(1+assumptions!$G$70+assumptions!$G$71+IF(50&gt;=assumptions!$G$73,assumptions!$G$72,0))+assumptions!$G$74/12)+IF(50=E4,D4*assumptions!$G$75,0),0)</f>
        <v/>
      </c>
      <c r="BE4" s="17">
        <f>IF(AND(51&gt;=E4,OR(F4="",51&lt;=F4)),(D4*(1+assumptions!$G$76)^4/12*(1+assumptions!$G$70+assumptions!$G$71+IF(51&gt;=assumptions!$G$73,assumptions!$G$72,0))+assumptions!$G$74/12)+IF(51=E4,D4*assumptions!$G$75,0),0)</f>
        <v/>
      </c>
      <c r="BF4" s="17">
        <f>IF(AND(52&gt;=E4,OR(F4="",52&lt;=F4)),(D4*(1+assumptions!$G$76)^4/12*(1+assumptions!$G$70+assumptions!$G$71+IF(52&gt;=assumptions!$G$73,assumptions!$G$72,0))+assumptions!$G$74/12)+IF(52=E4,D4*assumptions!$G$75,0),0)</f>
        <v/>
      </c>
      <c r="BG4" s="17">
        <f>IF(AND(53&gt;=E4,OR(F4="",53&lt;=F4)),(D4*(1+assumptions!$G$76)^4/12*(1+assumptions!$G$70+assumptions!$G$71+IF(53&gt;=assumptions!$G$73,assumptions!$G$72,0))+assumptions!$G$74/12)+IF(53=E4,D4*assumptions!$G$75,0),0)</f>
        <v/>
      </c>
      <c r="BH4" s="17">
        <f>IF(AND(54&gt;=E4,OR(F4="",54&lt;=F4)),(D4*(1+assumptions!$G$76)^4/12*(1+assumptions!$G$70+assumptions!$G$71+IF(54&gt;=assumptions!$G$73,assumptions!$G$72,0))+assumptions!$G$74/12)+IF(54=E4,D4*assumptions!$G$75,0),0)</f>
        <v/>
      </c>
      <c r="BI4" s="17">
        <f>IF(AND(55&gt;=E4,OR(F4="",55&lt;=F4)),(D4*(1+assumptions!$G$76)^4/12*(1+assumptions!$G$70+assumptions!$G$71+IF(55&gt;=assumptions!$G$73,assumptions!$G$72,0))+assumptions!$G$74/12)+IF(55=E4,D4*assumptions!$G$75,0),0)</f>
        <v/>
      </c>
      <c r="BJ4" s="17">
        <f>IF(AND(56&gt;=E4,OR(F4="",56&lt;=F4)),(D4*(1+assumptions!$G$76)^4/12*(1+assumptions!$G$70+assumptions!$G$71+IF(56&gt;=assumptions!$G$73,assumptions!$G$72,0))+assumptions!$G$74/12)+IF(56=E4,D4*assumptions!$G$75,0),0)</f>
        <v/>
      </c>
      <c r="BK4" s="17">
        <f>IF(AND(57&gt;=E4,OR(F4="",57&lt;=F4)),(D4*(1+assumptions!$G$76)^4/12*(1+assumptions!$G$70+assumptions!$G$71+IF(57&gt;=assumptions!$G$73,assumptions!$G$72,0))+assumptions!$G$74/12)+IF(57=E4,D4*assumptions!$G$75,0),0)</f>
        <v/>
      </c>
      <c r="BL4" s="17">
        <f>IF(AND(58&gt;=E4,OR(F4="",58&lt;=F4)),(D4*(1+assumptions!$G$76)^4/12*(1+assumptions!$G$70+assumptions!$G$71+IF(58&gt;=assumptions!$G$73,assumptions!$G$72,0))+assumptions!$G$74/12)+IF(58=E4,D4*assumptions!$G$75,0),0)</f>
        <v/>
      </c>
      <c r="BM4" s="17">
        <f>IF(AND(59&gt;=E4,OR(F4="",59&lt;=F4)),(D4*(1+assumptions!$G$76)^4/12*(1+assumptions!$G$70+assumptions!$G$71+IF(59&gt;=assumptions!$G$73,assumptions!$G$72,0))+assumptions!$G$74/12)+IF(59=E4,D4*assumptions!$G$75,0),0)</f>
        <v/>
      </c>
      <c r="BN4" s="17">
        <f>IF(AND(60&gt;=E4,OR(F4="",60&lt;=F4)),(D4*(1+assumptions!$G$76)^4/12*(1+assumptions!$G$70+assumptions!$G$71+IF(60&gt;=assumptions!$G$73,assumptions!$G$72,0))+assumptions!$G$74/12)+IF(60=E4,D4*assumptions!$G$75,0),0)</f>
        <v/>
      </c>
    </row>
    <row r="5">
      <c r="A5" s="5" t="n">
        <v>2</v>
      </c>
      <c r="B5" s="5" t="inlineStr">
        <is>
          <t>CTO / Co-founder</t>
        </is>
      </c>
      <c r="C5" s="5" t="inlineStr">
        <is>
          <t>exec</t>
        </is>
      </c>
      <c r="D5" s="15" t="n">
        <v>85000</v>
      </c>
      <c r="E5" s="32" t="n">
        <v>1</v>
      </c>
      <c r="F5" s="32" t="n"/>
      <c r="G5" s="17">
        <f>IF(AND(1&gt;=E5,OR(F5="",1&lt;=F5)),(D5*(1+assumptions!$G$76)^0/12*(1+assumptions!$G$70+assumptions!$G$71+IF(1&gt;=assumptions!$G$73,assumptions!$G$72,0))+assumptions!$G$74/12)+IF(1=E5,D5*assumptions!$G$75,0),0)</f>
        <v/>
      </c>
      <c r="H5" s="17">
        <f>IF(AND(2&gt;=E5,OR(F5="",2&lt;=F5)),(D5*(1+assumptions!$G$76)^0/12*(1+assumptions!$G$70+assumptions!$G$71+IF(2&gt;=assumptions!$G$73,assumptions!$G$72,0))+assumptions!$G$74/12)+IF(2=E5,D5*assumptions!$G$75,0),0)</f>
        <v/>
      </c>
      <c r="I5" s="17">
        <f>IF(AND(3&gt;=E5,OR(F5="",3&lt;=F5)),(D5*(1+assumptions!$G$76)^0/12*(1+assumptions!$G$70+assumptions!$G$71+IF(3&gt;=assumptions!$G$73,assumptions!$G$72,0))+assumptions!$G$74/12)+IF(3=E5,D5*assumptions!$G$75,0),0)</f>
        <v/>
      </c>
      <c r="J5" s="17">
        <f>IF(AND(4&gt;=E5,OR(F5="",4&lt;=F5)),(D5*(1+assumptions!$G$76)^0/12*(1+assumptions!$G$70+assumptions!$G$71+IF(4&gt;=assumptions!$G$73,assumptions!$G$72,0))+assumptions!$G$74/12)+IF(4=E5,D5*assumptions!$G$75,0),0)</f>
        <v/>
      </c>
      <c r="K5" s="17">
        <f>IF(AND(5&gt;=E5,OR(F5="",5&lt;=F5)),(D5*(1+assumptions!$G$76)^0/12*(1+assumptions!$G$70+assumptions!$G$71+IF(5&gt;=assumptions!$G$73,assumptions!$G$72,0))+assumptions!$G$74/12)+IF(5=E5,D5*assumptions!$G$75,0),0)</f>
        <v/>
      </c>
      <c r="L5" s="17">
        <f>IF(AND(6&gt;=E5,OR(F5="",6&lt;=F5)),(D5*(1+assumptions!$G$76)^0/12*(1+assumptions!$G$70+assumptions!$G$71+IF(6&gt;=assumptions!$G$73,assumptions!$G$72,0))+assumptions!$G$74/12)+IF(6=E5,D5*assumptions!$G$75,0),0)</f>
        <v/>
      </c>
      <c r="M5" s="17">
        <f>IF(AND(7&gt;=E5,OR(F5="",7&lt;=F5)),(D5*(1+assumptions!$G$76)^0/12*(1+assumptions!$G$70+assumptions!$G$71+IF(7&gt;=assumptions!$G$73,assumptions!$G$72,0))+assumptions!$G$74/12)+IF(7=E5,D5*assumptions!$G$75,0),0)</f>
        <v/>
      </c>
      <c r="N5" s="17">
        <f>IF(AND(8&gt;=E5,OR(F5="",8&lt;=F5)),(D5*(1+assumptions!$G$76)^0/12*(1+assumptions!$G$70+assumptions!$G$71+IF(8&gt;=assumptions!$G$73,assumptions!$G$72,0))+assumptions!$G$74/12)+IF(8=E5,D5*assumptions!$G$75,0),0)</f>
        <v/>
      </c>
      <c r="O5" s="17">
        <f>IF(AND(9&gt;=E5,OR(F5="",9&lt;=F5)),(D5*(1+assumptions!$G$76)^0/12*(1+assumptions!$G$70+assumptions!$G$71+IF(9&gt;=assumptions!$G$73,assumptions!$G$72,0))+assumptions!$G$74/12)+IF(9=E5,D5*assumptions!$G$75,0),0)</f>
        <v/>
      </c>
      <c r="P5" s="17">
        <f>IF(AND(10&gt;=E5,OR(F5="",10&lt;=F5)),(D5*(1+assumptions!$G$76)^0/12*(1+assumptions!$G$70+assumptions!$G$71+IF(10&gt;=assumptions!$G$73,assumptions!$G$72,0))+assumptions!$G$74/12)+IF(10=E5,D5*assumptions!$G$75,0),0)</f>
        <v/>
      </c>
      <c r="Q5" s="17">
        <f>IF(AND(11&gt;=E5,OR(F5="",11&lt;=F5)),(D5*(1+assumptions!$G$76)^0/12*(1+assumptions!$G$70+assumptions!$G$71+IF(11&gt;=assumptions!$G$73,assumptions!$G$72,0))+assumptions!$G$74/12)+IF(11=E5,D5*assumptions!$G$75,0),0)</f>
        <v/>
      </c>
      <c r="R5" s="17">
        <f>IF(AND(12&gt;=E5,OR(F5="",12&lt;=F5)),(D5*(1+assumptions!$G$76)^0/12*(1+assumptions!$G$70+assumptions!$G$71+IF(12&gt;=assumptions!$G$73,assumptions!$G$72,0))+assumptions!$G$74/12)+IF(12=E5,D5*assumptions!$G$75,0),0)</f>
        <v/>
      </c>
      <c r="S5" s="17">
        <f>IF(AND(13&gt;=E5,OR(F5="",13&lt;=F5)),(D5*(1+assumptions!$G$76)^1/12*(1+assumptions!$G$70+assumptions!$G$71+IF(13&gt;=assumptions!$G$73,assumptions!$G$72,0))+assumptions!$G$74/12)+IF(13=E5,D5*assumptions!$G$75,0),0)</f>
        <v/>
      </c>
      <c r="T5" s="17">
        <f>IF(AND(14&gt;=E5,OR(F5="",14&lt;=F5)),(D5*(1+assumptions!$G$76)^1/12*(1+assumptions!$G$70+assumptions!$G$71+IF(14&gt;=assumptions!$G$73,assumptions!$G$72,0))+assumptions!$G$74/12)+IF(14=E5,D5*assumptions!$G$75,0),0)</f>
        <v/>
      </c>
      <c r="U5" s="17">
        <f>IF(AND(15&gt;=E5,OR(F5="",15&lt;=F5)),(D5*(1+assumptions!$G$76)^1/12*(1+assumptions!$G$70+assumptions!$G$71+IF(15&gt;=assumptions!$G$73,assumptions!$G$72,0))+assumptions!$G$74/12)+IF(15=E5,D5*assumptions!$G$75,0),0)</f>
        <v/>
      </c>
      <c r="V5" s="17">
        <f>IF(AND(16&gt;=E5,OR(F5="",16&lt;=F5)),(D5*(1+assumptions!$G$76)^1/12*(1+assumptions!$G$70+assumptions!$G$71+IF(16&gt;=assumptions!$G$73,assumptions!$G$72,0))+assumptions!$G$74/12)+IF(16=E5,D5*assumptions!$G$75,0),0)</f>
        <v/>
      </c>
      <c r="W5" s="17">
        <f>IF(AND(17&gt;=E5,OR(F5="",17&lt;=F5)),(D5*(1+assumptions!$G$76)^1/12*(1+assumptions!$G$70+assumptions!$G$71+IF(17&gt;=assumptions!$G$73,assumptions!$G$72,0))+assumptions!$G$74/12)+IF(17=E5,D5*assumptions!$G$75,0),0)</f>
        <v/>
      </c>
      <c r="X5" s="17">
        <f>IF(AND(18&gt;=E5,OR(F5="",18&lt;=F5)),(D5*(1+assumptions!$G$76)^1/12*(1+assumptions!$G$70+assumptions!$G$71+IF(18&gt;=assumptions!$G$73,assumptions!$G$72,0))+assumptions!$G$74/12)+IF(18=E5,D5*assumptions!$G$75,0),0)</f>
        <v/>
      </c>
      <c r="Y5" s="17">
        <f>IF(AND(19&gt;=E5,OR(F5="",19&lt;=F5)),(D5*(1+assumptions!$G$76)^1/12*(1+assumptions!$G$70+assumptions!$G$71+IF(19&gt;=assumptions!$G$73,assumptions!$G$72,0))+assumptions!$G$74/12)+IF(19=E5,D5*assumptions!$G$75,0),0)</f>
        <v/>
      </c>
      <c r="Z5" s="17">
        <f>IF(AND(20&gt;=E5,OR(F5="",20&lt;=F5)),(D5*(1+assumptions!$G$76)^1/12*(1+assumptions!$G$70+assumptions!$G$71+IF(20&gt;=assumptions!$G$73,assumptions!$G$72,0))+assumptions!$G$74/12)+IF(20=E5,D5*assumptions!$G$75,0),0)</f>
        <v/>
      </c>
      <c r="AA5" s="17">
        <f>IF(AND(21&gt;=E5,OR(F5="",21&lt;=F5)),(D5*(1+assumptions!$G$76)^1/12*(1+assumptions!$G$70+assumptions!$G$71+IF(21&gt;=assumptions!$G$73,assumptions!$G$72,0))+assumptions!$G$74/12)+IF(21=E5,D5*assumptions!$G$75,0),0)</f>
        <v/>
      </c>
      <c r="AB5" s="17">
        <f>IF(AND(22&gt;=E5,OR(F5="",22&lt;=F5)),(D5*(1+assumptions!$G$76)^1/12*(1+assumptions!$G$70+assumptions!$G$71+IF(22&gt;=assumptions!$G$73,assumptions!$G$72,0))+assumptions!$G$74/12)+IF(22=E5,D5*assumptions!$G$75,0),0)</f>
        <v/>
      </c>
      <c r="AC5" s="17">
        <f>IF(AND(23&gt;=E5,OR(F5="",23&lt;=F5)),(D5*(1+assumptions!$G$76)^1/12*(1+assumptions!$G$70+assumptions!$G$71+IF(23&gt;=assumptions!$G$73,assumptions!$G$72,0))+assumptions!$G$74/12)+IF(23=E5,D5*assumptions!$G$75,0),0)</f>
        <v/>
      </c>
      <c r="AD5" s="17">
        <f>IF(AND(24&gt;=E5,OR(F5="",24&lt;=F5)),(D5*(1+assumptions!$G$76)^1/12*(1+assumptions!$G$70+assumptions!$G$71+IF(24&gt;=assumptions!$G$73,assumptions!$G$72,0))+assumptions!$G$74/12)+IF(24=E5,D5*assumptions!$G$75,0),0)</f>
        <v/>
      </c>
      <c r="AE5" s="17">
        <f>IF(AND(25&gt;=E5,OR(F5="",25&lt;=F5)),(D5*(1+assumptions!$G$76)^2/12*(1+assumptions!$G$70+assumptions!$G$71+IF(25&gt;=assumptions!$G$73,assumptions!$G$72,0))+assumptions!$G$74/12)+IF(25=E5,D5*assumptions!$G$75,0),0)</f>
        <v/>
      </c>
      <c r="AF5" s="17">
        <f>IF(AND(26&gt;=E5,OR(F5="",26&lt;=F5)),(D5*(1+assumptions!$G$76)^2/12*(1+assumptions!$G$70+assumptions!$G$71+IF(26&gt;=assumptions!$G$73,assumptions!$G$72,0))+assumptions!$G$74/12)+IF(26=E5,D5*assumptions!$G$75,0),0)</f>
        <v/>
      </c>
      <c r="AG5" s="17">
        <f>IF(AND(27&gt;=E5,OR(F5="",27&lt;=F5)),(D5*(1+assumptions!$G$76)^2/12*(1+assumptions!$G$70+assumptions!$G$71+IF(27&gt;=assumptions!$G$73,assumptions!$G$72,0))+assumptions!$G$74/12)+IF(27=E5,D5*assumptions!$G$75,0),0)</f>
        <v/>
      </c>
      <c r="AH5" s="17">
        <f>IF(AND(28&gt;=E5,OR(F5="",28&lt;=F5)),(D5*(1+assumptions!$G$76)^2/12*(1+assumptions!$G$70+assumptions!$G$71+IF(28&gt;=assumptions!$G$73,assumptions!$G$72,0))+assumptions!$G$74/12)+IF(28=E5,D5*assumptions!$G$75,0),0)</f>
        <v/>
      </c>
      <c r="AI5" s="17">
        <f>IF(AND(29&gt;=E5,OR(F5="",29&lt;=F5)),(D5*(1+assumptions!$G$76)^2/12*(1+assumptions!$G$70+assumptions!$G$71+IF(29&gt;=assumptions!$G$73,assumptions!$G$72,0))+assumptions!$G$74/12)+IF(29=E5,D5*assumptions!$G$75,0),0)</f>
        <v/>
      </c>
      <c r="AJ5" s="17">
        <f>IF(AND(30&gt;=E5,OR(F5="",30&lt;=F5)),(D5*(1+assumptions!$G$76)^2/12*(1+assumptions!$G$70+assumptions!$G$71+IF(30&gt;=assumptions!$G$73,assumptions!$G$72,0))+assumptions!$G$74/12)+IF(30=E5,D5*assumptions!$G$75,0),0)</f>
        <v/>
      </c>
      <c r="AK5" s="17">
        <f>IF(AND(31&gt;=E5,OR(F5="",31&lt;=F5)),(D5*(1+assumptions!$G$76)^2/12*(1+assumptions!$G$70+assumptions!$G$71+IF(31&gt;=assumptions!$G$73,assumptions!$G$72,0))+assumptions!$G$74/12)+IF(31=E5,D5*assumptions!$G$75,0),0)</f>
        <v/>
      </c>
      <c r="AL5" s="17">
        <f>IF(AND(32&gt;=E5,OR(F5="",32&lt;=F5)),(D5*(1+assumptions!$G$76)^2/12*(1+assumptions!$G$70+assumptions!$G$71+IF(32&gt;=assumptions!$G$73,assumptions!$G$72,0))+assumptions!$G$74/12)+IF(32=E5,D5*assumptions!$G$75,0),0)</f>
        <v/>
      </c>
      <c r="AM5" s="17">
        <f>IF(AND(33&gt;=E5,OR(F5="",33&lt;=F5)),(D5*(1+assumptions!$G$76)^2/12*(1+assumptions!$G$70+assumptions!$G$71+IF(33&gt;=assumptions!$G$73,assumptions!$G$72,0))+assumptions!$G$74/12)+IF(33=E5,D5*assumptions!$G$75,0),0)</f>
        <v/>
      </c>
      <c r="AN5" s="17">
        <f>IF(AND(34&gt;=E5,OR(F5="",34&lt;=F5)),(D5*(1+assumptions!$G$76)^2/12*(1+assumptions!$G$70+assumptions!$G$71+IF(34&gt;=assumptions!$G$73,assumptions!$G$72,0))+assumptions!$G$74/12)+IF(34=E5,D5*assumptions!$G$75,0),0)</f>
        <v/>
      </c>
      <c r="AO5" s="17">
        <f>IF(AND(35&gt;=E5,OR(F5="",35&lt;=F5)),(D5*(1+assumptions!$G$76)^2/12*(1+assumptions!$G$70+assumptions!$G$71+IF(35&gt;=assumptions!$G$73,assumptions!$G$72,0))+assumptions!$G$74/12)+IF(35=E5,D5*assumptions!$G$75,0),0)</f>
        <v/>
      </c>
      <c r="AP5" s="17">
        <f>IF(AND(36&gt;=E5,OR(F5="",36&lt;=F5)),(D5*(1+assumptions!$G$76)^2/12*(1+assumptions!$G$70+assumptions!$G$71+IF(36&gt;=assumptions!$G$73,assumptions!$G$72,0))+assumptions!$G$74/12)+IF(36=E5,D5*assumptions!$G$75,0),0)</f>
        <v/>
      </c>
      <c r="AQ5" s="17">
        <f>IF(AND(37&gt;=E5,OR(F5="",37&lt;=F5)),(D5*(1+assumptions!$G$76)^3/12*(1+assumptions!$G$70+assumptions!$G$71+IF(37&gt;=assumptions!$G$73,assumptions!$G$72,0))+assumptions!$G$74/12)+IF(37=E5,D5*assumptions!$G$75,0),0)</f>
        <v/>
      </c>
      <c r="AR5" s="17">
        <f>IF(AND(38&gt;=E5,OR(F5="",38&lt;=F5)),(D5*(1+assumptions!$G$76)^3/12*(1+assumptions!$G$70+assumptions!$G$71+IF(38&gt;=assumptions!$G$73,assumptions!$G$72,0))+assumptions!$G$74/12)+IF(38=E5,D5*assumptions!$G$75,0),0)</f>
        <v/>
      </c>
      <c r="AS5" s="17">
        <f>IF(AND(39&gt;=E5,OR(F5="",39&lt;=F5)),(D5*(1+assumptions!$G$76)^3/12*(1+assumptions!$G$70+assumptions!$G$71+IF(39&gt;=assumptions!$G$73,assumptions!$G$72,0))+assumptions!$G$74/12)+IF(39=E5,D5*assumptions!$G$75,0),0)</f>
        <v/>
      </c>
      <c r="AT5" s="17">
        <f>IF(AND(40&gt;=E5,OR(F5="",40&lt;=F5)),(D5*(1+assumptions!$G$76)^3/12*(1+assumptions!$G$70+assumptions!$G$71+IF(40&gt;=assumptions!$G$73,assumptions!$G$72,0))+assumptions!$G$74/12)+IF(40=E5,D5*assumptions!$G$75,0),0)</f>
        <v/>
      </c>
      <c r="AU5" s="17">
        <f>IF(AND(41&gt;=E5,OR(F5="",41&lt;=F5)),(D5*(1+assumptions!$G$76)^3/12*(1+assumptions!$G$70+assumptions!$G$71+IF(41&gt;=assumptions!$G$73,assumptions!$G$72,0))+assumptions!$G$74/12)+IF(41=E5,D5*assumptions!$G$75,0),0)</f>
        <v/>
      </c>
      <c r="AV5" s="17">
        <f>IF(AND(42&gt;=E5,OR(F5="",42&lt;=F5)),(D5*(1+assumptions!$G$76)^3/12*(1+assumptions!$G$70+assumptions!$G$71+IF(42&gt;=assumptions!$G$73,assumptions!$G$72,0))+assumptions!$G$74/12)+IF(42=E5,D5*assumptions!$G$75,0),0)</f>
        <v/>
      </c>
      <c r="AW5" s="17">
        <f>IF(AND(43&gt;=E5,OR(F5="",43&lt;=F5)),(D5*(1+assumptions!$G$76)^3/12*(1+assumptions!$G$70+assumptions!$G$71+IF(43&gt;=assumptions!$G$73,assumptions!$G$72,0))+assumptions!$G$74/12)+IF(43=E5,D5*assumptions!$G$75,0),0)</f>
        <v/>
      </c>
      <c r="AX5" s="17">
        <f>IF(AND(44&gt;=E5,OR(F5="",44&lt;=F5)),(D5*(1+assumptions!$G$76)^3/12*(1+assumptions!$G$70+assumptions!$G$71+IF(44&gt;=assumptions!$G$73,assumptions!$G$72,0))+assumptions!$G$74/12)+IF(44=E5,D5*assumptions!$G$75,0),0)</f>
        <v/>
      </c>
      <c r="AY5" s="17">
        <f>IF(AND(45&gt;=E5,OR(F5="",45&lt;=F5)),(D5*(1+assumptions!$G$76)^3/12*(1+assumptions!$G$70+assumptions!$G$71+IF(45&gt;=assumptions!$G$73,assumptions!$G$72,0))+assumptions!$G$74/12)+IF(45=E5,D5*assumptions!$G$75,0),0)</f>
        <v/>
      </c>
      <c r="AZ5" s="17">
        <f>IF(AND(46&gt;=E5,OR(F5="",46&lt;=F5)),(D5*(1+assumptions!$G$76)^3/12*(1+assumptions!$G$70+assumptions!$G$71+IF(46&gt;=assumptions!$G$73,assumptions!$G$72,0))+assumptions!$G$74/12)+IF(46=E5,D5*assumptions!$G$75,0),0)</f>
        <v/>
      </c>
      <c r="BA5" s="17">
        <f>IF(AND(47&gt;=E5,OR(F5="",47&lt;=F5)),(D5*(1+assumptions!$G$76)^3/12*(1+assumptions!$G$70+assumptions!$G$71+IF(47&gt;=assumptions!$G$73,assumptions!$G$72,0))+assumptions!$G$74/12)+IF(47=E5,D5*assumptions!$G$75,0),0)</f>
        <v/>
      </c>
      <c r="BB5" s="17">
        <f>IF(AND(48&gt;=E5,OR(F5="",48&lt;=F5)),(D5*(1+assumptions!$G$76)^3/12*(1+assumptions!$G$70+assumptions!$G$71+IF(48&gt;=assumptions!$G$73,assumptions!$G$72,0))+assumptions!$G$74/12)+IF(48=E5,D5*assumptions!$G$75,0),0)</f>
        <v/>
      </c>
      <c r="BC5" s="17">
        <f>IF(AND(49&gt;=E5,OR(F5="",49&lt;=F5)),(D5*(1+assumptions!$G$76)^4/12*(1+assumptions!$G$70+assumptions!$G$71+IF(49&gt;=assumptions!$G$73,assumptions!$G$72,0))+assumptions!$G$74/12)+IF(49=E5,D5*assumptions!$G$75,0),0)</f>
        <v/>
      </c>
      <c r="BD5" s="17">
        <f>IF(AND(50&gt;=E5,OR(F5="",50&lt;=F5)),(D5*(1+assumptions!$G$76)^4/12*(1+assumptions!$G$70+assumptions!$G$71+IF(50&gt;=assumptions!$G$73,assumptions!$G$72,0))+assumptions!$G$74/12)+IF(50=E5,D5*assumptions!$G$75,0),0)</f>
        <v/>
      </c>
      <c r="BE5" s="17">
        <f>IF(AND(51&gt;=E5,OR(F5="",51&lt;=F5)),(D5*(1+assumptions!$G$76)^4/12*(1+assumptions!$G$70+assumptions!$G$71+IF(51&gt;=assumptions!$G$73,assumptions!$G$72,0))+assumptions!$G$74/12)+IF(51=E5,D5*assumptions!$G$75,0),0)</f>
        <v/>
      </c>
      <c r="BF5" s="17">
        <f>IF(AND(52&gt;=E5,OR(F5="",52&lt;=F5)),(D5*(1+assumptions!$G$76)^4/12*(1+assumptions!$G$70+assumptions!$G$71+IF(52&gt;=assumptions!$G$73,assumptions!$G$72,0))+assumptions!$G$74/12)+IF(52=E5,D5*assumptions!$G$75,0),0)</f>
        <v/>
      </c>
      <c r="BG5" s="17">
        <f>IF(AND(53&gt;=E5,OR(F5="",53&lt;=F5)),(D5*(1+assumptions!$G$76)^4/12*(1+assumptions!$G$70+assumptions!$G$71+IF(53&gt;=assumptions!$G$73,assumptions!$G$72,0))+assumptions!$G$74/12)+IF(53=E5,D5*assumptions!$G$75,0),0)</f>
        <v/>
      </c>
      <c r="BH5" s="17">
        <f>IF(AND(54&gt;=E5,OR(F5="",54&lt;=F5)),(D5*(1+assumptions!$G$76)^4/12*(1+assumptions!$G$70+assumptions!$G$71+IF(54&gt;=assumptions!$G$73,assumptions!$G$72,0))+assumptions!$G$74/12)+IF(54=E5,D5*assumptions!$G$75,0),0)</f>
        <v/>
      </c>
      <c r="BI5" s="17">
        <f>IF(AND(55&gt;=E5,OR(F5="",55&lt;=F5)),(D5*(1+assumptions!$G$76)^4/12*(1+assumptions!$G$70+assumptions!$G$71+IF(55&gt;=assumptions!$G$73,assumptions!$G$72,0))+assumptions!$G$74/12)+IF(55=E5,D5*assumptions!$G$75,0),0)</f>
        <v/>
      </c>
      <c r="BJ5" s="17">
        <f>IF(AND(56&gt;=E5,OR(F5="",56&lt;=F5)),(D5*(1+assumptions!$G$76)^4/12*(1+assumptions!$G$70+assumptions!$G$71+IF(56&gt;=assumptions!$G$73,assumptions!$G$72,0))+assumptions!$G$74/12)+IF(56=E5,D5*assumptions!$G$75,0),0)</f>
        <v/>
      </c>
      <c r="BK5" s="17">
        <f>IF(AND(57&gt;=E5,OR(F5="",57&lt;=F5)),(D5*(1+assumptions!$G$76)^4/12*(1+assumptions!$G$70+assumptions!$G$71+IF(57&gt;=assumptions!$G$73,assumptions!$G$72,0))+assumptions!$G$74/12)+IF(57=E5,D5*assumptions!$G$75,0),0)</f>
        <v/>
      </c>
      <c r="BL5" s="17">
        <f>IF(AND(58&gt;=E5,OR(F5="",58&lt;=F5)),(D5*(1+assumptions!$G$76)^4/12*(1+assumptions!$G$70+assumptions!$G$71+IF(58&gt;=assumptions!$G$73,assumptions!$G$72,0))+assumptions!$G$74/12)+IF(58=E5,D5*assumptions!$G$75,0),0)</f>
        <v/>
      </c>
      <c r="BM5" s="17">
        <f>IF(AND(59&gt;=E5,OR(F5="",59&lt;=F5)),(D5*(1+assumptions!$G$76)^4/12*(1+assumptions!$G$70+assumptions!$G$71+IF(59&gt;=assumptions!$G$73,assumptions!$G$72,0))+assumptions!$G$74/12)+IF(59=E5,D5*assumptions!$G$75,0),0)</f>
        <v/>
      </c>
      <c r="BN5" s="17">
        <f>IF(AND(60&gt;=E5,OR(F5="",60&lt;=F5)),(D5*(1+assumptions!$G$76)^4/12*(1+assumptions!$G$70+assumptions!$G$71+IF(60&gt;=assumptions!$G$73,assumptions!$G$72,0))+assumptions!$G$74/12)+IF(60=E5,D5*assumptions!$G$75,0),0)</f>
        <v/>
      </c>
    </row>
    <row r="6">
      <c r="A6" s="5" t="n">
        <v>3</v>
      </c>
      <c r="B6" s="5" t="inlineStr">
        <is>
          <t>Engineer</t>
        </is>
      </c>
      <c r="C6" s="5" t="inlineStr">
        <is>
          <t>eng</t>
        </is>
      </c>
      <c r="D6" s="15" t="n">
        <v>80000</v>
      </c>
      <c r="E6" s="32" t="n">
        <v>1</v>
      </c>
      <c r="F6" s="32" t="n"/>
      <c r="G6" s="17">
        <f>IF(AND(1&gt;=E6,OR(F6="",1&lt;=F6)),(D6*(1+assumptions!$G$76)^0/12*(1+assumptions!$G$70+assumptions!$G$71+IF(1&gt;=assumptions!$G$73,assumptions!$G$72,0))+assumptions!$G$74/12)+IF(1=E6,D6*assumptions!$G$75,0),0)</f>
        <v/>
      </c>
      <c r="H6" s="17">
        <f>IF(AND(2&gt;=E6,OR(F6="",2&lt;=F6)),(D6*(1+assumptions!$G$76)^0/12*(1+assumptions!$G$70+assumptions!$G$71+IF(2&gt;=assumptions!$G$73,assumptions!$G$72,0))+assumptions!$G$74/12)+IF(2=E6,D6*assumptions!$G$75,0),0)</f>
        <v/>
      </c>
      <c r="I6" s="17">
        <f>IF(AND(3&gt;=E6,OR(F6="",3&lt;=F6)),(D6*(1+assumptions!$G$76)^0/12*(1+assumptions!$G$70+assumptions!$G$71+IF(3&gt;=assumptions!$G$73,assumptions!$G$72,0))+assumptions!$G$74/12)+IF(3=E6,D6*assumptions!$G$75,0),0)</f>
        <v/>
      </c>
      <c r="J6" s="17">
        <f>IF(AND(4&gt;=E6,OR(F6="",4&lt;=F6)),(D6*(1+assumptions!$G$76)^0/12*(1+assumptions!$G$70+assumptions!$G$71+IF(4&gt;=assumptions!$G$73,assumptions!$G$72,0))+assumptions!$G$74/12)+IF(4=E6,D6*assumptions!$G$75,0),0)</f>
        <v/>
      </c>
      <c r="K6" s="17">
        <f>IF(AND(5&gt;=E6,OR(F6="",5&lt;=F6)),(D6*(1+assumptions!$G$76)^0/12*(1+assumptions!$G$70+assumptions!$G$71+IF(5&gt;=assumptions!$G$73,assumptions!$G$72,0))+assumptions!$G$74/12)+IF(5=E6,D6*assumptions!$G$75,0),0)</f>
        <v/>
      </c>
      <c r="L6" s="17">
        <f>IF(AND(6&gt;=E6,OR(F6="",6&lt;=F6)),(D6*(1+assumptions!$G$76)^0/12*(1+assumptions!$G$70+assumptions!$G$71+IF(6&gt;=assumptions!$G$73,assumptions!$G$72,0))+assumptions!$G$74/12)+IF(6=E6,D6*assumptions!$G$75,0),0)</f>
        <v/>
      </c>
      <c r="M6" s="17">
        <f>IF(AND(7&gt;=E6,OR(F6="",7&lt;=F6)),(D6*(1+assumptions!$G$76)^0/12*(1+assumptions!$G$70+assumptions!$G$71+IF(7&gt;=assumptions!$G$73,assumptions!$G$72,0))+assumptions!$G$74/12)+IF(7=E6,D6*assumptions!$G$75,0),0)</f>
        <v/>
      </c>
      <c r="N6" s="17">
        <f>IF(AND(8&gt;=E6,OR(F6="",8&lt;=F6)),(D6*(1+assumptions!$G$76)^0/12*(1+assumptions!$G$70+assumptions!$G$71+IF(8&gt;=assumptions!$G$73,assumptions!$G$72,0))+assumptions!$G$74/12)+IF(8=E6,D6*assumptions!$G$75,0),0)</f>
        <v/>
      </c>
      <c r="O6" s="17">
        <f>IF(AND(9&gt;=E6,OR(F6="",9&lt;=F6)),(D6*(1+assumptions!$G$76)^0/12*(1+assumptions!$G$70+assumptions!$G$71+IF(9&gt;=assumptions!$G$73,assumptions!$G$72,0))+assumptions!$G$74/12)+IF(9=E6,D6*assumptions!$G$75,0),0)</f>
        <v/>
      </c>
      <c r="P6" s="17">
        <f>IF(AND(10&gt;=E6,OR(F6="",10&lt;=F6)),(D6*(1+assumptions!$G$76)^0/12*(1+assumptions!$G$70+assumptions!$G$71+IF(10&gt;=assumptions!$G$73,assumptions!$G$72,0))+assumptions!$G$74/12)+IF(10=E6,D6*assumptions!$G$75,0),0)</f>
        <v/>
      </c>
      <c r="Q6" s="17">
        <f>IF(AND(11&gt;=E6,OR(F6="",11&lt;=F6)),(D6*(1+assumptions!$G$76)^0/12*(1+assumptions!$G$70+assumptions!$G$71+IF(11&gt;=assumptions!$G$73,assumptions!$G$72,0))+assumptions!$G$74/12)+IF(11=E6,D6*assumptions!$G$75,0),0)</f>
        <v/>
      </c>
      <c r="R6" s="17">
        <f>IF(AND(12&gt;=E6,OR(F6="",12&lt;=F6)),(D6*(1+assumptions!$G$76)^0/12*(1+assumptions!$G$70+assumptions!$G$71+IF(12&gt;=assumptions!$G$73,assumptions!$G$72,0))+assumptions!$G$74/12)+IF(12=E6,D6*assumptions!$G$75,0),0)</f>
        <v/>
      </c>
      <c r="S6" s="17">
        <f>IF(AND(13&gt;=E6,OR(F6="",13&lt;=F6)),(D6*(1+assumptions!$G$76)^1/12*(1+assumptions!$G$70+assumptions!$G$71+IF(13&gt;=assumptions!$G$73,assumptions!$G$72,0))+assumptions!$G$74/12)+IF(13=E6,D6*assumptions!$G$75,0),0)</f>
        <v/>
      </c>
      <c r="T6" s="17">
        <f>IF(AND(14&gt;=E6,OR(F6="",14&lt;=F6)),(D6*(1+assumptions!$G$76)^1/12*(1+assumptions!$G$70+assumptions!$G$71+IF(14&gt;=assumptions!$G$73,assumptions!$G$72,0))+assumptions!$G$74/12)+IF(14=E6,D6*assumptions!$G$75,0),0)</f>
        <v/>
      </c>
      <c r="U6" s="17">
        <f>IF(AND(15&gt;=E6,OR(F6="",15&lt;=F6)),(D6*(1+assumptions!$G$76)^1/12*(1+assumptions!$G$70+assumptions!$G$71+IF(15&gt;=assumptions!$G$73,assumptions!$G$72,0))+assumptions!$G$74/12)+IF(15=E6,D6*assumptions!$G$75,0),0)</f>
        <v/>
      </c>
      <c r="V6" s="17">
        <f>IF(AND(16&gt;=E6,OR(F6="",16&lt;=F6)),(D6*(1+assumptions!$G$76)^1/12*(1+assumptions!$G$70+assumptions!$G$71+IF(16&gt;=assumptions!$G$73,assumptions!$G$72,0))+assumptions!$G$74/12)+IF(16=E6,D6*assumptions!$G$75,0),0)</f>
        <v/>
      </c>
      <c r="W6" s="17">
        <f>IF(AND(17&gt;=E6,OR(F6="",17&lt;=F6)),(D6*(1+assumptions!$G$76)^1/12*(1+assumptions!$G$70+assumptions!$G$71+IF(17&gt;=assumptions!$G$73,assumptions!$G$72,0))+assumptions!$G$74/12)+IF(17=E6,D6*assumptions!$G$75,0),0)</f>
        <v/>
      </c>
      <c r="X6" s="17">
        <f>IF(AND(18&gt;=E6,OR(F6="",18&lt;=F6)),(D6*(1+assumptions!$G$76)^1/12*(1+assumptions!$G$70+assumptions!$G$71+IF(18&gt;=assumptions!$G$73,assumptions!$G$72,0))+assumptions!$G$74/12)+IF(18=E6,D6*assumptions!$G$75,0),0)</f>
        <v/>
      </c>
      <c r="Y6" s="17">
        <f>IF(AND(19&gt;=E6,OR(F6="",19&lt;=F6)),(D6*(1+assumptions!$G$76)^1/12*(1+assumptions!$G$70+assumptions!$G$71+IF(19&gt;=assumptions!$G$73,assumptions!$G$72,0))+assumptions!$G$74/12)+IF(19=E6,D6*assumptions!$G$75,0),0)</f>
        <v/>
      </c>
      <c r="Z6" s="17">
        <f>IF(AND(20&gt;=E6,OR(F6="",20&lt;=F6)),(D6*(1+assumptions!$G$76)^1/12*(1+assumptions!$G$70+assumptions!$G$71+IF(20&gt;=assumptions!$G$73,assumptions!$G$72,0))+assumptions!$G$74/12)+IF(20=E6,D6*assumptions!$G$75,0),0)</f>
        <v/>
      </c>
      <c r="AA6" s="17">
        <f>IF(AND(21&gt;=E6,OR(F6="",21&lt;=F6)),(D6*(1+assumptions!$G$76)^1/12*(1+assumptions!$G$70+assumptions!$G$71+IF(21&gt;=assumptions!$G$73,assumptions!$G$72,0))+assumptions!$G$74/12)+IF(21=E6,D6*assumptions!$G$75,0),0)</f>
        <v/>
      </c>
      <c r="AB6" s="17">
        <f>IF(AND(22&gt;=E6,OR(F6="",22&lt;=F6)),(D6*(1+assumptions!$G$76)^1/12*(1+assumptions!$G$70+assumptions!$G$71+IF(22&gt;=assumptions!$G$73,assumptions!$G$72,0))+assumptions!$G$74/12)+IF(22=E6,D6*assumptions!$G$75,0),0)</f>
        <v/>
      </c>
      <c r="AC6" s="17">
        <f>IF(AND(23&gt;=E6,OR(F6="",23&lt;=F6)),(D6*(1+assumptions!$G$76)^1/12*(1+assumptions!$G$70+assumptions!$G$71+IF(23&gt;=assumptions!$G$73,assumptions!$G$72,0))+assumptions!$G$74/12)+IF(23=E6,D6*assumptions!$G$75,0),0)</f>
        <v/>
      </c>
      <c r="AD6" s="17">
        <f>IF(AND(24&gt;=E6,OR(F6="",24&lt;=F6)),(D6*(1+assumptions!$G$76)^1/12*(1+assumptions!$G$70+assumptions!$G$71+IF(24&gt;=assumptions!$G$73,assumptions!$G$72,0))+assumptions!$G$74/12)+IF(24=E6,D6*assumptions!$G$75,0),0)</f>
        <v/>
      </c>
      <c r="AE6" s="17">
        <f>IF(AND(25&gt;=E6,OR(F6="",25&lt;=F6)),(D6*(1+assumptions!$G$76)^2/12*(1+assumptions!$G$70+assumptions!$G$71+IF(25&gt;=assumptions!$G$73,assumptions!$G$72,0))+assumptions!$G$74/12)+IF(25=E6,D6*assumptions!$G$75,0),0)</f>
        <v/>
      </c>
      <c r="AF6" s="17">
        <f>IF(AND(26&gt;=E6,OR(F6="",26&lt;=F6)),(D6*(1+assumptions!$G$76)^2/12*(1+assumptions!$G$70+assumptions!$G$71+IF(26&gt;=assumptions!$G$73,assumptions!$G$72,0))+assumptions!$G$74/12)+IF(26=E6,D6*assumptions!$G$75,0),0)</f>
        <v/>
      </c>
      <c r="AG6" s="17">
        <f>IF(AND(27&gt;=E6,OR(F6="",27&lt;=F6)),(D6*(1+assumptions!$G$76)^2/12*(1+assumptions!$G$70+assumptions!$G$71+IF(27&gt;=assumptions!$G$73,assumptions!$G$72,0))+assumptions!$G$74/12)+IF(27=E6,D6*assumptions!$G$75,0),0)</f>
        <v/>
      </c>
      <c r="AH6" s="17">
        <f>IF(AND(28&gt;=E6,OR(F6="",28&lt;=F6)),(D6*(1+assumptions!$G$76)^2/12*(1+assumptions!$G$70+assumptions!$G$71+IF(28&gt;=assumptions!$G$73,assumptions!$G$72,0))+assumptions!$G$74/12)+IF(28=E6,D6*assumptions!$G$75,0),0)</f>
        <v/>
      </c>
      <c r="AI6" s="17">
        <f>IF(AND(29&gt;=E6,OR(F6="",29&lt;=F6)),(D6*(1+assumptions!$G$76)^2/12*(1+assumptions!$G$70+assumptions!$G$71+IF(29&gt;=assumptions!$G$73,assumptions!$G$72,0))+assumptions!$G$74/12)+IF(29=E6,D6*assumptions!$G$75,0),0)</f>
        <v/>
      </c>
      <c r="AJ6" s="17">
        <f>IF(AND(30&gt;=E6,OR(F6="",30&lt;=F6)),(D6*(1+assumptions!$G$76)^2/12*(1+assumptions!$G$70+assumptions!$G$71+IF(30&gt;=assumptions!$G$73,assumptions!$G$72,0))+assumptions!$G$74/12)+IF(30=E6,D6*assumptions!$G$75,0),0)</f>
        <v/>
      </c>
      <c r="AK6" s="17">
        <f>IF(AND(31&gt;=E6,OR(F6="",31&lt;=F6)),(D6*(1+assumptions!$G$76)^2/12*(1+assumptions!$G$70+assumptions!$G$71+IF(31&gt;=assumptions!$G$73,assumptions!$G$72,0))+assumptions!$G$74/12)+IF(31=E6,D6*assumptions!$G$75,0),0)</f>
        <v/>
      </c>
      <c r="AL6" s="17">
        <f>IF(AND(32&gt;=E6,OR(F6="",32&lt;=F6)),(D6*(1+assumptions!$G$76)^2/12*(1+assumptions!$G$70+assumptions!$G$71+IF(32&gt;=assumptions!$G$73,assumptions!$G$72,0))+assumptions!$G$74/12)+IF(32=E6,D6*assumptions!$G$75,0),0)</f>
        <v/>
      </c>
      <c r="AM6" s="17">
        <f>IF(AND(33&gt;=E6,OR(F6="",33&lt;=F6)),(D6*(1+assumptions!$G$76)^2/12*(1+assumptions!$G$70+assumptions!$G$71+IF(33&gt;=assumptions!$G$73,assumptions!$G$72,0))+assumptions!$G$74/12)+IF(33=E6,D6*assumptions!$G$75,0),0)</f>
        <v/>
      </c>
      <c r="AN6" s="17">
        <f>IF(AND(34&gt;=E6,OR(F6="",34&lt;=F6)),(D6*(1+assumptions!$G$76)^2/12*(1+assumptions!$G$70+assumptions!$G$71+IF(34&gt;=assumptions!$G$73,assumptions!$G$72,0))+assumptions!$G$74/12)+IF(34=E6,D6*assumptions!$G$75,0),0)</f>
        <v/>
      </c>
      <c r="AO6" s="17">
        <f>IF(AND(35&gt;=E6,OR(F6="",35&lt;=F6)),(D6*(1+assumptions!$G$76)^2/12*(1+assumptions!$G$70+assumptions!$G$71+IF(35&gt;=assumptions!$G$73,assumptions!$G$72,0))+assumptions!$G$74/12)+IF(35=E6,D6*assumptions!$G$75,0),0)</f>
        <v/>
      </c>
      <c r="AP6" s="17">
        <f>IF(AND(36&gt;=E6,OR(F6="",36&lt;=F6)),(D6*(1+assumptions!$G$76)^2/12*(1+assumptions!$G$70+assumptions!$G$71+IF(36&gt;=assumptions!$G$73,assumptions!$G$72,0))+assumptions!$G$74/12)+IF(36=E6,D6*assumptions!$G$75,0),0)</f>
        <v/>
      </c>
      <c r="AQ6" s="17">
        <f>IF(AND(37&gt;=E6,OR(F6="",37&lt;=F6)),(D6*(1+assumptions!$G$76)^3/12*(1+assumptions!$G$70+assumptions!$G$71+IF(37&gt;=assumptions!$G$73,assumptions!$G$72,0))+assumptions!$G$74/12)+IF(37=E6,D6*assumptions!$G$75,0),0)</f>
        <v/>
      </c>
      <c r="AR6" s="17">
        <f>IF(AND(38&gt;=E6,OR(F6="",38&lt;=F6)),(D6*(1+assumptions!$G$76)^3/12*(1+assumptions!$G$70+assumptions!$G$71+IF(38&gt;=assumptions!$G$73,assumptions!$G$72,0))+assumptions!$G$74/12)+IF(38=E6,D6*assumptions!$G$75,0),0)</f>
        <v/>
      </c>
      <c r="AS6" s="17">
        <f>IF(AND(39&gt;=E6,OR(F6="",39&lt;=F6)),(D6*(1+assumptions!$G$76)^3/12*(1+assumptions!$G$70+assumptions!$G$71+IF(39&gt;=assumptions!$G$73,assumptions!$G$72,0))+assumptions!$G$74/12)+IF(39=E6,D6*assumptions!$G$75,0),0)</f>
        <v/>
      </c>
      <c r="AT6" s="17">
        <f>IF(AND(40&gt;=E6,OR(F6="",40&lt;=F6)),(D6*(1+assumptions!$G$76)^3/12*(1+assumptions!$G$70+assumptions!$G$71+IF(40&gt;=assumptions!$G$73,assumptions!$G$72,0))+assumptions!$G$74/12)+IF(40=E6,D6*assumptions!$G$75,0),0)</f>
        <v/>
      </c>
      <c r="AU6" s="17">
        <f>IF(AND(41&gt;=E6,OR(F6="",41&lt;=F6)),(D6*(1+assumptions!$G$76)^3/12*(1+assumptions!$G$70+assumptions!$G$71+IF(41&gt;=assumptions!$G$73,assumptions!$G$72,0))+assumptions!$G$74/12)+IF(41=E6,D6*assumptions!$G$75,0),0)</f>
        <v/>
      </c>
      <c r="AV6" s="17">
        <f>IF(AND(42&gt;=E6,OR(F6="",42&lt;=F6)),(D6*(1+assumptions!$G$76)^3/12*(1+assumptions!$G$70+assumptions!$G$71+IF(42&gt;=assumptions!$G$73,assumptions!$G$72,0))+assumptions!$G$74/12)+IF(42=E6,D6*assumptions!$G$75,0),0)</f>
        <v/>
      </c>
      <c r="AW6" s="17">
        <f>IF(AND(43&gt;=E6,OR(F6="",43&lt;=F6)),(D6*(1+assumptions!$G$76)^3/12*(1+assumptions!$G$70+assumptions!$G$71+IF(43&gt;=assumptions!$G$73,assumptions!$G$72,0))+assumptions!$G$74/12)+IF(43=E6,D6*assumptions!$G$75,0),0)</f>
        <v/>
      </c>
      <c r="AX6" s="17">
        <f>IF(AND(44&gt;=E6,OR(F6="",44&lt;=F6)),(D6*(1+assumptions!$G$76)^3/12*(1+assumptions!$G$70+assumptions!$G$71+IF(44&gt;=assumptions!$G$73,assumptions!$G$72,0))+assumptions!$G$74/12)+IF(44=E6,D6*assumptions!$G$75,0),0)</f>
        <v/>
      </c>
      <c r="AY6" s="17">
        <f>IF(AND(45&gt;=E6,OR(F6="",45&lt;=F6)),(D6*(1+assumptions!$G$76)^3/12*(1+assumptions!$G$70+assumptions!$G$71+IF(45&gt;=assumptions!$G$73,assumptions!$G$72,0))+assumptions!$G$74/12)+IF(45=E6,D6*assumptions!$G$75,0),0)</f>
        <v/>
      </c>
      <c r="AZ6" s="17">
        <f>IF(AND(46&gt;=E6,OR(F6="",46&lt;=F6)),(D6*(1+assumptions!$G$76)^3/12*(1+assumptions!$G$70+assumptions!$G$71+IF(46&gt;=assumptions!$G$73,assumptions!$G$72,0))+assumptions!$G$74/12)+IF(46=E6,D6*assumptions!$G$75,0),0)</f>
        <v/>
      </c>
      <c r="BA6" s="17">
        <f>IF(AND(47&gt;=E6,OR(F6="",47&lt;=F6)),(D6*(1+assumptions!$G$76)^3/12*(1+assumptions!$G$70+assumptions!$G$71+IF(47&gt;=assumptions!$G$73,assumptions!$G$72,0))+assumptions!$G$74/12)+IF(47=E6,D6*assumptions!$G$75,0),0)</f>
        <v/>
      </c>
      <c r="BB6" s="17">
        <f>IF(AND(48&gt;=E6,OR(F6="",48&lt;=F6)),(D6*(1+assumptions!$G$76)^3/12*(1+assumptions!$G$70+assumptions!$G$71+IF(48&gt;=assumptions!$G$73,assumptions!$G$72,0))+assumptions!$G$74/12)+IF(48=E6,D6*assumptions!$G$75,0),0)</f>
        <v/>
      </c>
      <c r="BC6" s="17">
        <f>IF(AND(49&gt;=E6,OR(F6="",49&lt;=F6)),(D6*(1+assumptions!$G$76)^4/12*(1+assumptions!$G$70+assumptions!$G$71+IF(49&gt;=assumptions!$G$73,assumptions!$G$72,0))+assumptions!$G$74/12)+IF(49=E6,D6*assumptions!$G$75,0),0)</f>
        <v/>
      </c>
      <c r="BD6" s="17">
        <f>IF(AND(50&gt;=E6,OR(F6="",50&lt;=F6)),(D6*(1+assumptions!$G$76)^4/12*(1+assumptions!$G$70+assumptions!$G$71+IF(50&gt;=assumptions!$G$73,assumptions!$G$72,0))+assumptions!$G$74/12)+IF(50=E6,D6*assumptions!$G$75,0),0)</f>
        <v/>
      </c>
      <c r="BE6" s="17">
        <f>IF(AND(51&gt;=E6,OR(F6="",51&lt;=F6)),(D6*(1+assumptions!$G$76)^4/12*(1+assumptions!$G$70+assumptions!$G$71+IF(51&gt;=assumptions!$G$73,assumptions!$G$72,0))+assumptions!$G$74/12)+IF(51=E6,D6*assumptions!$G$75,0),0)</f>
        <v/>
      </c>
      <c r="BF6" s="17">
        <f>IF(AND(52&gt;=E6,OR(F6="",52&lt;=F6)),(D6*(1+assumptions!$G$76)^4/12*(1+assumptions!$G$70+assumptions!$G$71+IF(52&gt;=assumptions!$G$73,assumptions!$G$72,0))+assumptions!$G$74/12)+IF(52=E6,D6*assumptions!$G$75,0),0)</f>
        <v/>
      </c>
      <c r="BG6" s="17">
        <f>IF(AND(53&gt;=E6,OR(F6="",53&lt;=F6)),(D6*(1+assumptions!$G$76)^4/12*(1+assumptions!$G$70+assumptions!$G$71+IF(53&gt;=assumptions!$G$73,assumptions!$G$72,0))+assumptions!$G$74/12)+IF(53=E6,D6*assumptions!$G$75,0),0)</f>
        <v/>
      </c>
      <c r="BH6" s="17">
        <f>IF(AND(54&gt;=E6,OR(F6="",54&lt;=F6)),(D6*(1+assumptions!$G$76)^4/12*(1+assumptions!$G$70+assumptions!$G$71+IF(54&gt;=assumptions!$G$73,assumptions!$G$72,0))+assumptions!$G$74/12)+IF(54=E6,D6*assumptions!$G$75,0),0)</f>
        <v/>
      </c>
      <c r="BI6" s="17">
        <f>IF(AND(55&gt;=E6,OR(F6="",55&lt;=F6)),(D6*(1+assumptions!$G$76)^4/12*(1+assumptions!$G$70+assumptions!$G$71+IF(55&gt;=assumptions!$G$73,assumptions!$G$72,0))+assumptions!$G$74/12)+IF(55=E6,D6*assumptions!$G$75,0),0)</f>
        <v/>
      </c>
      <c r="BJ6" s="17">
        <f>IF(AND(56&gt;=E6,OR(F6="",56&lt;=F6)),(D6*(1+assumptions!$G$76)^4/12*(1+assumptions!$G$70+assumptions!$G$71+IF(56&gt;=assumptions!$G$73,assumptions!$G$72,0))+assumptions!$G$74/12)+IF(56=E6,D6*assumptions!$G$75,0),0)</f>
        <v/>
      </c>
      <c r="BK6" s="17">
        <f>IF(AND(57&gt;=E6,OR(F6="",57&lt;=F6)),(D6*(1+assumptions!$G$76)^4/12*(1+assumptions!$G$70+assumptions!$G$71+IF(57&gt;=assumptions!$G$73,assumptions!$G$72,0))+assumptions!$G$74/12)+IF(57=E6,D6*assumptions!$G$75,0),0)</f>
        <v/>
      </c>
      <c r="BL6" s="17">
        <f>IF(AND(58&gt;=E6,OR(F6="",58&lt;=F6)),(D6*(1+assumptions!$G$76)^4/12*(1+assumptions!$G$70+assumptions!$G$71+IF(58&gt;=assumptions!$G$73,assumptions!$G$72,0))+assumptions!$G$74/12)+IF(58=E6,D6*assumptions!$G$75,0),0)</f>
        <v/>
      </c>
      <c r="BM6" s="17">
        <f>IF(AND(59&gt;=E6,OR(F6="",59&lt;=F6)),(D6*(1+assumptions!$G$76)^4/12*(1+assumptions!$G$70+assumptions!$G$71+IF(59&gt;=assumptions!$G$73,assumptions!$G$72,0))+assumptions!$G$74/12)+IF(59=E6,D6*assumptions!$G$75,0),0)</f>
        <v/>
      </c>
      <c r="BN6" s="17">
        <f>IF(AND(60&gt;=E6,OR(F6="",60&lt;=F6)),(D6*(1+assumptions!$G$76)^4/12*(1+assumptions!$G$70+assumptions!$G$71+IF(60&gt;=assumptions!$G$73,assumptions!$G$72,0))+assumptions!$G$74/12)+IF(60=E6,D6*assumptions!$G$75,0),0)</f>
        <v/>
      </c>
    </row>
    <row r="7">
      <c r="A7" s="5" t="n">
        <v>4</v>
      </c>
      <c r="B7" s="5" t="inlineStr">
        <is>
          <t>Head of Creator Growth</t>
        </is>
      </c>
      <c r="C7" s="5" t="inlineStr">
        <is>
          <t>growth</t>
        </is>
      </c>
      <c r="D7" s="15" t="n">
        <v>75000</v>
      </c>
      <c r="E7" s="32" t="n">
        <v>1</v>
      </c>
      <c r="F7" s="32" t="n"/>
      <c r="G7" s="17">
        <f>IF(AND(1&gt;=E7,OR(F7="",1&lt;=F7)),(D7*(1+assumptions!$G$76)^0/12*(1+assumptions!$G$70+assumptions!$G$71+IF(1&gt;=assumptions!$G$73,assumptions!$G$72,0))+assumptions!$G$74/12)+IF(1=E7,D7*assumptions!$G$75,0),0)</f>
        <v/>
      </c>
      <c r="H7" s="17">
        <f>IF(AND(2&gt;=E7,OR(F7="",2&lt;=F7)),(D7*(1+assumptions!$G$76)^0/12*(1+assumptions!$G$70+assumptions!$G$71+IF(2&gt;=assumptions!$G$73,assumptions!$G$72,0))+assumptions!$G$74/12)+IF(2=E7,D7*assumptions!$G$75,0),0)</f>
        <v/>
      </c>
      <c r="I7" s="17">
        <f>IF(AND(3&gt;=E7,OR(F7="",3&lt;=F7)),(D7*(1+assumptions!$G$76)^0/12*(1+assumptions!$G$70+assumptions!$G$71+IF(3&gt;=assumptions!$G$73,assumptions!$G$72,0))+assumptions!$G$74/12)+IF(3=E7,D7*assumptions!$G$75,0),0)</f>
        <v/>
      </c>
      <c r="J7" s="17">
        <f>IF(AND(4&gt;=E7,OR(F7="",4&lt;=F7)),(D7*(1+assumptions!$G$76)^0/12*(1+assumptions!$G$70+assumptions!$G$71+IF(4&gt;=assumptions!$G$73,assumptions!$G$72,0))+assumptions!$G$74/12)+IF(4=E7,D7*assumptions!$G$75,0),0)</f>
        <v/>
      </c>
      <c r="K7" s="17">
        <f>IF(AND(5&gt;=E7,OR(F7="",5&lt;=F7)),(D7*(1+assumptions!$G$76)^0/12*(1+assumptions!$G$70+assumptions!$G$71+IF(5&gt;=assumptions!$G$73,assumptions!$G$72,0))+assumptions!$G$74/12)+IF(5=E7,D7*assumptions!$G$75,0),0)</f>
        <v/>
      </c>
      <c r="L7" s="17">
        <f>IF(AND(6&gt;=E7,OR(F7="",6&lt;=F7)),(D7*(1+assumptions!$G$76)^0/12*(1+assumptions!$G$70+assumptions!$G$71+IF(6&gt;=assumptions!$G$73,assumptions!$G$72,0))+assumptions!$G$74/12)+IF(6=E7,D7*assumptions!$G$75,0),0)</f>
        <v/>
      </c>
      <c r="M7" s="17">
        <f>IF(AND(7&gt;=E7,OR(F7="",7&lt;=F7)),(D7*(1+assumptions!$G$76)^0/12*(1+assumptions!$G$70+assumptions!$G$71+IF(7&gt;=assumptions!$G$73,assumptions!$G$72,0))+assumptions!$G$74/12)+IF(7=E7,D7*assumptions!$G$75,0),0)</f>
        <v/>
      </c>
      <c r="N7" s="17">
        <f>IF(AND(8&gt;=E7,OR(F7="",8&lt;=F7)),(D7*(1+assumptions!$G$76)^0/12*(1+assumptions!$G$70+assumptions!$G$71+IF(8&gt;=assumptions!$G$73,assumptions!$G$72,0))+assumptions!$G$74/12)+IF(8=E7,D7*assumptions!$G$75,0),0)</f>
        <v/>
      </c>
      <c r="O7" s="17">
        <f>IF(AND(9&gt;=E7,OR(F7="",9&lt;=F7)),(D7*(1+assumptions!$G$76)^0/12*(1+assumptions!$G$70+assumptions!$G$71+IF(9&gt;=assumptions!$G$73,assumptions!$G$72,0))+assumptions!$G$74/12)+IF(9=E7,D7*assumptions!$G$75,0),0)</f>
        <v/>
      </c>
      <c r="P7" s="17">
        <f>IF(AND(10&gt;=E7,OR(F7="",10&lt;=F7)),(D7*(1+assumptions!$G$76)^0/12*(1+assumptions!$G$70+assumptions!$G$71+IF(10&gt;=assumptions!$G$73,assumptions!$G$72,0))+assumptions!$G$74/12)+IF(10=E7,D7*assumptions!$G$75,0),0)</f>
        <v/>
      </c>
      <c r="Q7" s="17">
        <f>IF(AND(11&gt;=E7,OR(F7="",11&lt;=F7)),(D7*(1+assumptions!$G$76)^0/12*(1+assumptions!$G$70+assumptions!$G$71+IF(11&gt;=assumptions!$G$73,assumptions!$G$72,0))+assumptions!$G$74/12)+IF(11=E7,D7*assumptions!$G$75,0),0)</f>
        <v/>
      </c>
      <c r="R7" s="17">
        <f>IF(AND(12&gt;=E7,OR(F7="",12&lt;=F7)),(D7*(1+assumptions!$G$76)^0/12*(1+assumptions!$G$70+assumptions!$G$71+IF(12&gt;=assumptions!$G$73,assumptions!$G$72,0))+assumptions!$G$74/12)+IF(12=E7,D7*assumptions!$G$75,0),0)</f>
        <v/>
      </c>
      <c r="S7" s="17">
        <f>IF(AND(13&gt;=E7,OR(F7="",13&lt;=F7)),(D7*(1+assumptions!$G$76)^1/12*(1+assumptions!$G$70+assumptions!$G$71+IF(13&gt;=assumptions!$G$73,assumptions!$G$72,0))+assumptions!$G$74/12)+IF(13=E7,D7*assumptions!$G$75,0),0)</f>
        <v/>
      </c>
      <c r="T7" s="17">
        <f>IF(AND(14&gt;=E7,OR(F7="",14&lt;=F7)),(D7*(1+assumptions!$G$76)^1/12*(1+assumptions!$G$70+assumptions!$G$71+IF(14&gt;=assumptions!$G$73,assumptions!$G$72,0))+assumptions!$G$74/12)+IF(14=E7,D7*assumptions!$G$75,0),0)</f>
        <v/>
      </c>
      <c r="U7" s="17">
        <f>IF(AND(15&gt;=E7,OR(F7="",15&lt;=F7)),(D7*(1+assumptions!$G$76)^1/12*(1+assumptions!$G$70+assumptions!$G$71+IF(15&gt;=assumptions!$G$73,assumptions!$G$72,0))+assumptions!$G$74/12)+IF(15=E7,D7*assumptions!$G$75,0),0)</f>
        <v/>
      </c>
      <c r="V7" s="17">
        <f>IF(AND(16&gt;=E7,OR(F7="",16&lt;=F7)),(D7*(1+assumptions!$G$76)^1/12*(1+assumptions!$G$70+assumptions!$G$71+IF(16&gt;=assumptions!$G$73,assumptions!$G$72,0))+assumptions!$G$74/12)+IF(16=E7,D7*assumptions!$G$75,0),0)</f>
        <v/>
      </c>
      <c r="W7" s="17">
        <f>IF(AND(17&gt;=E7,OR(F7="",17&lt;=F7)),(D7*(1+assumptions!$G$76)^1/12*(1+assumptions!$G$70+assumptions!$G$71+IF(17&gt;=assumptions!$G$73,assumptions!$G$72,0))+assumptions!$G$74/12)+IF(17=E7,D7*assumptions!$G$75,0),0)</f>
        <v/>
      </c>
      <c r="X7" s="17">
        <f>IF(AND(18&gt;=E7,OR(F7="",18&lt;=F7)),(D7*(1+assumptions!$G$76)^1/12*(1+assumptions!$G$70+assumptions!$G$71+IF(18&gt;=assumptions!$G$73,assumptions!$G$72,0))+assumptions!$G$74/12)+IF(18=E7,D7*assumptions!$G$75,0),0)</f>
        <v/>
      </c>
      <c r="Y7" s="17">
        <f>IF(AND(19&gt;=E7,OR(F7="",19&lt;=F7)),(D7*(1+assumptions!$G$76)^1/12*(1+assumptions!$G$70+assumptions!$G$71+IF(19&gt;=assumptions!$G$73,assumptions!$G$72,0))+assumptions!$G$74/12)+IF(19=E7,D7*assumptions!$G$75,0),0)</f>
        <v/>
      </c>
      <c r="Z7" s="17">
        <f>IF(AND(20&gt;=E7,OR(F7="",20&lt;=F7)),(D7*(1+assumptions!$G$76)^1/12*(1+assumptions!$G$70+assumptions!$G$71+IF(20&gt;=assumptions!$G$73,assumptions!$G$72,0))+assumptions!$G$74/12)+IF(20=E7,D7*assumptions!$G$75,0),0)</f>
        <v/>
      </c>
      <c r="AA7" s="17">
        <f>IF(AND(21&gt;=E7,OR(F7="",21&lt;=F7)),(D7*(1+assumptions!$G$76)^1/12*(1+assumptions!$G$70+assumptions!$G$71+IF(21&gt;=assumptions!$G$73,assumptions!$G$72,0))+assumptions!$G$74/12)+IF(21=E7,D7*assumptions!$G$75,0),0)</f>
        <v/>
      </c>
      <c r="AB7" s="17">
        <f>IF(AND(22&gt;=E7,OR(F7="",22&lt;=F7)),(D7*(1+assumptions!$G$76)^1/12*(1+assumptions!$G$70+assumptions!$G$71+IF(22&gt;=assumptions!$G$73,assumptions!$G$72,0))+assumptions!$G$74/12)+IF(22=E7,D7*assumptions!$G$75,0),0)</f>
        <v/>
      </c>
      <c r="AC7" s="17">
        <f>IF(AND(23&gt;=E7,OR(F7="",23&lt;=F7)),(D7*(1+assumptions!$G$76)^1/12*(1+assumptions!$G$70+assumptions!$G$71+IF(23&gt;=assumptions!$G$73,assumptions!$G$72,0))+assumptions!$G$74/12)+IF(23=E7,D7*assumptions!$G$75,0),0)</f>
        <v/>
      </c>
      <c r="AD7" s="17">
        <f>IF(AND(24&gt;=E7,OR(F7="",24&lt;=F7)),(D7*(1+assumptions!$G$76)^1/12*(1+assumptions!$G$70+assumptions!$G$71+IF(24&gt;=assumptions!$G$73,assumptions!$G$72,0))+assumptions!$G$74/12)+IF(24=E7,D7*assumptions!$G$75,0),0)</f>
        <v/>
      </c>
      <c r="AE7" s="17">
        <f>IF(AND(25&gt;=E7,OR(F7="",25&lt;=F7)),(D7*(1+assumptions!$G$76)^2/12*(1+assumptions!$G$70+assumptions!$G$71+IF(25&gt;=assumptions!$G$73,assumptions!$G$72,0))+assumptions!$G$74/12)+IF(25=E7,D7*assumptions!$G$75,0),0)</f>
        <v/>
      </c>
      <c r="AF7" s="17">
        <f>IF(AND(26&gt;=E7,OR(F7="",26&lt;=F7)),(D7*(1+assumptions!$G$76)^2/12*(1+assumptions!$G$70+assumptions!$G$71+IF(26&gt;=assumptions!$G$73,assumptions!$G$72,0))+assumptions!$G$74/12)+IF(26=E7,D7*assumptions!$G$75,0),0)</f>
        <v/>
      </c>
      <c r="AG7" s="17">
        <f>IF(AND(27&gt;=E7,OR(F7="",27&lt;=F7)),(D7*(1+assumptions!$G$76)^2/12*(1+assumptions!$G$70+assumptions!$G$71+IF(27&gt;=assumptions!$G$73,assumptions!$G$72,0))+assumptions!$G$74/12)+IF(27=E7,D7*assumptions!$G$75,0),0)</f>
        <v/>
      </c>
      <c r="AH7" s="17">
        <f>IF(AND(28&gt;=E7,OR(F7="",28&lt;=F7)),(D7*(1+assumptions!$G$76)^2/12*(1+assumptions!$G$70+assumptions!$G$71+IF(28&gt;=assumptions!$G$73,assumptions!$G$72,0))+assumptions!$G$74/12)+IF(28=E7,D7*assumptions!$G$75,0),0)</f>
        <v/>
      </c>
      <c r="AI7" s="17">
        <f>IF(AND(29&gt;=E7,OR(F7="",29&lt;=F7)),(D7*(1+assumptions!$G$76)^2/12*(1+assumptions!$G$70+assumptions!$G$71+IF(29&gt;=assumptions!$G$73,assumptions!$G$72,0))+assumptions!$G$74/12)+IF(29=E7,D7*assumptions!$G$75,0),0)</f>
        <v/>
      </c>
      <c r="AJ7" s="17">
        <f>IF(AND(30&gt;=E7,OR(F7="",30&lt;=F7)),(D7*(1+assumptions!$G$76)^2/12*(1+assumptions!$G$70+assumptions!$G$71+IF(30&gt;=assumptions!$G$73,assumptions!$G$72,0))+assumptions!$G$74/12)+IF(30=E7,D7*assumptions!$G$75,0),0)</f>
        <v/>
      </c>
      <c r="AK7" s="17">
        <f>IF(AND(31&gt;=E7,OR(F7="",31&lt;=F7)),(D7*(1+assumptions!$G$76)^2/12*(1+assumptions!$G$70+assumptions!$G$71+IF(31&gt;=assumptions!$G$73,assumptions!$G$72,0))+assumptions!$G$74/12)+IF(31=E7,D7*assumptions!$G$75,0),0)</f>
        <v/>
      </c>
      <c r="AL7" s="17">
        <f>IF(AND(32&gt;=E7,OR(F7="",32&lt;=F7)),(D7*(1+assumptions!$G$76)^2/12*(1+assumptions!$G$70+assumptions!$G$71+IF(32&gt;=assumptions!$G$73,assumptions!$G$72,0))+assumptions!$G$74/12)+IF(32=E7,D7*assumptions!$G$75,0),0)</f>
        <v/>
      </c>
      <c r="AM7" s="17">
        <f>IF(AND(33&gt;=E7,OR(F7="",33&lt;=F7)),(D7*(1+assumptions!$G$76)^2/12*(1+assumptions!$G$70+assumptions!$G$71+IF(33&gt;=assumptions!$G$73,assumptions!$G$72,0))+assumptions!$G$74/12)+IF(33=E7,D7*assumptions!$G$75,0),0)</f>
        <v/>
      </c>
      <c r="AN7" s="17">
        <f>IF(AND(34&gt;=E7,OR(F7="",34&lt;=F7)),(D7*(1+assumptions!$G$76)^2/12*(1+assumptions!$G$70+assumptions!$G$71+IF(34&gt;=assumptions!$G$73,assumptions!$G$72,0))+assumptions!$G$74/12)+IF(34=E7,D7*assumptions!$G$75,0),0)</f>
        <v/>
      </c>
      <c r="AO7" s="17">
        <f>IF(AND(35&gt;=E7,OR(F7="",35&lt;=F7)),(D7*(1+assumptions!$G$76)^2/12*(1+assumptions!$G$70+assumptions!$G$71+IF(35&gt;=assumptions!$G$73,assumptions!$G$72,0))+assumptions!$G$74/12)+IF(35=E7,D7*assumptions!$G$75,0),0)</f>
        <v/>
      </c>
      <c r="AP7" s="17">
        <f>IF(AND(36&gt;=E7,OR(F7="",36&lt;=F7)),(D7*(1+assumptions!$G$76)^2/12*(1+assumptions!$G$70+assumptions!$G$71+IF(36&gt;=assumptions!$G$73,assumptions!$G$72,0))+assumptions!$G$74/12)+IF(36=E7,D7*assumptions!$G$75,0),0)</f>
        <v/>
      </c>
      <c r="AQ7" s="17">
        <f>IF(AND(37&gt;=E7,OR(F7="",37&lt;=F7)),(D7*(1+assumptions!$G$76)^3/12*(1+assumptions!$G$70+assumptions!$G$71+IF(37&gt;=assumptions!$G$73,assumptions!$G$72,0))+assumptions!$G$74/12)+IF(37=E7,D7*assumptions!$G$75,0),0)</f>
        <v/>
      </c>
      <c r="AR7" s="17">
        <f>IF(AND(38&gt;=E7,OR(F7="",38&lt;=F7)),(D7*(1+assumptions!$G$76)^3/12*(1+assumptions!$G$70+assumptions!$G$71+IF(38&gt;=assumptions!$G$73,assumptions!$G$72,0))+assumptions!$G$74/12)+IF(38=E7,D7*assumptions!$G$75,0),0)</f>
        <v/>
      </c>
      <c r="AS7" s="17">
        <f>IF(AND(39&gt;=E7,OR(F7="",39&lt;=F7)),(D7*(1+assumptions!$G$76)^3/12*(1+assumptions!$G$70+assumptions!$G$71+IF(39&gt;=assumptions!$G$73,assumptions!$G$72,0))+assumptions!$G$74/12)+IF(39=E7,D7*assumptions!$G$75,0),0)</f>
        <v/>
      </c>
      <c r="AT7" s="17">
        <f>IF(AND(40&gt;=E7,OR(F7="",40&lt;=F7)),(D7*(1+assumptions!$G$76)^3/12*(1+assumptions!$G$70+assumptions!$G$71+IF(40&gt;=assumptions!$G$73,assumptions!$G$72,0))+assumptions!$G$74/12)+IF(40=E7,D7*assumptions!$G$75,0),0)</f>
        <v/>
      </c>
      <c r="AU7" s="17">
        <f>IF(AND(41&gt;=E7,OR(F7="",41&lt;=F7)),(D7*(1+assumptions!$G$76)^3/12*(1+assumptions!$G$70+assumptions!$G$71+IF(41&gt;=assumptions!$G$73,assumptions!$G$72,0))+assumptions!$G$74/12)+IF(41=E7,D7*assumptions!$G$75,0),0)</f>
        <v/>
      </c>
      <c r="AV7" s="17">
        <f>IF(AND(42&gt;=E7,OR(F7="",42&lt;=F7)),(D7*(1+assumptions!$G$76)^3/12*(1+assumptions!$G$70+assumptions!$G$71+IF(42&gt;=assumptions!$G$73,assumptions!$G$72,0))+assumptions!$G$74/12)+IF(42=E7,D7*assumptions!$G$75,0),0)</f>
        <v/>
      </c>
      <c r="AW7" s="17">
        <f>IF(AND(43&gt;=E7,OR(F7="",43&lt;=F7)),(D7*(1+assumptions!$G$76)^3/12*(1+assumptions!$G$70+assumptions!$G$71+IF(43&gt;=assumptions!$G$73,assumptions!$G$72,0))+assumptions!$G$74/12)+IF(43=E7,D7*assumptions!$G$75,0),0)</f>
        <v/>
      </c>
      <c r="AX7" s="17">
        <f>IF(AND(44&gt;=E7,OR(F7="",44&lt;=F7)),(D7*(1+assumptions!$G$76)^3/12*(1+assumptions!$G$70+assumptions!$G$71+IF(44&gt;=assumptions!$G$73,assumptions!$G$72,0))+assumptions!$G$74/12)+IF(44=E7,D7*assumptions!$G$75,0),0)</f>
        <v/>
      </c>
      <c r="AY7" s="17">
        <f>IF(AND(45&gt;=E7,OR(F7="",45&lt;=F7)),(D7*(1+assumptions!$G$76)^3/12*(1+assumptions!$G$70+assumptions!$G$71+IF(45&gt;=assumptions!$G$73,assumptions!$G$72,0))+assumptions!$G$74/12)+IF(45=E7,D7*assumptions!$G$75,0),0)</f>
        <v/>
      </c>
      <c r="AZ7" s="17">
        <f>IF(AND(46&gt;=E7,OR(F7="",46&lt;=F7)),(D7*(1+assumptions!$G$76)^3/12*(1+assumptions!$G$70+assumptions!$G$71+IF(46&gt;=assumptions!$G$73,assumptions!$G$72,0))+assumptions!$G$74/12)+IF(46=E7,D7*assumptions!$G$75,0),0)</f>
        <v/>
      </c>
      <c r="BA7" s="17">
        <f>IF(AND(47&gt;=E7,OR(F7="",47&lt;=F7)),(D7*(1+assumptions!$G$76)^3/12*(1+assumptions!$G$70+assumptions!$G$71+IF(47&gt;=assumptions!$G$73,assumptions!$G$72,0))+assumptions!$G$74/12)+IF(47=E7,D7*assumptions!$G$75,0),0)</f>
        <v/>
      </c>
      <c r="BB7" s="17">
        <f>IF(AND(48&gt;=E7,OR(F7="",48&lt;=F7)),(D7*(1+assumptions!$G$76)^3/12*(1+assumptions!$G$70+assumptions!$G$71+IF(48&gt;=assumptions!$G$73,assumptions!$G$72,0))+assumptions!$G$74/12)+IF(48=E7,D7*assumptions!$G$75,0),0)</f>
        <v/>
      </c>
      <c r="BC7" s="17">
        <f>IF(AND(49&gt;=E7,OR(F7="",49&lt;=F7)),(D7*(1+assumptions!$G$76)^4/12*(1+assumptions!$G$70+assumptions!$G$71+IF(49&gt;=assumptions!$G$73,assumptions!$G$72,0))+assumptions!$G$74/12)+IF(49=E7,D7*assumptions!$G$75,0),0)</f>
        <v/>
      </c>
      <c r="BD7" s="17">
        <f>IF(AND(50&gt;=E7,OR(F7="",50&lt;=F7)),(D7*(1+assumptions!$G$76)^4/12*(1+assumptions!$G$70+assumptions!$G$71+IF(50&gt;=assumptions!$G$73,assumptions!$G$72,0))+assumptions!$G$74/12)+IF(50=E7,D7*assumptions!$G$75,0),0)</f>
        <v/>
      </c>
      <c r="BE7" s="17">
        <f>IF(AND(51&gt;=E7,OR(F7="",51&lt;=F7)),(D7*(1+assumptions!$G$76)^4/12*(1+assumptions!$G$70+assumptions!$G$71+IF(51&gt;=assumptions!$G$73,assumptions!$G$72,0))+assumptions!$G$74/12)+IF(51=E7,D7*assumptions!$G$75,0),0)</f>
        <v/>
      </c>
      <c r="BF7" s="17">
        <f>IF(AND(52&gt;=E7,OR(F7="",52&lt;=F7)),(D7*(1+assumptions!$G$76)^4/12*(1+assumptions!$G$70+assumptions!$G$71+IF(52&gt;=assumptions!$G$73,assumptions!$G$72,0))+assumptions!$G$74/12)+IF(52=E7,D7*assumptions!$G$75,0),0)</f>
        <v/>
      </c>
      <c r="BG7" s="17">
        <f>IF(AND(53&gt;=E7,OR(F7="",53&lt;=F7)),(D7*(1+assumptions!$G$76)^4/12*(1+assumptions!$G$70+assumptions!$G$71+IF(53&gt;=assumptions!$G$73,assumptions!$G$72,0))+assumptions!$G$74/12)+IF(53=E7,D7*assumptions!$G$75,0),0)</f>
        <v/>
      </c>
      <c r="BH7" s="17">
        <f>IF(AND(54&gt;=E7,OR(F7="",54&lt;=F7)),(D7*(1+assumptions!$G$76)^4/12*(1+assumptions!$G$70+assumptions!$G$71+IF(54&gt;=assumptions!$G$73,assumptions!$G$72,0))+assumptions!$G$74/12)+IF(54=E7,D7*assumptions!$G$75,0),0)</f>
        <v/>
      </c>
      <c r="BI7" s="17">
        <f>IF(AND(55&gt;=E7,OR(F7="",55&lt;=F7)),(D7*(1+assumptions!$G$76)^4/12*(1+assumptions!$G$70+assumptions!$G$71+IF(55&gt;=assumptions!$G$73,assumptions!$G$72,0))+assumptions!$G$74/12)+IF(55=E7,D7*assumptions!$G$75,0),0)</f>
        <v/>
      </c>
      <c r="BJ7" s="17">
        <f>IF(AND(56&gt;=E7,OR(F7="",56&lt;=F7)),(D7*(1+assumptions!$G$76)^4/12*(1+assumptions!$G$70+assumptions!$G$71+IF(56&gt;=assumptions!$G$73,assumptions!$G$72,0))+assumptions!$G$74/12)+IF(56=E7,D7*assumptions!$G$75,0),0)</f>
        <v/>
      </c>
      <c r="BK7" s="17">
        <f>IF(AND(57&gt;=E7,OR(F7="",57&lt;=F7)),(D7*(1+assumptions!$G$76)^4/12*(1+assumptions!$G$70+assumptions!$G$71+IF(57&gt;=assumptions!$G$73,assumptions!$G$72,0))+assumptions!$G$74/12)+IF(57=E7,D7*assumptions!$G$75,0),0)</f>
        <v/>
      </c>
      <c r="BL7" s="17">
        <f>IF(AND(58&gt;=E7,OR(F7="",58&lt;=F7)),(D7*(1+assumptions!$G$76)^4/12*(1+assumptions!$G$70+assumptions!$G$71+IF(58&gt;=assumptions!$G$73,assumptions!$G$72,0))+assumptions!$G$74/12)+IF(58=E7,D7*assumptions!$G$75,0),0)</f>
        <v/>
      </c>
      <c r="BM7" s="17">
        <f>IF(AND(59&gt;=E7,OR(F7="",59&lt;=F7)),(D7*(1+assumptions!$G$76)^4/12*(1+assumptions!$G$70+assumptions!$G$71+IF(59&gt;=assumptions!$G$73,assumptions!$G$72,0))+assumptions!$G$74/12)+IF(59=E7,D7*assumptions!$G$75,0),0)</f>
        <v/>
      </c>
      <c r="BN7" s="17">
        <f>IF(AND(60&gt;=E7,OR(F7="",60&lt;=F7)),(D7*(1+assumptions!$G$76)^4/12*(1+assumptions!$G$70+assumptions!$G$71+IF(60&gt;=assumptions!$G$73,assumptions!$G$72,0))+assumptions!$G$74/12)+IF(60=E7,D7*assumptions!$G$75,0),0)</f>
        <v/>
      </c>
    </row>
    <row r="8">
      <c r="A8" s="5" t="n">
        <v>5</v>
      </c>
      <c r="B8" s="5" t="inlineStr">
        <is>
          <t>Senior full-stack engineer</t>
        </is>
      </c>
      <c r="C8" s="5" t="inlineStr">
        <is>
          <t>eng</t>
        </is>
      </c>
      <c r="D8" s="15" t="n">
        <v>90000</v>
      </c>
      <c r="E8" s="32" t="n">
        <v>2</v>
      </c>
      <c r="F8" s="32" t="n"/>
      <c r="G8" s="17">
        <f>IF(AND(1&gt;=E8,OR(F8="",1&lt;=F8)),(D8*(1+assumptions!$G$76)^0/12*(1+assumptions!$G$70+assumptions!$G$71+IF(1&gt;=assumptions!$G$73,assumptions!$G$72,0))+assumptions!$G$74/12)+IF(1=E8,D8*assumptions!$G$75,0),0)</f>
        <v/>
      </c>
      <c r="H8" s="17">
        <f>IF(AND(2&gt;=E8,OR(F8="",2&lt;=F8)),(D8*(1+assumptions!$G$76)^0/12*(1+assumptions!$G$70+assumptions!$G$71+IF(2&gt;=assumptions!$G$73,assumptions!$G$72,0))+assumptions!$G$74/12)+IF(2=E8,D8*assumptions!$G$75,0),0)</f>
        <v/>
      </c>
      <c r="I8" s="17">
        <f>IF(AND(3&gt;=E8,OR(F8="",3&lt;=F8)),(D8*(1+assumptions!$G$76)^0/12*(1+assumptions!$G$70+assumptions!$G$71+IF(3&gt;=assumptions!$G$73,assumptions!$G$72,0))+assumptions!$G$74/12)+IF(3=E8,D8*assumptions!$G$75,0),0)</f>
        <v/>
      </c>
      <c r="J8" s="17">
        <f>IF(AND(4&gt;=E8,OR(F8="",4&lt;=F8)),(D8*(1+assumptions!$G$76)^0/12*(1+assumptions!$G$70+assumptions!$G$71+IF(4&gt;=assumptions!$G$73,assumptions!$G$72,0))+assumptions!$G$74/12)+IF(4=E8,D8*assumptions!$G$75,0),0)</f>
        <v/>
      </c>
      <c r="K8" s="17">
        <f>IF(AND(5&gt;=E8,OR(F8="",5&lt;=F8)),(D8*(1+assumptions!$G$76)^0/12*(1+assumptions!$G$70+assumptions!$G$71+IF(5&gt;=assumptions!$G$73,assumptions!$G$72,0))+assumptions!$G$74/12)+IF(5=E8,D8*assumptions!$G$75,0),0)</f>
        <v/>
      </c>
      <c r="L8" s="17">
        <f>IF(AND(6&gt;=E8,OR(F8="",6&lt;=F8)),(D8*(1+assumptions!$G$76)^0/12*(1+assumptions!$G$70+assumptions!$G$71+IF(6&gt;=assumptions!$G$73,assumptions!$G$72,0))+assumptions!$G$74/12)+IF(6=E8,D8*assumptions!$G$75,0),0)</f>
        <v/>
      </c>
      <c r="M8" s="17">
        <f>IF(AND(7&gt;=E8,OR(F8="",7&lt;=F8)),(D8*(1+assumptions!$G$76)^0/12*(1+assumptions!$G$70+assumptions!$G$71+IF(7&gt;=assumptions!$G$73,assumptions!$G$72,0))+assumptions!$G$74/12)+IF(7=E8,D8*assumptions!$G$75,0),0)</f>
        <v/>
      </c>
      <c r="N8" s="17">
        <f>IF(AND(8&gt;=E8,OR(F8="",8&lt;=F8)),(D8*(1+assumptions!$G$76)^0/12*(1+assumptions!$G$70+assumptions!$G$71+IF(8&gt;=assumptions!$G$73,assumptions!$G$72,0))+assumptions!$G$74/12)+IF(8=E8,D8*assumptions!$G$75,0),0)</f>
        <v/>
      </c>
      <c r="O8" s="17">
        <f>IF(AND(9&gt;=E8,OR(F8="",9&lt;=F8)),(D8*(1+assumptions!$G$76)^0/12*(1+assumptions!$G$70+assumptions!$G$71+IF(9&gt;=assumptions!$G$73,assumptions!$G$72,0))+assumptions!$G$74/12)+IF(9=E8,D8*assumptions!$G$75,0),0)</f>
        <v/>
      </c>
      <c r="P8" s="17">
        <f>IF(AND(10&gt;=E8,OR(F8="",10&lt;=F8)),(D8*(1+assumptions!$G$76)^0/12*(1+assumptions!$G$70+assumptions!$G$71+IF(10&gt;=assumptions!$G$73,assumptions!$G$72,0))+assumptions!$G$74/12)+IF(10=E8,D8*assumptions!$G$75,0),0)</f>
        <v/>
      </c>
      <c r="Q8" s="17">
        <f>IF(AND(11&gt;=E8,OR(F8="",11&lt;=F8)),(D8*(1+assumptions!$G$76)^0/12*(1+assumptions!$G$70+assumptions!$G$71+IF(11&gt;=assumptions!$G$73,assumptions!$G$72,0))+assumptions!$G$74/12)+IF(11=E8,D8*assumptions!$G$75,0),0)</f>
        <v/>
      </c>
      <c r="R8" s="17">
        <f>IF(AND(12&gt;=E8,OR(F8="",12&lt;=F8)),(D8*(1+assumptions!$G$76)^0/12*(1+assumptions!$G$70+assumptions!$G$71+IF(12&gt;=assumptions!$G$73,assumptions!$G$72,0))+assumptions!$G$74/12)+IF(12=E8,D8*assumptions!$G$75,0),0)</f>
        <v/>
      </c>
      <c r="S8" s="17">
        <f>IF(AND(13&gt;=E8,OR(F8="",13&lt;=F8)),(D8*(1+assumptions!$G$76)^1/12*(1+assumptions!$G$70+assumptions!$G$71+IF(13&gt;=assumptions!$G$73,assumptions!$G$72,0))+assumptions!$G$74/12)+IF(13=E8,D8*assumptions!$G$75,0),0)</f>
        <v/>
      </c>
      <c r="T8" s="17">
        <f>IF(AND(14&gt;=E8,OR(F8="",14&lt;=F8)),(D8*(1+assumptions!$G$76)^1/12*(1+assumptions!$G$70+assumptions!$G$71+IF(14&gt;=assumptions!$G$73,assumptions!$G$72,0))+assumptions!$G$74/12)+IF(14=E8,D8*assumptions!$G$75,0),0)</f>
        <v/>
      </c>
      <c r="U8" s="17">
        <f>IF(AND(15&gt;=E8,OR(F8="",15&lt;=F8)),(D8*(1+assumptions!$G$76)^1/12*(1+assumptions!$G$70+assumptions!$G$71+IF(15&gt;=assumptions!$G$73,assumptions!$G$72,0))+assumptions!$G$74/12)+IF(15=E8,D8*assumptions!$G$75,0),0)</f>
        <v/>
      </c>
      <c r="V8" s="17">
        <f>IF(AND(16&gt;=E8,OR(F8="",16&lt;=F8)),(D8*(1+assumptions!$G$76)^1/12*(1+assumptions!$G$70+assumptions!$G$71+IF(16&gt;=assumptions!$G$73,assumptions!$G$72,0))+assumptions!$G$74/12)+IF(16=E8,D8*assumptions!$G$75,0),0)</f>
        <v/>
      </c>
      <c r="W8" s="17">
        <f>IF(AND(17&gt;=E8,OR(F8="",17&lt;=F8)),(D8*(1+assumptions!$G$76)^1/12*(1+assumptions!$G$70+assumptions!$G$71+IF(17&gt;=assumptions!$G$73,assumptions!$G$72,0))+assumptions!$G$74/12)+IF(17=E8,D8*assumptions!$G$75,0),0)</f>
        <v/>
      </c>
      <c r="X8" s="17">
        <f>IF(AND(18&gt;=E8,OR(F8="",18&lt;=F8)),(D8*(1+assumptions!$G$76)^1/12*(1+assumptions!$G$70+assumptions!$G$71+IF(18&gt;=assumptions!$G$73,assumptions!$G$72,0))+assumptions!$G$74/12)+IF(18=E8,D8*assumptions!$G$75,0),0)</f>
        <v/>
      </c>
      <c r="Y8" s="17">
        <f>IF(AND(19&gt;=E8,OR(F8="",19&lt;=F8)),(D8*(1+assumptions!$G$76)^1/12*(1+assumptions!$G$70+assumptions!$G$71+IF(19&gt;=assumptions!$G$73,assumptions!$G$72,0))+assumptions!$G$74/12)+IF(19=E8,D8*assumptions!$G$75,0),0)</f>
        <v/>
      </c>
      <c r="Z8" s="17">
        <f>IF(AND(20&gt;=E8,OR(F8="",20&lt;=F8)),(D8*(1+assumptions!$G$76)^1/12*(1+assumptions!$G$70+assumptions!$G$71+IF(20&gt;=assumptions!$G$73,assumptions!$G$72,0))+assumptions!$G$74/12)+IF(20=E8,D8*assumptions!$G$75,0),0)</f>
        <v/>
      </c>
      <c r="AA8" s="17">
        <f>IF(AND(21&gt;=E8,OR(F8="",21&lt;=F8)),(D8*(1+assumptions!$G$76)^1/12*(1+assumptions!$G$70+assumptions!$G$71+IF(21&gt;=assumptions!$G$73,assumptions!$G$72,0))+assumptions!$G$74/12)+IF(21=E8,D8*assumptions!$G$75,0),0)</f>
        <v/>
      </c>
      <c r="AB8" s="17">
        <f>IF(AND(22&gt;=E8,OR(F8="",22&lt;=F8)),(D8*(1+assumptions!$G$76)^1/12*(1+assumptions!$G$70+assumptions!$G$71+IF(22&gt;=assumptions!$G$73,assumptions!$G$72,0))+assumptions!$G$74/12)+IF(22=E8,D8*assumptions!$G$75,0),0)</f>
        <v/>
      </c>
      <c r="AC8" s="17">
        <f>IF(AND(23&gt;=E8,OR(F8="",23&lt;=F8)),(D8*(1+assumptions!$G$76)^1/12*(1+assumptions!$G$70+assumptions!$G$71+IF(23&gt;=assumptions!$G$73,assumptions!$G$72,0))+assumptions!$G$74/12)+IF(23=E8,D8*assumptions!$G$75,0),0)</f>
        <v/>
      </c>
      <c r="AD8" s="17">
        <f>IF(AND(24&gt;=E8,OR(F8="",24&lt;=F8)),(D8*(1+assumptions!$G$76)^1/12*(1+assumptions!$G$70+assumptions!$G$71+IF(24&gt;=assumptions!$G$73,assumptions!$G$72,0))+assumptions!$G$74/12)+IF(24=E8,D8*assumptions!$G$75,0),0)</f>
        <v/>
      </c>
      <c r="AE8" s="17">
        <f>IF(AND(25&gt;=E8,OR(F8="",25&lt;=F8)),(D8*(1+assumptions!$G$76)^2/12*(1+assumptions!$G$70+assumptions!$G$71+IF(25&gt;=assumptions!$G$73,assumptions!$G$72,0))+assumptions!$G$74/12)+IF(25=E8,D8*assumptions!$G$75,0),0)</f>
        <v/>
      </c>
      <c r="AF8" s="17">
        <f>IF(AND(26&gt;=E8,OR(F8="",26&lt;=F8)),(D8*(1+assumptions!$G$76)^2/12*(1+assumptions!$G$70+assumptions!$G$71+IF(26&gt;=assumptions!$G$73,assumptions!$G$72,0))+assumptions!$G$74/12)+IF(26=E8,D8*assumptions!$G$75,0),0)</f>
        <v/>
      </c>
      <c r="AG8" s="17">
        <f>IF(AND(27&gt;=E8,OR(F8="",27&lt;=F8)),(D8*(1+assumptions!$G$76)^2/12*(1+assumptions!$G$70+assumptions!$G$71+IF(27&gt;=assumptions!$G$73,assumptions!$G$72,0))+assumptions!$G$74/12)+IF(27=E8,D8*assumptions!$G$75,0),0)</f>
        <v/>
      </c>
      <c r="AH8" s="17">
        <f>IF(AND(28&gt;=E8,OR(F8="",28&lt;=F8)),(D8*(1+assumptions!$G$76)^2/12*(1+assumptions!$G$70+assumptions!$G$71+IF(28&gt;=assumptions!$G$73,assumptions!$G$72,0))+assumptions!$G$74/12)+IF(28=E8,D8*assumptions!$G$75,0),0)</f>
        <v/>
      </c>
      <c r="AI8" s="17">
        <f>IF(AND(29&gt;=E8,OR(F8="",29&lt;=F8)),(D8*(1+assumptions!$G$76)^2/12*(1+assumptions!$G$70+assumptions!$G$71+IF(29&gt;=assumptions!$G$73,assumptions!$G$72,0))+assumptions!$G$74/12)+IF(29=E8,D8*assumptions!$G$75,0),0)</f>
        <v/>
      </c>
      <c r="AJ8" s="17">
        <f>IF(AND(30&gt;=E8,OR(F8="",30&lt;=F8)),(D8*(1+assumptions!$G$76)^2/12*(1+assumptions!$G$70+assumptions!$G$71+IF(30&gt;=assumptions!$G$73,assumptions!$G$72,0))+assumptions!$G$74/12)+IF(30=E8,D8*assumptions!$G$75,0),0)</f>
        <v/>
      </c>
      <c r="AK8" s="17">
        <f>IF(AND(31&gt;=E8,OR(F8="",31&lt;=F8)),(D8*(1+assumptions!$G$76)^2/12*(1+assumptions!$G$70+assumptions!$G$71+IF(31&gt;=assumptions!$G$73,assumptions!$G$72,0))+assumptions!$G$74/12)+IF(31=E8,D8*assumptions!$G$75,0),0)</f>
        <v/>
      </c>
      <c r="AL8" s="17">
        <f>IF(AND(32&gt;=E8,OR(F8="",32&lt;=F8)),(D8*(1+assumptions!$G$76)^2/12*(1+assumptions!$G$70+assumptions!$G$71+IF(32&gt;=assumptions!$G$73,assumptions!$G$72,0))+assumptions!$G$74/12)+IF(32=E8,D8*assumptions!$G$75,0),0)</f>
        <v/>
      </c>
      <c r="AM8" s="17">
        <f>IF(AND(33&gt;=E8,OR(F8="",33&lt;=F8)),(D8*(1+assumptions!$G$76)^2/12*(1+assumptions!$G$70+assumptions!$G$71+IF(33&gt;=assumptions!$G$73,assumptions!$G$72,0))+assumptions!$G$74/12)+IF(33=E8,D8*assumptions!$G$75,0),0)</f>
        <v/>
      </c>
      <c r="AN8" s="17">
        <f>IF(AND(34&gt;=E8,OR(F8="",34&lt;=F8)),(D8*(1+assumptions!$G$76)^2/12*(1+assumptions!$G$70+assumptions!$G$71+IF(34&gt;=assumptions!$G$73,assumptions!$G$72,0))+assumptions!$G$74/12)+IF(34=E8,D8*assumptions!$G$75,0),0)</f>
        <v/>
      </c>
      <c r="AO8" s="17">
        <f>IF(AND(35&gt;=E8,OR(F8="",35&lt;=F8)),(D8*(1+assumptions!$G$76)^2/12*(1+assumptions!$G$70+assumptions!$G$71+IF(35&gt;=assumptions!$G$73,assumptions!$G$72,0))+assumptions!$G$74/12)+IF(35=E8,D8*assumptions!$G$75,0),0)</f>
        <v/>
      </c>
      <c r="AP8" s="17">
        <f>IF(AND(36&gt;=E8,OR(F8="",36&lt;=F8)),(D8*(1+assumptions!$G$76)^2/12*(1+assumptions!$G$70+assumptions!$G$71+IF(36&gt;=assumptions!$G$73,assumptions!$G$72,0))+assumptions!$G$74/12)+IF(36=E8,D8*assumptions!$G$75,0),0)</f>
        <v/>
      </c>
      <c r="AQ8" s="17">
        <f>IF(AND(37&gt;=E8,OR(F8="",37&lt;=F8)),(D8*(1+assumptions!$G$76)^3/12*(1+assumptions!$G$70+assumptions!$G$71+IF(37&gt;=assumptions!$G$73,assumptions!$G$72,0))+assumptions!$G$74/12)+IF(37=E8,D8*assumptions!$G$75,0),0)</f>
        <v/>
      </c>
      <c r="AR8" s="17">
        <f>IF(AND(38&gt;=E8,OR(F8="",38&lt;=F8)),(D8*(1+assumptions!$G$76)^3/12*(1+assumptions!$G$70+assumptions!$G$71+IF(38&gt;=assumptions!$G$73,assumptions!$G$72,0))+assumptions!$G$74/12)+IF(38=E8,D8*assumptions!$G$75,0),0)</f>
        <v/>
      </c>
      <c r="AS8" s="17">
        <f>IF(AND(39&gt;=E8,OR(F8="",39&lt;=F8)),(D8*(1+assumptions!$G$76)^3/12*(1+assumptions!$G$70+assumptions!$G$71+IF(39&gt;=assumptions!$G$73,assumptions!$G$72,0))+assumptions!$G$74/12)+IF(39=E8,D8*assumptions!$G$75,0),0)</f>
        <v/>
      </c>
      <c r="AT8" s="17">
        <f>IF(AND(40&gt;=E8,OR(F8="",40&lt;=F8)),(D8*(1+assumptions!$G$76)^3/12*(1+assumptions!$G$70+assumptions!$G$71+IF(40&gt;=assumptions!$G$73,assumptions!$G$72,0))+assumptions!$G$74/12)+IF(40=E8,D8*assumptions!$G$75,0),0)</f>
        <v/>
      </c>
      <c r="AU8" s="17">
        <f>IF(AND(41&gt;=E8,OR(F8="",41&lt;=F8)),(D8*(1+assumptions!$G$76)^3/12*(1+assumptions!$G$70+assumptions!$G$71+IF(41&gt;=assumptions!$G$73,assumptions!$G$72,0))+assumptions!$G$74/12)+IF(41=E8,D8*assumptions!$G$75,0),0)</f>
        <v/>
      </c>
      <c r="AV8" s="17">
        <f>IF(AND(42&gt;=E8,OR(F8="",42&lt;=F8)),(D8*(1+assumptions!$G$76)^3/12*(1+assumptions!$G$70+assumptions!$G$71+IF(42&gt;=assumptions!$G$73,assumptions!$G$72,0))+assumptions!$G$74/12)+IF(42=E8,D8*assumptions!$G$75,0),0)</f>
        <v/>
      </c>
      <c r="AW8" s="17">
        <f>IF(AND(43&gt;=E8,OR(F8="",43&lt;=F8)),(D8*(1+assumptions!$G$76)^3/12*(1+assumptions!$G$70+assumptions!$G$71+IF(43&gt;=assumptions!$G$73,assumptions!$G$72,0))+assumptions!$G$74/12)+IF(43=E8,D8*assumptions!$G$75,0),0)</f>
        <v/>
      </c>
      <c r="AX8" s="17">
        <f>IF(AND(44&gt;=E8,OR(F8="",44&lt;=F8)),(D8*(1+assumptions!$G$76)^3/12*(1+assumptions!$G$70+assumptions!$G$71+IF(44&gt;=assumptions!$G$73,assumptions!$G$72,0))+assumptions!$G$74/12)+IF(44=E8,D8*assumptions!$G$75,0),0)</f>
        <v/>
      </c>
      <c r="AY8" s="17">
        <f>IF(AND(45&gt;=E8,OR(F8="",45&lt;=F8)),(D8*(1+assumptions!$G$76)^3/12*(1+assumptions!$G$70+assumptions!$G$71+IF(45&gt;=assumptions!$G$73,assumptions!$G$72,0))+assumptions!$G$74/12)+IF(45=E8,D8*assumptions!$G$75,0),0)</f>
        <v/>
      </c>
      <c r="AZ8" s="17">
        <f>IF(AND(46&gt;=E8,OR(F8="",46&lt;=F8)),(D8*(1+assumptions!$G$76)^3/12*(1+assumptions!$G$70+assumptions!$G$71+IF(46&gt;=assumptions!$G$73,assumptions!$G$72,0))+assumptions!$G$74/12)+IF(46=E8,D8*assumptions!$G$75,0),0)</f>
        <v/>
      </c>
      <c r="BA8" s="17">
        <f>IF(AND(47&gt;=E8,OR(F8="",47&lt;=F8)),(D8*(1+assumptions!$G$76)^3/12*(1+assumptions!$G$70+assumptions!$G$71+IF(47&gt;=assumptions!$G$73,assumptions!$G$72,0))+assumptions!$G$74/12)+IF(47=E8,D8*assumptions!$G$75,0),0)</f>
        <v/>
      </c>
      <c r="BB8" s="17">
        <f>IF(AND(48&gt;=E8,OR(F8="",48&lt;=F8)),(D8*(1+assumptions!$G$76)^3/12*(1+assumptions!$G$70+assumptions!$G$71+IF(48&gt;=assumptions!$G$73,assumptions!$G$72,0))+assumptions!$G$74/12)+IF(48=E8,D8*assumptions!$G$75,0),0)</f>
        <v/>
      </c>
      <c r="BC8" s="17">
        <f>IF(AND(49&gt;=E8,OR(F8="",49&lt;=F8)),(D8*(1+assumptions!$G$76)^4/12*(1+assumptions!$G$70+assumptions!$G$71+IF(49&gt;=assumptions!$G$73,assumptions!$G$72,0))+assumptions!$G$74/12)+IF(49=E8,D8*assumptions!$G$75,0),0)</f>
        <v/>
      </c>
      <c r="BD8" s="17">
        <f>IF(AND(50&gt;=E8,OR(F8="",50&lt;=F8)),(D8*(1+assumptions!$G$76)^4/12*(1+assumptions!$G$70+assumptions!$G$71+IF(50&gt;=assumptions!$G$73,assumptions!$G$72,0))+assumptions!$G$74/12)+IF(50=E8,D8*assumptions!$G$75,0),0)</f>
        <v/>
      </c>
      <c r="BE8" s="17">
        <f>IF(AND(51&gt;=E8,OR(F8="",51&lt;=F8)),(D8*(1+assumptions!$G$76)^4/12*(1+assumptions!$G$70+assumptions!$G$71+IF(51&gt;=assumptions!$G$73,assumptions!$G$72,0))+assumptions!$G$74/12)+IF(51=E8,D8*assumptions!$G$75,0),0)</f>
        <v/>
      </c>
      <c r="BF8" s="17">
        <f>IF(AND(52&gt;=E8,OR(F8="",52&lt;=F8)),(D8*(1+assumptions!$G$76)^4/12*(1+assumptions!$G$70+assumptions!$G$71+IF(52&gt;=assumptions!$G$73,assumptions!$G$72,0))+assumptions!$G$74/12)+IF(52=E8,D8*assumptions!$G$75,0),0)</f>
        <v/>
      </c>
      <c r="BG8" s="17">
        <f>IF(AND(53&gt;=E8,OR(F8="",53&lt;=F8)),(D8*(1+assumptions!$G$76)^4/12*(1+assumptions!$G$70+assumptions!$G$71+IF(53&gt;=assumptions!$G$73,assumptions!$G$72,0))+assumptions!$G$74/12)+IF(53=E8,D8*assumptions!$G$75,0),0)</f>
        <v/>
      </c>
      <c r="BH8" s="17">
        <f>IF(AND(54&gt;=E8,OR(F8="",54&lt;=F8)),(D8*(1+assumptions!$G$76)^4/12*(1+assumptions!$G$70+assumptions!$G$71+IF(54&gt;=assumptions!$G$73,assumptions!$G$72,0))+assumptions!$G$74/12)+IF(54=E8,D8*assumptions!$G$75,0),0)</f>
        <v/>
      </c>
      <c r="BI8" s="17">
        <f>IF(AND(55&gt;=E8,OR(F8="",55&lt;=F8)),(D8*(1+assumptions!$G$76)^4/12*(1+assumptions!$G$70+assumptions!$G$71+IF(55&gt;=assumptions!$G$73,assumptions!$G$72,0))+assumptions!$G$74/12)+IF(55=E8,D8*assumptions!$G$75,0),0)</f>
        <v/>
      </c>
      <c r="BJ8" s="17">
        <f>IF(AND(56&gt;=E8,OR(F8="",56&lt;=F8)),(D8*(1+assumptions!$G$76)^4/12*(1+assumptions!$G$70+assumptions!$G$71+IF(56&gt;=assumptions!$G$73,assumptions!$G$72,0))+assumptions!$G$74/12)+IF(56=E8,D8*assumptions!$G$75,0),0)</f>
        <v/>
      </c>
      <c r="BK8" s="17">
        <f>IF(AND(57&gt;=E8,OR(F8="",57&lt;=F8)),(D8*(1+assumptions!$G$76)^4/12*(1+assumptions!$G$70+assumptions!$G$71+IF(57&gt;=assumptions!$G$73,assumptions!$G$72,0))+assumptions!$G$74/12)+IF(57=E8,D8*assumptions!$G$75,0),0)</f>
        <v/>
      </c>
      <c r="BL8" s="17">
        <f>IF(AND(58&gt;=E8,OR(F8="",58&lt;=F8)),(D8*(1+assumptions!$G$76)^4/12*(1+assumptions!$G$70+assumptions!$G$71+IF(58&gt;=assumptions!$G$73,assumptions!$G$72,0))+assumptions!$G$74/12)+IF(58=E8,D8*assumptions!$G$75,0),0)</f>
        <v/>
      </c>
      <c r="BM8" s="17">
        <f>IF(AND(59&gt;=E8,OR(F8="",59&lt;=F8)),(D8*(1+assumptions!$G$76)^4/12*(1+assumptions!$G$70+assumptions!$G$71+IF(59&gt;=assumptions!$G$73,assumptions!$G$72,0))+assumptions!$G$74/12)+IF(59=E8,D8*assumptions!$G$75,0),0)</f>
        <v/>
      </c>
      <c r="BN8" s="17">
        <f>IF(AND(60&gt;=E8,OR(F8="",60&lt;=F8)),(D8*(1+assumptions!$G$76)^4/12*(1+assumptions!$G$70+assumptions!$G$71+IF(60&gt;=assumptions!$G$73,assumptions!$G$72,0))+assumptions!$G$74/12)+IF(60=E8,D8*assumptions!$G$75,0),0)</f>
        <v/>
      </c>
    </row>
    <row r="9">
      <c r="A9" s="5" t="n">
        <v>6</v>
      </c>
      <c r="B9" s="5" t="inlineStr">
        <is>
          <t>Product designer</t>
        </is>
      </c>
      <c r="C9" s="5" t="inlineStr">
        <is>
          <t>design</t>
        </is>
      </c>
      <c r="D9" s="15" t="n">
        <v>75000</v>
      </c>
      <c r="E9" s="32" t="n">
        <v>2</v>
      </c>
      <c r="F9" s="32" t="n"/>
      <c r="G9" s="17">
        <f>IF(AND(1&gt;=E9,OR(F9="",1&lt;=F9)),(D9*(1+assumptions!$G$76)^0/12*(1+assumptions!$G$70+assumptions!$G$71+IF(1&gt;=assumptions!$G$73,assumptions!$G$72,0))+assumptions!$G$74/12)+IF(1=E9,D9*assumptions!$G$75,0),0)</f>
        <v/>
      </c>
      <c r="H9" s="17">
        <f>IF(AND(2&gt;=E9,OR(F9="",2&lt;=F9)),(D9*(1+assumptions!$G$76)^0/12*(1+assumptions!$G$70+assumptions!$G$71+IF(2&gt;=assumptions!$G$73,assumptions!$G$72,0))+assumptions!$G$74/12)+IF(2=E9,D9*assumptions!$G$75,0),0)</f>
        <v/>
      </c>
      <c r="I9" s="17">
        <f>IF(AND(3&gt;=E9,OR(F9="",3&lt;=F9)),(D9*(1+assumptions!$G$76)^0/12*(1+assumptions!$G$70+assumptions!$G$71+IF(3&gt;=assumptions!$G$73,assumptions!$G$72,0))+assumptions!$G$74/12)+IF(3=E9,D9*assumptions!$G$75,0),0)</f>
        <v/>
      </c>
      <c r="J9" s="17">
        <f>IF(AND(4&gt;=E9,OR(F9="",4&lt;=F9)),(D9*(1+assumptions!$G$76)^0/12*(1+assumptions!$G$70+assumptions!$G$71+IF(4&gt;=assumptions!$G$73,assumptions!$G$72,0))+assumptions!$G$74/12)+IF(4=E9,D9*assumptions!$G$75,0),0)</f>
        <v/>
      </c>
      <c r="K9" s="17">
        <f>IF(AND(5&gt;=E9,OR(F9="",5&lt;=F9)),(D9*(1+assumptions!$G$76)^0/12*(1+assumptions!$G$70+assumptions!$G$71+IF(5&gt;=assumptions!$G$73,assumptions!$G$72,0))+assumptions!$G$74/12)+IF(5=E9,D9*assumptions!$G$75,0),0)</f>
        <v/>
      </c>
      <c r="L9" s="17">
        <f>IF(AND(6&gt;=E9,OR(F9="",6&lt;=F9)),(D9*(1+assumptions!$G$76)^0/12*(1+assumptions!$G$70+assumptions!$G$71+IF(6&gt;=assumptions!$G$73,assumptions!$G$72,0))+assumptions!$G$74/12)+IF(6=E9,D9*assumptions!$G$75,0),0)</f>
        <v/>
      </c>
      <c r="M9" s="17">
        <f>IF(AND(7&gt;=E9,OR(F9="",7&lt;=F9)),(D9*(1+assumptions!$G$76)^0/12*(1+assumptions!$G$70+assumptions!$G$71+IF(7&gt;=assumptions!$G$73,assumptions!$G$72,0))+assumptions!$G$74/12)+IF(7=E9,D9*assumptions!$G$75,0),0)</f>
        <v/>
      </c>
      <c r="N9" s="17">
        <f>IF(AND(8&gt;=E9,OR(F9="",8&lt;=F9)),(D9*(1+assumptions!$G$76)^0/12*(1+assumptions!$G$70+assumptions!$G$71+IF(8&gt;=assumptions!$G$73,assumptions!$G$72,0))+assumptions!$G$74/12)+IF(8=E9,D9*assumptions!$G$75,0),0)</f>
        <v/>
      </c>
      <c r="O9" s="17">
        <f>IF(AND(9&gt;=E9,OR(F9="",9&lt;=F9)),(D9*(1+assumptions!$G$76)^0/12*(1+assumptions!$G$70+assumptions!$G$71+IF(9&gt;=assumptions!$G$73,assumptions!$G$72,0))+assumptions!$G$74/12)+IF(9=E9,D9*assumptions!$G$75,0),0)</f>
        <v/>
      </c>
      <c r="P9" s="17">
        <f>IF(AND(10&gt;=E9,OR(F9="",10&lt;=F9)),(D9*(1+assumptions!$G$76)^0/12*(1+assumptions!$G$70+assumptions!$G$71+IF(10&gt;=assumptions!$G$73,assumptions!$G$72,0))+assumptions!$G$74/12)+IF(10=E9,D9*assumptions!$G$75,0),0)</f>
        <v/>
      </c>
      <c r="Q9" s="17">
        <f>IF(AND(11&gt;=E9,OR(F9="",11&lt;=F9)),(D9*(1+assumptions!$G$76)^0/12*(1+assumptions!$G$70+assumptions!$G$71+IF(11&gt;=assumptions!$G$73,assumptions!$G$72,0))+assumptions!$G$74/12)+IF(11=E9,D9*assumptions!$G$75,0),0)</f>
        <v/>
      </c>
      <c r="R9" s="17">
        <f>IF(AND(12&gt;=E9,OR(F9="",12&lt;=F9)),(D9*(1+assumptions!$G$76)^0/12*(1+assumptions!$G$70+assumptions!$G$71+IF(12&gt;=assumptions!$G$73,assumptions!$G$72,0))+assumptions!$G$74/12)+IF(12=E9,D9*assumptions!$G$75,0),0)</f>
        <v/>
      </c>
      <c r="S9" s="17">
        <f>IF(AND(13&gt;=E9,OR(F9="",13&lt;=F9)),(D9*(1+assumptions!$G$76)^1/12*(1+assumptions!$G$70+assumptions!$G$71+IF(13&gt;=assumptions!$G$73,assumptions!$G$72,0))+assumptions!$G$74/12)+IF(13=E9,D9*assumptions!$G$75,0),0)</f>
        <v/>
      </c>
      <c r="T9" s="17">
        <f>IF(AND(14&gt;=E9,OR(F9="",14&lt;=F9)),(D9*(1+assumptions!$G$76)^1/12*(1+assumptions!$G$70+assumptions!$G$71+IF(14&gt;=assumptions!$G$73,assumptions!$G$72,0))+assumptions!$G$74/12)+IF(14=E9,D9*assumptions!$G$75,0),0)</f>
        <v/>
      </c>
      <c r="U9" s="17">
        <f>IF(AND(15&gt;=E9,OR(F9="",15&lt;=F9)),(D9*(1+assumptions!$G$76)^1/12*(1+assumptions!$G$70+assumptions!$G$71+IF(15&gt;=assumptions!$G$73,assumptions!$G$72,0))+assumptions!$G$74/12)+IF(15=E9,D9*assumptions!$G$75,0),0)</f>
        <v/>
      </c>
      <c r="V9" s="17">
        <f>IF(AND(16&gt;=E9,OR(F9="",16&lt;=F9)),(D9*(1+assumptions!$G$76)^1/12*(1+assumptions!$G$70+assumptions!$G$71+IF(16&gt;=assumptions!$G$73,assumptions!$G$72,0))+assumptions!$G$74/12)+IF(16=E9,D9*assumptions!$G$75,0),0)</f>
        <v/>
      </c>
      <c r="W9" s="17">
        <f>IF(AND(17&gt;=E9,OR(F9="",17&lt;=F9)),(D9*(1+assumptions!$G$76)^1/12*(1+assumptions!$G$70+assumptions!$G$71+IF(17&gt;=assumptions!$G$73,assumptions!$G$72,0))+assumptions!$G$74/12)+IF(17=E9,D9*assumptions!$G$75,0),0)</f>
        <v/>
      </c>
      <c r="X9" s="17">
        <f>IF(AND(18&gt;=E9,OR(F9="",18&lt;=F9)),(D9*(1+assumptions!$G$76)^1/12*(1+assumptions!$G$70+assumptions!$G$71+IF(18&gt;=assumptions!$G$73,assumptions!$G$72,0))+assumptions!$G$74/12)+IF(18=E9,D9*assumptions!$G$75,0),0)</f>
        <v/>
      </c>
      <c r="Y9" s="17">
        <f>IF(AND(19&gt;=E9,OR(F9="",19&lt;=F9)),(D9*(1+assumptions!$G$76)^1/12*(1+assumptions!$G$70+assumptions!$G$71+IF(19&gt;=assumptions!$G$73,assumptions!$G$72,0))+assumptions!$G$74/12)+IF(19=E9,D9*assumptions!$G$75,0),0)</f>
        <v/>
      </c>
      <c r="Z9" s="17">
        <f>IF(AND(20&gt;=E9,OR(F9="",20&lt;=F9)),(D9*(1+assumptions!$G$76)^1/12*(1+assumptions!$G$70+assumptions!$G$71+IF(20&gt;=assumptions!$G$73,assumptions!$G$72,0))+assumptions!$G$74/12)+IF(20=E9,D9*assumptions!$G$75,0),0)</f>
        <v/>
      </c>
      <c r="AA9" s="17">
        <f>IF(AND(21&gt;=E9,OR(F9="",21&lt;=F9)),(D9*(1+assumptions!$G$76)^1/12*(1+assumptions!$G$70+assumptions!$G$71+IF(21&gt;=assumptions!$G$73,assumptions!$G$72,0))+assumptions!$G$74/12)+IF(21=E9,D9*assumptions!$G$75,0),0)</f>
        <v/>
      </c>
      <c r="AB9" s="17">
        <f>IF(AND(22&gt;=E9,OR(F9="",22&lt;=F9)),(D9*(1+assumptions!$G$76)^1/12*(1+assumptions!$G$70+assumptions!$G$71+IF(22&gt;=assumptions!$G$73,assumptions!$G$72,0))+assumptions!$G$74/12)+IF(22=E9,D9*assumptions!$G$75,0),0)</f>
        <v/>
      </c>
      <c r="AC9" s="17">
        <f>IF(AND(23&gt;=E9,OR(F9="",23&lt;=F9)),(D9*(1+assumptions!$G$76)^1/12*(1+assumptions!$G$70+assumptions!$G$71+IF(23&gt;=assumptions!$G$73,assumptions!$G$72,0))+assumptions!$G$74/12)+IF(23=E9,D9*assumptions!$G$75,0),0)</f>
        <v/>
      </c>
      <c r="AD9" s="17">
        <f>IF(AND(24&gt;=E9,OR(F9="",24&lt;=F9)),(D9*(1+assumptions!$G$76)^1/12*(1+assumptions!$G$70+assumptions!$G$71+IF(24&gt;=assumptions!$G$73,assumptions!$G$72,0))+assumptions!$G$74/12)+IF(24=E9,D9*assumptions!$G$75,0),0)</f>
        <v/>
      </c>
      <c r="AE9" s="17">
        <f>IF(AND(25&gt;=E9,OR(F9="",25&lt;=F9)),(D9*(1+assumptions!$G$76)^2/12*(1+assumptions!$G$70+assumptions!$G$71+IF(25&gt;=assumptions!$G$73,assumptions!$G$72,0))+assumptions!$G$74/12)+IF(25=E9,D9*assumptions!$G$75,0),0)</f>
        <v/>
      </c>
      <c r="AF9" s="17">
        <f>IF(AND(26&gt;=E9,OR(F9="",26&lt;=F9)),(D9*(1+assumptions!$G$76)^2/12*(1+assumptions!$G$70+assumptions!$G$71+IF(26&gt;=assumptions!$G$73,assumptions!$G$72,0))+assumptions!$G$74/12)+IF(26=E9,D9*assumptions!$G$75,0),0)</f>
        <v/>
      </c>
      <c r="AG9" s="17">
        <f>IF(AND(27&gt;=E9,OR(F9="",27&lt;=F9)),(D9*(1+assumptions!$G$76)^2/12*(1+assumptions!$G$70+assumptions!$G$71+IF(27&gt;=assumptions!$G$73,assumptions!$G$72,0))+assumptions!$G$74/12)+IF(27=E9,D9*assumptions!$G$75,0),0)</f>
        <v/>
      </c>
      <c r="AH9" s="17">
        <f>IF(AND(28&gt;=E9,OR(F9="",28&lt;=F9)),(D9*(1+assumptions!$G$76)^2/12*(1+assumptions!$G$70+assumptions!$G$71+IF(28&gt;=assumptions!$G$73,assumptions!$G$72,0))+assumptions!$G$74/12)+IF(28=E9,D9*assumptions!$G$75,0),0)</f>
        <v/>
      </c>
      <c r="AI9" s="17">
        <f>IF(AND(29&gt;=E9,OR(F9="",29&lt;=F9)),(D9*(1+assumptions!$G$76)^2/12*(1+assumptions!$G$70+assumptions!$G$71+IF(29&gt;=assumptions!$G$73,assumptions!$G$72,0))+assumptions!$G$74/12)+IF(29=E9,D9*assumptions!$G$75,0),0)</f>
        <v/>
      </c>
      <c r="AJ9" s="17">
        <f>IF(AND(30&gt;=E9,OR(F9="",30&lt;=F9)),(D9*(1+assumptions!$G$76)^2/12*(1+assumptions!$G$70+assumptions!$G$71+IF(30&gt;=assumptions!$G$73,assumptions!$G$72,0))+assumptions!$G$74/12)+IF(30=E9,D9*assumptions!$G$75,0),0)</f>
        <v/>
      </c>
      <c r="AK9" s="17">
        <f>IF(AND(31&gt;=E9,OR(F9="",31&lt;=F9)),(D9*(1+assumptions!$G$76)^2/12*(1+assumptions!$G$70+assumptions!$G$71+IF(31&gt;=assumptions!$G$73,assumptions!$G$72,0))+assumptions!$G$74/12)+IF(31=E9,D9*assumptions!$G$75,0),0)</f>
        <v/>
      </c>
      <c r="AL9" s="17">
        <f>IF(AND(32&gt;=E9,OR(F9="",32&lt;=F9)),(D9*(1+assumptions!$G$76)^2/12*(1+assumptions!$G$70+assumptions!$G$71+IF(32&gt;=assumptions!$G$73,assumptions!$G$72,0))+assumptions!$G$74/12)+IF(32=E9,D9*assumptions!$G$75,0),0)</f>
        <v/>
      </c>
      <c r="AM9" s="17">
        <f>IF(AND(33&gt;=E9,OR(F9="",33&lt;=F9)),(D9*(1+assumptions!$G$76)^2/12*(1+assumptions!$G$70+assumptions!$G$71+IF(33&gt;=assumptions!$G$73,assumptions!$G$72,0))+assumptions!$G$74/12)+IF(33=E9,D9*assumptions!$G$75,0),0)</f>
        <v/>
      </c>
      <c r="AN9" s="17">
        <f>IF(AND(34&gt;=E9,OR(F9="",34&lt;=F9)),(D9*(1+assumptions!$G$76)^2/12*(1+assumptions!$G$70+assumptions!$G$71+IF(34&gt;=assumptions!$G$73,assumptions!$G$72,0))+assumptions!$G$74/12)+IF(34=E9,D9*assumptions!$G$75,0),0)</f>
        <v/>
      </c>
      <c r="AO9" s="17">
        <f>IF(AND(35&gt;=E9,OR(F9="",35&lt;=F9)),(D9*(1+assumptions!$G$76)^2/12*(1+assumptions!$G$70+assumptions!$G$71+IF(35&gt;=assumptions!$G$73,assumptions!$G$72,0))+assumptions!$G$74/12)+IF(35=E9,D9*assumptions!$G$75,0),0)</f>
        <v/>
      </c>
      <c r="AP9" s="17">
        <f>IF(AND(36&gt;=E9,OR(F9="",36&lt;=F9)),(D9*(1+assumptions!$G$76)^2/12*(1+assumptions!$G$70+assumptions!$G$71+IF(36&gt;=assumptions!$G$73,assumptions!$G$72,0))+assumptions!$G$74/12)+IF(36=E9,D9*assumptions!$G$75,0),0)</f>
        <v/>
      </c>
      <c r="AQ9" s="17">
        <f>IF(AND(37&gt;=E9,OR(F9="",37&lt;=F9)),(D9*(1+assumptions!$G$76)^3/12*(1+assumptions!$G$70+assumptions!$G$71+IF(37&gt;=assumptions!$G$73,assumptions!$G$72,0))+assumptions!$G$74/12)+IF(37=E9,D9*assumptions!$G$75,0),0)</f>
        <v/>
      </c>
      <c r="AR9" s="17">
        <f>IF(AND(38&gt;=E9,OR(F9="",38&lt;=F9)),(D9*(1+assumptions!$G$76)^3/12*(1+assumptions!$G$70+assumptions!$G$71+IF(38&gt;=assumptions!$G$73,assumptions!$G$72,0))+assumptions!$G$74/12)+IF(38=E9,D9*assumptions!$G$75,0),0)</f>
        <v/>
      </c>
      <c r="AS9" s="17">
        <f>IF(AND(39&gt;=E9,OR(F9="",39&lt;=F9)),(D9*(1+assumptions!$G$76)^3/12*(1+assumptions!$G$70+assumptions!$G$71+IF(39&gt;=assumptions!$G$73,assumptions!$G$72,0))+assumptions!$G$74/12)+IF(39=E9,D9*assumptions!$G$75,0),0)</f>
        <v/>
      </c>
      <c r="AT9" s="17">
        <f>IF(AND(40&gt;=E9,OR(F9="",40&lt;=F9)),(D9*(1+assumptions!$G$76)^3/12*(1+assumptions!$G$70+assumptions!$G$71+IF(40&gt;=assumptions!$G$73,assumptions!$G$72,0))+assumptions!$G$74/12)+IF(40=E9,D9*assumptions!$G$75,0),0)</f>
        <v/>
      </c>
      <c r="AU9" s="17">
        <f>IF(AND(41&gt;=E9,OR(F9="",41&lt;=F9)),(D9*(1+assumptions!$G$76)^3/12*(1+assumptions!$G$70+assumptions!$G$71+IF(41&gt;=assumptions!$G$73,assumptions!$G$72,0))+assumptions!$G$74/12)+IF(41=E9,D9*assumptions!$G$75,0),0)</f>
        <v/>
      </c>
      <c r="AV9" s="17">
        <f>IF(AND(42&gt;=E9,OR(F9="",42&lt;=F9)),(D9*(1+assumptions!$G$76)^3/12*(1+assumptions!$G$70+assumptions!$G$71+IF(42&gt;=assumptions!$G$73,assumptions!$G$72,0))+assumptions!$G$74/12)+IF(42=E9,D9*assumptions!$G$75,0),0)</f>
        <v/>
      </c>
      <c r="AW9" s="17">
        <f>IF(AND(43&gt;=E9,OR(F9="",43&lt;=F9)),(D9*(1+assumptions!$G$76)^3/12*(1+assumptions!$G$70+assumptions!$G$71+IF(43&gt;=assumptions!$G$73,assumptions!$G$72,0))+assumptions!$G$74/12)+IF(43=E9,D9*assumptions!$G$75,0),0)</f>
        <v/>
      </c>
      <c r="AX9" s="17">
        <f>IF(AND(44&gt;=E9,OR(F9="",44&lt;=F9)),(D9*(1+assumptions!$G$76)^3/12*(1+assumptions!$G$70+assumptions!$G$71+IF(44&gt;=assumptions!$G$73,assumptions!$G$72,0))+assumptions!$G$74/12)+IF(44=E9,D9*assumptions!$G$75,0),0)</f>
        <v/>
      </c>
      <c r="AY9" s="17">
        <f>IF(AND(45&gt;=E9,OR(F9="",45&lt;=F9)),(D9*(1+assumptions!$G$76)^3/12*(1+assumptions!$G$70+assumptions!$G$71+IF(45&gt;=assumptions!$G$73,assumptions!$G$72,0))+assumptions!$G$74/12)+IF(45=E9,D9*assumptions!$G$75,0),0)</f>
        <v/>
      </c>
      <c r="AZ9" s="17">
        <f>IF(AND(46&gt;=E9,OR(F9="",46&lt;=F9)),(D9*(1+assumptions!$G$76)^3/12*(1+assumptions!$G$70+assumptions!$G$71+IF(46&gt;=assumptions!$G$73,assumptions!$G$72,0))+assumptions!$G$74/12)+IF(46=E9,D9*assumptions!$G$75,0),0)</f>
        <v/>
      </c>
      <c r="BA9" s="17">
        <f>IF(AND(47&gt;=E9,OR(F9="",47&lt;=F9)),(D9*(1+assumptions!$G$76)^3/12*(1+assumptions!$G$70+assumptions!$G$71+IF(47&gt;=assumptions!$G$73,assumptions!$G$72,0))+assumptions!$G$74/12)+IF(47=E9,D9*assumptions!$G$75,0),0)</f>
        <v/>
      </c>
      <c r="BB9" s="17">
        <f>IF(AND(48&gt;=E9,OR(F9="",48&lt;=F9)),(D9*(1+assumptions!$G$76)^3/12*(1+assumptions!$G$70+assumptions!$G$71+IF(48&gt;=assumptions!$G$73,assumptions!$G$72,0))+assumptions!$G$74/12)+IF(48=E9,D9*assumptions!$G$75,0),0)</f>
        <v/>
      </c>
      <c r="BC9" s="17">
        <f>IF(AND(49&gt;=E9,OR(F9="",49&lt;=F9)),(D9*(1+assumptions!$G$76)^4/12*(1+assumptions!$G$70+assumptions!$G$71+IF(49&gt;=assumptions!$G$73,assumptions!$G$72,0))+assumptions!$G$74/12)+IF(49=E9,D9*assumptions!$G$75,0),0)</f>
        <v/>
      </c>
      <c r="BD9" s="17">
        <f>IF(AND(50&gt;=E9,OR(F9="",50&lt;=F9)),(D9*(1+assumptions!$G$76)^4/12*(1+assumptions!$G$70+assumptions!$G$71+IF(50&gt;=assumptions!$G$73,assumptions!$G$72,0))+assumptions!$G$74/12)+IF(50=E9,D9*assumptions!$G$75,0),0)</f>
        <v/>
      </c>
      <c r="BE9" s="17">
        <f>IF(AND(51&gt;=E9,OR(F9="",51&lt;=F9)),(D9*(1+assumptions!$G$76)^4/12*(1+assumptions!$G$70+assumptions!$G$71+IF(51&gt;=assumptions!$G$73,assumptions!$G$72,0))+assumptions!$G$74/12)+IF(51=E9,D9*assumptions!$G$75,0),0)</f>
        <v/>
      </c>
      <c r="BF9" s="17">
        <f>IF(AND(52&gt;=E9,OR(F9="",52&lt;=F9)),(D9*(1+assumptions!$G$76)^4/12*(1+assumptions!$G$70+assumptions!$G$71+IF(52&gt;=assumptions!$G$73,assumptions!$G$72,0))+assumptions!$G$74/12)+IF(52=E9,D9*assumptions!$G$75,0),0)</f>
        <v/>
      </c>
      <c r="BG9" s="17">
        <f>IF(AND(53&gt;=E9,OR(F9="",53&lt;=F9)),(D9*(1+assumptions!$G$76)^4/12*(1+assumptions!$G$70+assumptions!$G$71+IF(53&gt;=assumptions!$G$73,assumptions!$G$72,0))+assumptions!$G$74/12)+IF(53=E9,D9*assumptions!$G$75,0),0)</f>
        <v/>
      </c>
      <c r="BH9" s="17">
        <f>IF(AND(54&gt;=E9,OR(F9="",54&lt;=F9)),(D9*(1+assumptions!$G$76)^4/12*(1+assumptions!$G$70+assumptions!$G$71+IF(54&gt;=assumptions!$G$73,assumptions!$G$72,0))+assumptions!$G$74/12)+IF(54=E9,D9*assumptions!$G$75,0),0)</f>
        <v/>
      </c>
      <c r="BI9" s="17">
        <f>IF(AND(55&gt;=E9,OR(F9="",55&lt;=F9)),(D9*(1+assumptions!$G$76)^4/12*(1+assumptions!$G$70+assumptions!$G$71+IF(55&gt;=assumptions!$G$73,assumptions!$G$72,0))+assumptions!$G$74/12)+IF(55=E9,D9*assumptions!$G$75,0),0)</f>
        <v/>
      </c>
      <c r="BJ9" s="17">
        <f>IF(AND(56&gt;=E9,OR(F9="",56&lt;=F9)),(D9*(1+assumptions!$G$76)^4/12*(1+assumptions!$G$70+assumptions!$G$71+IF(56&gt;=assumptions!$G$73,assumptions!$G$72,0))+assumptions!$G$74/12)+IF(56=E9,D9*assumptions!$G$75,0),0)</f>
        <v/>
      </c>
      <c r="BK9" s="17">
        <f>IF(AND(57&gt;=E9,OR(F9="",57&lt;=F9)),(D9*(1+assumptions!$G$76)^4/12*(1+assumptions!$G$70+assumptions!$G$71+IF(57&gt;=assumptions!$G$73,assumptions!$G$72,0))+assumptions!$G$74/12)+IF(57=E9,D9*assumptions!$G$75,0),0)</f>
        <v/>
      </c>
      <c r="BL9" s="17">
        <f>IF(AND(58&gt;=E9,OR(F9="",58&lt;=F9)),(D9*(1+assumptions!$G$76)^4/12*(1+assumptions!$G$70+assumptions!$G$71+IF(58&gt;=assumptions!$G$73,assumptions!$G$72,0))+assumptions!$G$74/12)+IF(58=E9,D9*assumptions!$G$75,0),0)</f>
        <v/>
      </c>
      <c r="BM9" s="17">
        <f>IF(AND(59&gt;=E9,OR(F9="",59&lt;=F9)),(D9*(1+assumptions!$G$76)^4/12*(1+assumptions!$G$70+assumptions!$G$71+IF(59&gt;=assumptions!$G$73,assumptions!$G$72,0))+assumptions!$G$74/12)+IF(59=E9,D9*assumptions!$G$75,0),0)</f>
        <v/>
      </c>
      <c r="BN9" s="17">
        <f>IF(AND(60&gt;=E9,OR(F9="",60&lt;=F9)),(D9*(1+assumptions!$G$76)^4/12*(1+assumptions!$G$70+assumptions!$G$71+IF(60&gt;=assumptions!$G$73,assumptions!$G$72,0))+assumptions!$G$74/12)+IF(60=E9,D9*assumptions!$G$75,0),0)</f>
        <v/>
      </c>
    </row>
    <row r="10">
      <c r="A10" s="5" t="n">
        <v>7</v>
      </c>
      <c r="B10" s="5" t="inlineStr">
        <is>
          <t>Senior mobile engineer (RN)</t>
        </is>
      </c>
      <c r="C10" s="5" t="inlineStr">
        <is>
          <t>eng</t>
        </is>
      </c>
      <c r="D10" s="15" t="n">
        <v>95000</v>
      </c>
      <c r="E10" s="32" t="n">
        <v>4</v>
      </c>
      <c r="F10" s="32" t="n"/>
      <c r="G10" s="17">
        <f>IF(AND(1&gt;=E10,OR(F10="",1&lt;=F10)),(D10*(1+assumptions!$G$76)^0/12*(1+assumptions!$G$70+assumptions!$G$71+IF(1&gt;=assumptions!$G$73,assumptions!$G$72,0))+assumptions!$G$74/12)+IF(1=E10,D10*assumptions!$G$75,0),0)</f>
        <v/>
      </c>
      <c r="H10" s="17">
        <f>IF(AND(2&gt;=E10,OR(F10="",2&lt;=F10)),(D10*(1+assumptions!$G$76)^0/12*(1+assumptions!$G$70+assumptions!$G$71+IF(2&gt;=assumptions!$G$73,assumptions!$G$72,0))+assumptions!$G$74/12)+IF(2=E10,D10*assumptions!$G$75,0),0)</f>
        <v/>
      </c>
      <c r="I10" s="17">
        <f>IF(AND(3&gt;=E10,OR(F10="",3&lt;=F10)),(D10*(1+assumptions!$G$76)^0/12*(1+assumptions!$G$70+assumptions!$G$71+IF(3&gt;=assumptions!$G$73,assumptions!$G$72,0))+assumptions!$G$74/12)+IF(3=E10,D10*assumptions!$G$75,0),0)</f>
        <v/>
      </c>
      <c r="J10" s="17">
        <f>IF(AND(4&gt;=E10,OR(F10="",4&lt;=F10)),(D10*(1+assumptions!$G$76)^0/12*(1+assumptions!$G$70+assumptions!$G$71+IF(4&gt;=assumptions!$G$73,assumptions!$G$72,0))+assumptions!$G$74/12)+IF(4=E10,D10*assumptions!$G$75,0),0)</f>
        <v/>
      </c>
      <c r="K10" s="17">
        <f>IF(AND(5&gt;=E10,OR(F10="",5&lt;=F10)),(D10*(1+assumptions!$G$76)^0/12*(1+assumptions!$G$70+assumptions!$G$71+IF(5&gt;=assumptions!$G$73,assumptions!$G$72,0))+assumptions!$G$74/12)+IF(5=E10,D10*assumptions!$G$75,0),0)</f>
        <v/>
      </c>
      <c r="L10" s="17">
        <f>IF(AND(6&gt;=E10,OR(F10="",6&lt;=F10)),(D10*(1+assumptions!$G$76)^0/12*(1+assumptions!$G$70+assumptions!$G$71+IF(6&gt;=assumptions!$G$73,assumptions!$G$72,0))+assumptions!$G$74/12)+IF(6=E10,D10*assumptions!$G$75,0),0)</f>
        <v/>
      </c>
      <c r="M10" s="17">
        <f>IF(AND(7&gt;=E10,OR(F10="",7&lt;=F10)),(D10*(1+assumptions!$G$76)^0/12*(1+assumptions!$G$70+assumptions!$G$71+IF(7&gt;=assumptions!$G$73,assumptions!$G$72,0))+assumptions!$G$74/12)+IF(7=E10,D10*assumptions!$G$75,0),0)</f>
        <v/>
      </c>
      <c r="N10" s="17">
        <f>IF(AND(8&gt;=E10,OR(F10="",8&lt;=F10)),(D10*(1+assumptions!$G$76)^0/12*(1+assumptions!$G$70+assumptions!$G$71+IF(8&gt;=assumptions!$G$73,assumptions!$G$72,0))+assumptions!$G$74/12)+IF(8=E10,D10*assumptions!$G$75,0),0)</f>
        <v/>
      </c>
      <c r="O10" s="17">
        <f>IF(AND(9&gt;=E10,OR(F10="",9&lt;=F10)),(D10*(1+assumptions!$G$76)^0/12*(1+assumptions!$G$70+assumptions!$G$71+IF(9&gt;=assumptions!$G$73,assumptions!$G$72,0))+assumptions!$G$74/12)+IF(9=E10,D10*assumptions!$G$75,0),0)</f>
        <v/>
      </c>
      <c r="P10" s="17">
        <f>IF(AND(10&gt;=E10,OR(F10="",10&lt;=F10)),(D10*(1+assumptions!$G$76)^0/12*(1+assumptions!$G$70+assumptions!$G$71+IF(10&gt;=assumptions!$G$73,assumptions!$G$72,0))+assumptions!$G$74/12)+IF(10=E10,D10*assumptions!$G$75,0),0)</f>
        <v/>
      </c>
      <c r="Q10" s="17">
        <f>IF(AND(11&gt;=E10,OR(F10="",11&lt;=F10)),(D10*(1+assumptions!$G$76)^0/12*(1+assumptions!$G$70+assumptions!$G$71+IF(11&gt;=assumptions!$G$73,assumptions!$G$72,0))+assumptions!$G$74/12)+IF(11=E10,D10*assumptions!$G$75,0),0)</f>
        <v/>
      </c>
      <c r="R10" s="17">
        <f>IF(AND(12&gt;=E10,OR(F10="",12&lt;=F10)),(D10*(1+assumptions!$G$76)^0/12*(1+assumptions!$G$70+assumptions!$G$71+IF(12&gt;=assumptions!$G$73,assumptions!$G$72,0))+assumptions!$G$74/12)+IF(12=E10,D10*assumptions!$G$75,0),0)</f>
        <v/>
      </c>
      <c r="S10" s="17">
        <f>IF(AND(13&gt;=E10,OR(F10="",13&lt;=F10)),(D10*(1+assumptions!$G$76)^1/12*(1+assumptions!$G$70+assumptions!$G$71+IF(13&gt;=assumptions!$G$73,assumptions!$G$72,0))+assumptions!$G$74/12)+IF(13=E10,D10*assumptions!$G$75,0),0)</f>
        <v/>
      </c>
      <c r="T10" s="17">
        <f>IF(AND(14&gt;=E10,OR(F10="",14&lt;=F10)),(D10*(1+assumptions!$G$76)^1/12*(1+assumptions!$G$70+assumptions!$G$71+IF(14&gt;=assumptions!$G$73,assumptions!$G$72,0))+assumptions!$G$74/12)+IF(14=E10,D10*assumptions!$G$75,0),0)</f>
        <v/>
      </c>
      <c r="U10" s="17">
        <f>IF(AND(15&gt;=E10,OR(F10="",15&lt;=F10)),(D10*(1+assumptions!$G$76)^1/12*(1+assumptions!$G$70+assumptions!$G$71+IF(15&gt;=assumptions!$G$73,assumptions!$G$72,0))+assumptions!$G$74/12)+IF(15=E10,D10*assumptions!$G$75,0),0)</f>
        <v/>
      </c>
      <c r="V10" s="17">
        <f>IF(AND(16&gt;=E10,OR(F10="",16&lt;=F10)),(D10*(1+assumptions!$G$76)^1/12*(1+assumptions!$G$70+assumptions!$G$71+IF(16&gt;=assumptions!$G$73,assumptions!$G$72,0))+assumptions!$G$74/12)+IF(16=E10,D10*assumptions!$G$75,0),0)</f>
        <v/>
      </c>
      <c r="W10" s="17">
        <f>IF(AND(17&gt;=E10,OR(F10="",17&lt;=F10)),(D10*(1+assumptions!$G$76)^1/12*(1+assumptions!$G$70+assumptions!$G$71+IF(17&gt;=assumptions!$G$73,assumptions!$G$72,0))+assumptions!$G$74/12)+IF(17=E10,D10*assumptions!$G$75,0),0)</f>
        <v/>
      </c>
      <c r="X10" s="17">
        <f>IF(AND(18&gt;=E10,OR(F10="",18&lt;=F10)),(D10*(1+assumptions!$G$76)^1/12*(1+assumptions!$G$70+assumptions!$G$71+IF(18&gt;=assumptions!$G$73,assumptions!$G$72,0))+assumptions!$G$74/12)+IF(18=E10,D10*assumptions!$G$75,0),0)</f>
        <v/>
      </c>
      <c r="Y10" s="17">
        <f>IF(AND(19&gt;=E10,OR(F10="",19&lt;=F10)),(D10*(1+assumptions!$G$76)^1/12*(1+assumptions!$G$70+assumptions!$G$71+IF(19&gt;=assumptions!$G$73,assumptions!$G$72,0))+assumptions!$G$74/12)+IF(19=E10,D10*assumptions!$G$75,0),0)</f>
        <v/>
      </c>
      <c r="Z10" s="17">
        <f>IF(AND(20&gt;=E10,OR(F10="",20&lt;=F10)),(D10*(1+assumptions!$G$76)^1/12*(1+assumptions!$G$70+assumptions!$G$71+IF(20&gt;=assumptions!$G$73,assumptions!$G$72,0))+assumptions!$G$74/12)+IF(20=E10,D10*assumptions!$G$75,0),0)</f>
        <v/>
      </c>
      <c r="AA10" s="17">
        <f>IF(AND(21&gt;=E10,OR(F10="",21&lt;=F10)),(D10*(1+assumptions!$G$76)^1/12*(1+assumptions!$G$70+assumptions!$G$71+IF(21&gt;=assumptions!$G$73,assumptions!$G$72,0))+assumptions!$G$74/12)+IF(21=E10,D10*assumptions!$G$75,0),0)</f>
        <v/>
      </c>
      <c r="AB10" s="17">
        <f>IF(AND(22&gt;=E10,OR(F10="",22&lt;=F10)),(D10*(1+assumptions!$G$76)^1/12*(1+assumptions!$G$70+assumptions!$G$71+IF(22&gt;=assumptions!$G$73,assumptions!$G$72,0))+assumptions!$G$74/12)+IF(22=E10,D10*assumptions!$G$75,0),0)</f>
        <v/>
      </c>
      <c r="AC10" s="17">
        <f>IF(AND(23&gt;=E10,OR(F10="",23&lt;=F10)),(D10*(1+assumptions!$G$76)^1/12*(1+assumptions!$G$70+assumptions!$G$71+IF(23&gt;=assumptions!$G$73,assumptions!$G$72,0))+assumptions!$G$74/12)+IF(23=E10,D10*assumptions!$G$75,0),0)</f>
        <v/>
      </c>
      <c r="AD10" s="17">
        <f>IF(AND(24&gt;=E10,OR(F10="",24&lt;=F10)),(D10*(1+assumptions!$G$76)^1/12*(1+assumptions!$G$70+assumptions!$G$71+IF(24&gt;=assumptions!$G$73,assumptions!$G$72,0))+assumptions!$G$74/12)+IF(24=E10,D10*assumptions!$G$75,0),0)</f>
        <v/>
      </c>
      <c r="AE10" s="17">
        <f>IF(AND(25&gt;=E10,OR(F10="",25&lt;=F10)),(D10*(1+assumptions!$G$76)^2/12*(1+assumptions!$G$70+assumptions!$G$71+IF(25&gt;=assumptions!$G$73,assumptions!$G$72,0))+assumptions!$G$74/12)+IF(25=E10,D10*assumptions!$G$75,0),0)</f>
        <v/>
      </c>
      <c r="AF10" s="17">
        <f>IF(AND(26&gt;=E10,OR(F10="",26&lt;=F10)),(D10*(1+assumptions!$G$76)^2/12*(1+assumptions!$G$70+assumptions!$G$71+IF(26&gt;=assumptions!$G$73,assumptions!$G$72,0))+assumptions!$G$74/12)+IF(26=E10,D10*assumptions!$G$75,0),0)</f>
        <v/>
      </c>
      <c r="AG10" s="17">
        <f>IF(AND(27&gt;=E10,OR(F10="",27&lt;=F10)),(D10*(1+assumptions!$G$76)^2/12*(1+assumptions!$G$70+assumptions!$G$71+IF(27&gt;=assumptions!$G$73,assumptions!$G$72,0))+assumptions!$G$74/12)+IF(27=E10,D10*assumptions!$G$75,0),0)</f>
        <v/>
      </c>
      <c r="AH10" s="17">
        <f>IF(AND(28&gt;=E10,OR(F10="",28&lt;=F10)),(D10*(1+assumptions!$G$76)^2/12*(1+assumptions!$G$70+assumptions!$G$71+IF(28&gt;=assumptions!$G$73,assumptions!$G$72,0))+assumptions!$G$74/12)+IF(28=E10,D10*assumptions!$G$75,0),0)</f>
        <v/>
      </c>
      <c r="AI10" s="17">
        <f>IF(AND(29&gt;=E10,OR(F10="",29&lt;=F10)),(D10*(1+assumptions!$G$76)^2/12*(1+assumptions!$G$70+assumptions!$G$71+IF(29&gt;=assumptions!$G$73,assumptions!$G$72,0))+assumptions!$G$74/12)+IF(29=E10,D10*assumptions!$G$75,0),0)</f>
        <v/>
      </c>
      <c r="AJ10" s="17">
        <f>IF(AND(30&gt;=E10,OR(F10="",30&lt;=F10)),(D10*(1+assumptions!$G$76)^2/12*(1+assumptions!$G$70+assumptions!$G$71+IF(30&gt;=assumptions!$G$73,assumptions!$G$72,0))+assumptions!$G$74/12)+IF(30=E10,D10*assumptions!$G$75,0),0)</f>
        <v/>
      </c>
      <c r="AK10" s="17">
        <f>IF(AND(31&gt;=E10,OR(F10="",31&lt;=F10)),(D10*(1+assumptions!$G$76)^2/12*(1+assumptions!$G$70+assumptions!$G$71+IF(31&gt;=assumptions!$G$73,assumptions!$G$72,0))+assumptions!$G$74/12)+IF(31=E10,D10*assumptions!$G$75,0),0)</f>
        <v/>
      </c>
      <c r="AL10" s="17">
        <f>IF(AND(32&gt;=E10,OR(F10="",32&lt;=F10)),(D10*(1+assumptions!$G$76)^2/12*(1+assumptions!$G$70+assumptions!$G$71+IF(32&gt;=assumptions!$G$73,assumptions!$G$72,0))+assumptions!$G$74/12)+IF(32=E10,D10*assumptions!$G$75,0),0)</f>
        <v/>
      </c>
      <c r="AM10" s="17">
        <f>IF(AND(33&gt;=E10,OR(F10="",33&lt;=F10)),(D10*(1+assumptions!$G$76)^2/12*(1+assumptions!$G$70+assumptions!$G$71+IF(33&gt;=assumptions!$G$73,assumptions!$G$72,0))+assumptions!$G$74/12)+IF(33=E10,D10*assumptions!$G$75,0),0)</f>
        <v/>
      </c>
      <c r="AN10" s="17">
        <f>IF(AND(34&gt;=E10,OR(F10="",34&lt;=F10)),(D10*(1+assumptions!$G$76)^2/12*(1+assumptions!$G$70+assumptions!$G$71+IF(34&gt;=assumptions!$G$73,assumptions!$G$72,0))+assumptions!$G$74/12)+IF(34=E10,D10*assumptions!$G$75,0),0)</f>
        <v/>
      </c>
      <c r="AO10" s="17">
        <f>IF(AND(35&gt;=E10,OR(F10="",35&lt;=F10)),(D10*(1+assumptions!$G$76)^2/12*(1+assumptions!$G$70+assumptions!$G$71+IF(35&gt;=assumptions!$G$73,assumptions!$G$72,0))+assumptions!$G$74/12)+IF(35=E10,D10*assumptions!$G$75,0),0)</f>
        <v/>
      </c>
      <c r="AP10" s="17">
        <f>IF(AND(36&gt;=E10,OR(F10="",36&lt;=F10)),(D10*(1+assumptions!$G$76)^2/12*(1+assumptions!$G$70+assumptions!$G$71+IF(36&gt;=assumptions!$G$73,assumptions!$G$72,0))+assumptions!$G$74/12)+IF(36=E10,D10*assumptions!$G$75,0),0)</f>
        <v/>
      </c>
      <c r="AQ10" s="17">
        <f>IF(AND(37&gt;=E10,OR(F10="",37&lt;=F10)),(D10*(1+assumptions!$G$76)^3/12*(1+assumptions!$G$70+assumptions!$G$71+IF(37&gt;=assumptions!$G$73,assumptions!$G$72,0))+assumptions!$G$74/12)+IF(37=E10,D10*assumptions!$G$75,0),0)</f>
        <v/>
      </c>
      <c r="AR10" s="17">
        <f>IF(AND(38&gt;=E10,OR(F10="",38&lt;=F10)),(D10*(1+assumptions!$G$76)^3/12*(1+assumptions!$G$70+assumptions!$G$71+IF(38&gt;=assumptions!$G$73,assumptions!$G$72,0))+assumptions!$G$74/12)+IF(38=E10,D10*assumptions!$G$75,0),0)</f>
        <v/>
      </c>
      <c r="AS10" s="17">
        <f>IF(AND(39&gt;=E10,OR(F10="",39&lt;=F10)),(D10*(1+assumptions!$G$76)^3/12*(1+assumptions!$G$70+assumptions!$G$71+IF(39&gt;=assumptions!$G$73,assumptions!$G$72,0))+assumptions!$G$74/12)+IF(39=E10,D10*assumptions!$G$75,0),0)</f>
        <v/>
      </c>
      <c r="AT10" s="17">
        <f>IF(AND(40&gt;=E10,OR(F10="",40&lt;=F10)),(D10*(1+assumptions!$G$76)^3/12*(1+assumptions!$G$70+assumptions!$G$71+IF(40&gt;=assumptions!$G$73,assumptions!$G$72,0))+assumptions!$G$74/12)+IF(40=E10,D10*assumptions!$G$75,0),0)</f>
        <v/>
      </c>
      <c r="AU10" s="17">
        <f>IF(AND(41&gt;=E10,OR(F10="",41&lt;=F10)),(D10*(1+assumptions!$G$76)^3/12*(1+assumptions!$G$70+assumptions!$G$71+IF(41&gt;=assumptions!$G$73,assumptions!$G$72,0))+assumptions!$G$74/12)+IF(41=E10,D10*assumptions!$G$75,0),0)</f>
        <v/>
      </c>
      <c r="AV10" s="17">
        <f>IF(AND(42&gt;=E10,OR(F10="",42&lt;=F10)),(D10*(1+assumptions!$G$76)^3/12*(1+assumptions!$G$70+assumptions!$G$71+IF(42&gt;=assumptions!$G$73,assumptions!$G$72,0))+assumptions!$G$74/12)+IF(42=E10,D10*assumptions!$G$75,0),0)</f>
        <v/>
      </c>
      <c r="AW10" s="17">
        <f>IF(AND(43&gt;=E10,OR(F10="",43&lt;=F10)),(D10*(1+assumptions!$G$76)^3/12*(1+assumptions!$G$70+assumptions!$G$71+IF(43&gt;=assumptions!$G$73,assumptions!$G$72,0))+assumptions!$G$74/12)+IF(43=E10,D10*assumptions!$G$75,0),0)</f>
        <v/>
      </c>
      <c r="AX10" s="17">
        <f>IF(AND(44&gt;=E10,OR(F10="",44&lt;=F10)),(D10*(1+assumptions!$G$76)^3/12*(1+assumptions!$G$70+assumptions!$G$71+IF(44&gt;=assumptions!$G$73,assumptions!$G$72,0))+assumptions!$G$74/12)+IF(44=E10,D10*assumptions!$G$75,0),0)</f>
        <v/>
      </c>
      <c r="AY10" s="17">
        <f>IF(AND(45&gt;=E10,OR(F10="",45&lt;=F10)),(D10*(1+assumptions!$G$76)^3/12*(1+assumptions!$G$70+assumptions!$G$71+IF(45&gt;=assumptions!$G$73,assumptions!$G$72,0))+assumptions!$G$74/12)+IF(45=E10,D10*assumptions!$G$75,0),0)</f>
        <v/>
      </c>
      <c r="AZ10" s="17">
        <f>IF(AND(46&gt;=E10,OR(F10="",46&lt;=F10)),(D10*(1+assumptions!$G$76)^3/12*(1+assumptions!$G$70+assumptions!$G$71+IF(46&gt;=assumptions!$G$73,assumptions!$G$72,0))+assumptions!$G$74/12)+IF(46=E10,D10*assumptions!$G$75,0),0)</f>
        <v/>
      </c>
      <c r="BA10" s="17">
        <f>IF(AND(47&gt;=E10,OR(F10="",47&lt;=F10)),(D10*(1+assumptions!$G$76)^3/12*(1+assumptions!$G$70+assumptions!$G$71+IF(47&gt;=assumptions!$G$73,assumptions!$G$72,0))+assumptions!$G$74/12)+IF(47=E10,D10*assumptions!$G$75,0),0)</f>
        <v/>
      </c>
      <c r="BB10" s="17">
        <f>IF(AND(48&gt;=E10,OR(F10="",48&lt;=F10)),(D10*(1+assumptions!$G$76)^3/12*(1+assumptions!$G$70+assumptions!$G$71+IF(48&gt;=assumptions!$G$73,assumptions!$G$72,0))+assumptions!$G$74/12)+IF(48=E10,D10*assumptions!$G$75,0),0)</f>
        <v/>
      </c>
      <c r="BC10" s="17">
        <f>IF(AND(49&gt;=E10,OR(F10="",49&lt;=F10)),(D10*(1+assumptions!$G$76)^4/12*(1+assumptions!$G$70+assumptions!$G$71+IF(49&gt;=assumptions!$G$73,assumptions!$G$72,0))+assumptions!$G$74/12)+IF(49=E10,D10*assumptions!$G$75,0),0)</f>
        <v/>
      </c>
      <c r="BD10" s="17">
        <f>IF(AND(50&gt;=E10,OR(F10="",50&lt;=F10)),(D10*(1+assumptions!$G$76)^4/12*(1+assumptions!$G$70+assumptions!$G$71+IF(50&gt;=assumptions!$G$73,assumptions!$G$72,0))+assumptions!$G$74/12)+IF(50=E10,D10*assumptions!$G$75,0),0)</f>
        <v/>
      </c>
      <c r="BE10" s="17">
        <f>IF(AND(51&gt;=E10,OR(F10="",51&lt;=F10)),(D10*(1+assumptions!$G$76)^4/12*(1+assumptions!$G$70+assumptions!$G$71+IF(51&gt;=assumptions!$G$73,assumptions!$G$72,0))+assumptions!$G$74/12)+IF(51=E10,D10*assumptions!$G$75,0),0)</f>
        <v/>
      </c>
      <c r="BF10" s="17">
        <f>IF(AND(52&gt;=E10,OR(F10="",52&lt;=F10)),(D10*(1+assumptions!$G$76)^4/12*(1+assumptions!$G$70+assumptions!$G$71+IF(52&gt;=assumptions!$G$73,assumptions!$G$72,0))+assumptions!$G$74/12)+IF(52=E10,D10*assumptions!$G$75,0),0)</f>
        <v/>
      </c>
      <c r="BG10" s="17">
        <f>IF(AND(53&gt;=E10,OR(F10="",53&lt;=F10)),(D10*(1+assumptions!$G$76)^4/12*(1+assumptions!$G$70+assumptions!$G$71+IF(53&gt;=assumptions!$G$73,assumptions!$G$72,0))+assumptions!$G$74/12)+IF(53=E10,D10*assumptions!$G$75,0),0)</f>
        <v/>
      </c>
      <c r="BH10" s="17">
        <f>IF(AND(54&gt;=E10,OR(F10="",54&lt;=F10)),(D10*(1+assumptions!$G$76)^4/12*(1+assumptions!$G$70+assumptions!$G$71+IF(54&gt;=assumptions!$G$73,assumptions!$G$72,0))+assumptions!$G$74/12)+IF(54=E10,D10*assumptions!$G$75,0),0)</f>
        <v/>
      </c>
      <c r="BI10" s="17">
        <f>IF(AND(55&gt;=E10,OR(F10="",55&lt;=F10)),(D10*(1+assumptions!$G$76)^4/12*(1+assumptions!$G$70+assumptions!$G$71+IF(55&gt;=assumptions!$G$73,assumptions!$G$72,0))+assumptions!$G$74/12)+IF(55=E10,D10*assumptions!$G$75,0),0)</f>
        <v/>
      </c>
      <c r="BJ10" s="17">
        <f>IF(AND(56&gt;=E10,OR(F10="",56&lt;=F10)),(D10*(1+assumptions!$G$76)^4/12*(1+assumptions!$G$70+assumptions!$G$71+IF(56&gt;=assumptions!$G$73,assumptions!$G$72,0))+assumptions!$G$74/12)+IF(56=E10,D10*assumptions!$G$75,0),0)</f>
        <v/>
      </c>
      <c r="BK10" s="17">
        <f>IF(AND(57&gt;=E10,OR(F10="",57&lt;=F10)),(D10*(1+assumptions!$G$76)^4/12*(1+assumptions!$G$70+assumptions!$G$71+IF(57&gt;=assumptions!$G$73,assumptions!$G$72,0))+assumptions!$G$74/12)+IF(57=E10,D10*assumptions!$G$75,0),0)</f>
        <v/>
      </c>
      <c r="BL10" s="17">
        <f>IF(AND(58&gt;=E10,OR(F10="",58&lt;=F10)),(D10*(1+assumptions!$G$76)^4/12*(1+assumptions!$G$70+assumptions!$G$71+IF(58&gt;=assumptions!$G$73,assumptions!$G$72,0))+assumptions!$G$74/12)+IF(58=E10,D10*assumptions!$G$75,0),0)</f>
        <v/>
      </c>
      <c r="BM10" s="17">
        <f>IF(AND(59&gt;=E10,OR(F10="",59&lt;=F10)),(D10*(1+assumptions!$G$76)^4/12*(1+assumptions!$G$70+assumptions!$G$71+IF(59&gt;=assumptions!$G$73,assumptions!$G$72,0))+assumptions!$G$74/12)+IF(59=E10,D10*assumptions!$G$75,0),0)</f>
        <v/>
      </c>
      <c r="BN10" s="17">
        <f>IF(AND(60&gt;=E10,OR(F10="",60&lt;=F10)),(D10*(1+assumptions!$G$76)^4/12*(1+assumptions!$G$70+assumptions!$G$71+IF(60&gt;=assumptions!$G$73,assumptions!$G$72,0))+assumptions!$G$74/12)+IF(60=E10,D10*assumptions!$G$75,0),0)</f>
        <v/>
      </c>
    </row>
    <row r="11">
      <c r="A11" s="5" t="n">
        <v>8</v>
      </c>
      <c r="B11" s="5" t="inlineStr">
        <is>
          <t>Creator partnerships manager</t>
        </is>
      </c>
      <c r="C11" s="5" t="inlineStr">
        <is>
          <t>growth</t>
        </is>
      </c>
      <c r="D11" s="15" t="n">
        <v>55000</v>
      </c>
      <c r="E11" s="32" t="n">
        <v>4</v>
      </c>
      <c r="F11" s="32" t="n"/>
      <c r="G11" s="17">
        <f>IF(AND(1&gt;=E11,OR(F11="",1&lt;=F11)),(D11*(1+assumptions!$G$76)^0/12*(1+assumptions!$G$70+assumptions!$G$71+IF(1&gt;=assumptions!$G$73,assumptions!$G$72,0))+assumptions!$G$74/12)+IF(1=E11,D11*assumptions!$G$75,0),0)</f>
        <v/>
      </c>
      <c r="H11" s="17">
        <f>IF(AND(2&gt;=E11,OR(F11="",2&lt;=F11)),(D11*(1+assumptions!$G$76)^0/12*(1+assumptions!$G$70+assumptions!$G$71+IF(2&gt;=assumptions!$G$73,assumptions!$G$72,0))+assumptions!$G$74/12)+IF(2=E11,D11*assumptions!$G$75,0),0)</f>
        <v/>
      </c>
      <c r="I11" s="17">
        <f>IF(AND(3&gt;=E11,OR(F11="",3&lt;=F11)),(D11*(1+assumptions!$G$76)^0/12*(1+assumptions!$G$70+assumptions!$G$71+IF(3&gt;=assumptions!$G$73,assumptions!$G$72,0))+assumptions!$G$74/12)+IF(3=E11,D11*assumptions!$G$75,0),0)</f>
        <v/>
      </c>
      <c r="J11" s="17">
        <f>IF(AND(4&gt;=E11,OR(F11="",4&lt;=F11)),(D11*(1+assumptions!$G$76)^0/12*(1+assumptions!$G$70+assumptions!$G$71+IF(4&gt;=assumptions!$G$73,assumptions!$G$72,0))+assumptions!$G$74/12)+IF(4=E11,D11*assumptions!$G$75,0),0)</f>
        <v/>
      </c>
      <c r="K11" s="17">
        <f>IF(AND(5&gt;=E11,OR(F11="",5&lt;=F11)),(D11*(1+assumptions!$G$76)^0/12*(1+assumptions!$G$70+assumptions!$G$71+IF(5&gt;=assumptions!$G$73,assumptions!$G$72,0))+assumptions!$G$74/12)+IF(5=E11,D11*assumptions!$G$75,0),0)</f>
        <v/>
      </c>
      <c r="L11" s="17">
        <f>IF(AND(6&gt;=E11,OR(F11="",6&lt;=F11)),(D11*(1+assumptions!$G$76)^0/12*(1+assumptions!$G$70+assumptions!$G$71+IF(6&gt;=assumptions!$G$73,assumptions!$G$72,0))+assumptions!$G$74/12)+IF(6=E11,D11*assumptions!$G$75,0),0)</f>
        <v/>
      </c>
      <c r="M11" s="17">
        <f>IF(AND(7&gt;=E11,OR(F11="",7&lt;=F11)),(D11*(1+assumptions!$G$76)^0/12*(1+assumptions!$G$70+assumptions!$G$71+IF(7&gt;=assumptions!$G$73,assumptions!$G$72,0))+assumptions!$G$74/12)+IF(7=E11,D11*assumptions!$G$75,0),0)</f>
        <v/>
      </c>
      <c r="N11" s="17">
        <f>IF(AND(8&gt;=E11,OR(F11="",8&lt;=F11)),(D11*(1+assumptions!$G$76)^0/12*(1+assumptions!$G$70+assumptions!$G$71+IF(8&gt;=assumptions!$G$73,assumptions!$G$72,0))+assumptions!$G$74/12)+IF(8=E11,D11*assumptions!$G$75,0),0)</f>
        <v/>
      </c>
      <c r="O11" s="17">
        <f>IF(AND(9&gt;=E11,OR(F11="",9&lt;=F11)),(D11*(1+assumptions!$G$76)^0/12*(1+assumptions!$G$70+assumptions!$G$71+IF(9&gt;=assumptions!$G$73,assumptions!$G$72,0))+assumptions!$G$74/12)+IF(9=E11,D11*assumptions!$G$75,0),0)</f>
        <v/>
      </c>
      <c r="P11" s="17">
        <f>IF(AND(10&gt;=E11,OR(F11="",10&lt;=F11)),(D11*(1+assumptions!$G$76)^0/12*(1+assumptions!$G$70+assumptions!$G$71+IF(10&gt;=assumptions!$G$73,assumptions!$G$72,0))+assumptions!$G$74/12)+IF(10=E11,D11*assumptions!$G$75,0),0)</f>
        <v/>
      </c>
      <c r="Q11" s="17">
        <f>IF(AND(11&gt;=E11,OR(F11="",11&lt;=F11)),(D11*(1+assumptions!$G$76)^0/12*(1+assumptions!$G$70+assumptions!$G$71+IF(11&gt;=assumptions!$G$73,assumptions!$G$72,0))+assumptions!$G$74/12)+IF(11=E11,D11*assumptions!$G$75,0),0)</f>
        <v/>
      </c>
      <c r="R11" s="17">
        <f>IF(AND(12&gt;=E11,OR(F11="",12&lt;=F11)),(D11*(1+assumptions!$G$76)^0/12*(1+assumptions!$G$70+assumptions!$G$71+IF(12&gt;=assumptions!$G$73,assumptions!$G$72,0))+assumptions!$G$74/12)+IF(12=E11,D11*assumptions!$G$75,0),0)</f>
        <v/>
      </c>
      <c r="S11" s="17">
        <f>IF(AND(13&gt;=E11,OR(F11="",13&lt;=F11)),(D11*(1+assumptions!$G$76)^1/12*(1+assumptions!$G$70+assumptions!$G$71+IF(13&gt;=assumptions!$G$73,assumptions!$G$72,0))+assumptions!$G$74/12)+IF(13=E11,D11*assumptions!$G$75,0),0)</f>
        <v/>
      </c>
      <c r="T11" s="17">
        <f>IF(AND(14&gt;=E11,OR(F11="",14&lt;=F11)),(D11*(1+assumptions!$G$76)^1/12*(1+assumptions!$G$70+assumptions!$G$71+IF(14&gt;=assumptions!$G$73,assumptions!$G$72,0))+assumptions!$G$74/12)+IF(14=E11,D11*assumptions!$G$75,0),0)</f>
        <v/>
      </c>
      <c r="U11" s="17">
        <f>IF(AND(15&gt;=E11,OR(F11="",15&lt;=F11)),(D11*(1+assumptions!$G$76)^1/12*(1+assumptions!$G$70+assumptions!$G$71+IF(15&gt;=assumptions!$G$73,assumptions!$G$72,0))+assumptions!$G$74/12)+IF(15=E11,D11*assumptions!$G$75,0),0)</f>
        <v/>
      </c>
      <c r="V11" s="17">
        <f>IF(AND(16&gt;=E11,OR(F11="",16&lt;=F11)),(D11*(1+assumptions!$G$76)^1/12*(1+assumptions!$G$70+assumptions!$G$71+IF(16&gt;=assumptions!$G$73,assumptions!$G$72,0))+assumptions!$G$74/12)+IF(16=E11,D11*assumptions!$G$75,0),0)</f>
        <v/>
      </c>
      <c r="W11" s="17">
        <f>IF(AND(17&gt;=E11,OR(F11="",17&lt;=F11)),(D11*(1+assumptions!$G$76)^1/12*(1+assumptions!$G$70+assumptions!$G$71+IF(17&gt;=assumptions!$G$73,assumptions!$G$72,0))+assumptions!$G$74/12)+IF(17=E11,D11*assumptions!$G$75,0),0)</f>
        <v/>
      </c>
      <c r="X11" s="17">
        <f>IF(AND(18&gt;=E11,OR(F11="",18&lt;=F11)),(D11*(1+assumptions!$G$76)^1/12*(1+assumptions!$G$70+assumptions!$G$71+IF(18&gt;=assumptions!$G$73,assumptions!$G$72,0))+assumptions!$G$74/12)+IF(18=E11,D11*assumptions!$G$75,0),0)</f>
        <v/>
      </c>
      <c r="Y11" s="17">
        <f>IF(AND(19&gt;=E11,OR(F11="",19&lt;=F11)),(D11*(1+assumptions!$G$76)^1/12*(1+assumptions!$G$70+assumptions!$G$71+IF(19&gt;=assumptions!$G$73,assumptions!$G$72,0))+assumptions!$G$74/12)+IF(19=E11,D11*assumptions!$G$75,0),0)</f>
        <v/>
      </c>
      <c r="Z11" s="17">
        <f>IF(AND(20&gt;=E11,OR(F11="",20&lt;=F11)),(D11*(1+assumptions!$G$76)^1/12*(1+assumptions!$G$70+assumptions!$G$71+IF(20&gt;=assumptions!$G$73,assumptions!$G$72,0))+assumptions!$G$74/12)+IF(20=E11,D11*assumptions!$G$75,0),0)</f>
        <v/>
      </c>
      <c r="AA11" s="17">
        <f>IF(AND(21&gt;=E11,OR(F11="",21&lt;=F11)),(D11*(1+assumptions!$G$76)^1/12*(1+assumptions!$G$70+assumptions!$G$71+IF(21&gt;=assumptions!$G$73,assumptions!$G$72,0))+assumptions!$G$74/12)+IF(21=E11,D11*assumptions!$G$75,0),0)</f>
        <v/>
      </c>
      <c r="AB11" s="17">
        <f>IF(AND(22&gt;=E11,OR(F11="",22&lt;=F11)),(D11*(1+assumptions!$G$76)^1/12*(1+assumptions!$G$70+assumptions!$G$71+IF(22&gt;=assumptions!$G$73,assumptions!$G$72,0))+assumptions!$G$74/12)+IF(22=E11,D11*assumptions!$G$75,0),0)</f>
        <v/>
      </c>
      <c r="AC11" s="17">
        <f>IF(AND(23&gt;=E11,OR(F11="",23&lt;=F11)),(D11*(1+assumptions!$G$76)^1/12*(1+assumptions!$G$70+assumptions!$G$71+IF(23&gt;=assumptions!$G$73,assumptions!$G$72,0))+assumptions!$G$74/12)+IF(23=E11,D11*assumptions!$G$75,0),0)</f>
        <v/>
      </c>
      <c r="AD11" s="17">
        <f>IF(AND(24&gt;=E11,OR(F11="",24&lt;=F11)),(D11*(1+assumptions!$G$76)^1/12*(1+assumptions!$G$70+assumptions!$G$71+IF(24&gt;=assumptions!$G$73,assumptions!$G$72,0))+assumptions!$G$74/12)+IF(24=E11,D11*assumptions!$G$75,0),0)</f>
        <v/>
      </c>
      <c r="AE11" s="17">
        <f>IF(AND(25&gt;=E11,OR(F11="",25&lt;=F11)),(D11*(1+assumptions!$G$76)^2/12*(1+assumptions!$G$70+assumptions!$G$71+IF(25&gt;=assumptions!$G$73,assumptions!$G$72,0))+assumptions!$G$74/12)+IF(25=E11,D11*assumptions!$G$75,0),0)</f>
        <v/>
      </c>
      <c r="AF11" s="17">
        <f>IF(AND(26&gt;=E11,OR(F11="",26&lt;=F11)),(D11*(1+assumptions!$G$76)^2/12*(1+assumptions!$G$70+assumptions!$G$71+IF(26&gt;=assumptions!$G$73,assumptions!$G$72,0))+assumptions!$G$74/12)+IF(26=E11,D11*assumptions!$G$75,0),0)</f>
        <v/>
      </c>
      <c r="AG11" s="17">
        <f>IF(AND(27&gt;=E11,OR(F11="",27&lt;=F11)),(D11*(1+assumptions!$G$76)^2/12*(1+assumptions!$G$70+assumptions!$G$71+IF(27&gt;=assumptions!$G$73,assumptions!$G$72,0))+assumptions!$G$74/12)+IF(27=E11,D11*assumptions!$G$75,0),0)</f>
        <v/>
      </c>
      <c r="AH11" s="17">
        <f>IF(AND(28&gt;=E11,OR(F11="",28&lt;=F11)),(D11*(1+assumptions!$G$76)^2/12*(1+assumptions!$G$70+assumptions!$G$71+IF(28&gt;=assumptions!$G$73,assumptions!$G$72,0))+assumptions!$G$74/12)+IF(28=E11,D11*assumptions!$G$75,0),0)</f>
        <v/>
      </c>
      <c r="AI11" s="17">
        <f>IF(AND(29&gt;=E11,OR(F11="",29&lt;=F11)),(D11*(1+assumptions!$G$76)^2/12*(1+assumptions!$G$70+assumptions!$G$71+IF(29&gt;=assumptions!$G$73,assumptions!$G$72,0))+assumptions!$G$74/12)+IF(29=E11,D11*assumptions!$G$75,0),0)</f>
        <v/>
      </c>
      <c r="AJ11" s="17">
        <f>IF(AND(30&gt;=E11,OR(F11="",30&lt;=F11)),(D11*(1+assumptions!$G$76)^2/12*(1+assumptions!$G$70+assumptions!$G$71+IF(30&gt;=assumptions!$G$73,assumptions!$G$72,0))+assumptions!$G$74/12)+IF(30=E11,D11*assumptions!$G$75,0),0)</f>
        <v/>
      </c>
      <c r="AK11" s="17">
        <f>IF(AND(31&gt;=E11,OR(F11="",31&lt;=F11)),(D11*(1+assumptions!$G$76)^2/12*(1+assumptions!$G$70+assumptions!$G$71+IF(31&gt;=assumptions!$G$73,assumptions!$G$72,0))+assumptions!$G$74/12)+IF(31=E11,D11*assumptions!$G$75,0),0)</f>
        <v/>
      </c>
      <c r="AL11" s="17">
        <f>IF(AND(32&gt;=E11,OR(F11="",32&lt;=F11)),(D11*(1+assumptions!$G$76)^2/12*(1+assumptions!$G$70+assumptions!$G$71+IF(32&gt;=assumptions!$G$73,assumptions!$G$72,0))+assumptions!$G$74/12)+IF(32=E11,D11*assumptions!$G$75,0),0)</f>
        <v/>
      </c>
      <c r="AM11" s="17">
        <f>IF(AND(33&gt;=E11,OR(F11="",33&lt;=F11)),(D11*(1+assumptions!$G$76)^2/12*(1+assumptions!$G$70+assumptions!$G$71+IF(33&gt;=assumptions!$G$73,assumptions!$G$72,0))+assumptions!$G$74/12)+IF(33=E11,D11*assumptions!$G$75,0),0)</f>
        <v/>
      </c>
      <c r="AN11" s="17">
        <f>IF(AND(34&gt;=E11,OR(F11="",34&lt;=F11)),(D11*(1+assumptions!$G$76)^2/12*(1+assumptions!$G$70+assumptions!$G$71+IF(34&gt;=assumptions!$G$73,assumptions!$G$72,0))+assumptions!$G$74/12)+IF(34=E11,D11*assumptions!$G$75,0),0)</f>
        <v/>
      </c>
      <c r="AO11" s="17">
        <f>IF(AND(35&gt;=E11,OR(F11="",35&lt;=F11)),(D11*(1+assumptions!$G$76)^2/12*(1+assumptions!$G$70+assumptions!$G$71+IF(35&gt;=assumptions!$G$73,assumptions!$G$72,0))+assumptions!$G$74/12)+IF(35=E11,D11*assumptions!$G$75,0),0)</f>
        <v/>
      </c>
      <c r="AP11" s="17">
        <f>IF(AND(36&gt;=E11,OR(F11="",36&lt;=F11)),(D11*(1+assumptions!$G$76)^2/12*(1+assumptions!$G$70+assumptions!$G$71+IF(36&gt;=assumptions!$G$73,assumptions!$G$72,0))+assumptions!$G$74/12)+IF(36=E11,D11*assumptions!$G$75,0),0)</f>
        <v/>
      </c>
      <c r="AQ11" s="17">
        <f>IF(AND(37&gt;=E11,OR(F11="",37&lt;=F11)),(D11*(1+assumptions!$G$76)^3/12*(1+assumptions!$G$70+assumptions!$G$71+IF(37&gt;=assumptions!$G$73,assumptions!$G$72,0))+assumptions!$G$74/12)+IF(37=E11,D11*assumptions!$G$75,0),0)</f>
        <v/>
      </c>
      <c r="AR11" s="17">
        <f>IF(AND(38&gt;=E11,OR(F11="",38&lt;=F11)),(D11*(1+assumptions!$G$76)^3/12*(1+assumptions!$G$70+assumptions!$G$71+IF(38&gt;=assumptions!$G$73,assumptions!$G$72,0))+assumptions!$G$74/12)+IF(38=E11,D11*assumptions!$G$75,0),0)</f>
        <v/>
      </c>
      <c r="AS11" s="17">
        <f>IF(AND(39&gt;=E11,OR(F11="",39&lt;=F11)),(D11*(1+assumptions!$G$76)^3/12*(1+assumptions!$G$70+assumptions!$G$71+IF(39&gt;=assumptions!$G$73,assumptions!$G$72,0))+assumptions!$G$74/12)+IF(39=E11,D11*assumptions!$G$75,0),0)</f>
        <v/>
      </c>
      <c r="AT11" s="17">
        <f>IF(AND(40&gt;=E11,OR(F11="",40&lt;=F11)),(D11*(1+assumptions!$G$76)^3/12*(1+assumptions!$G$70+assumptions!$G$71+IF(40&gt;=assumptions!$G$73,assumptions!$G$72,0))+assumptions!$G$74/12)+IF(40=E11,D11*assumptions!$G$75,0),0)</f>
        <v/>
      </c>
      <c r="AU11" s="17">
        <f>IF(AND(41&gt;=E11,OR(F11="",41&lt;=F11)),(D11*(1+assumptions!$G$76)^3/12*(1+assumptions!$G$70+assumptions!$G$71+IF(41&gt;=assumptions!$G$73,assumptions!$G$72,0))+assumptions!$G$74/12)+IF(41=E11,D11*assumptions!$G$75,0),0)</f>
        <v/>
      </c>
      <c r="AV11" s="17">
        <f>IF(AND(42&gt;=E11,OR(F11="",42&lt;=F11)),(D11*(1+assumptions!$G$76)^3/12*(1+assumptions!$G$70+assumptions!$G$71+IF(42&gt;=assumptions!$G$73,assumptions!$G$72,0))+assumptions!$G$74/12)+IF(42=E11,D11*assumptions!$G$75,0),0)</f>
        <v/>
      </c>
      <c r="AW11" s="17">
        <f>IF(AND(43&gt;=E11,OR(F11="",43&lt;=F11)),(D11*(1+assumptions!$G$76)^3/12*(1+assumptions!$G$70+assumptions!$G$71+IF(43&gt;=assumptions!$G$73,assumptions!$G$72,0))+assumptions!$G$74/12)+IF(43=E11,D11*assumptions!$G$75,0),0)</f>
        <v/>
      </c>
      <c r="AX11" s="17">
        <f>IF(AND(44&gt;=E11,OR(F11="",44&lt;=F11)),(D11*(1+assumptions!$G$76)^3/12*(1+assumptions!$G$70+assumptions!$G$71+IF(44&gt;=assumptions!$G$73,assumptions!$G$72,0))+assumptions!$G$74/12)+IF(44=E11,D11*assumptions!$G$75,0),0)</f>
        <v/>
      </c>
      <c r="AY11" s="17">
        <f>IF(AND(45&gt;=E11,OR(F11="",45&lt;=F11)),(D11*(1+assumptions!$G$76)^3/12*(1+assumptions!$G$70+assumptions!$G$71+IF(45&gt;=assumptions!$G$73,assumptions!$G$72,0))+assumptions!$G$74/12)+IF(45=E11,D11*assumptions!$G$75,0),0)</f>
        <v/>
      </c>
      <c r="AZ11" s="17">
        <f>IF(AND(46&gt;=E11,OR(F11="",46&lt;=F11)),(D11*(1+assumptions!$G$76)^3/12*(1+assumptions!$G$70+assumptions!$G$71+IF(46&gt;=assumptions!$G$73,assumptions!$G$72,0))+assumptions!$G$74/12)+IF(46=E11,D11*assumptions!$G$75,0),0)</f>
        <v/>
      </c>
      <c r="BA11" s="17">
        <f>IF(AND(47&gt;=E11,OR(F11="",47&lt;=F11)),(D11*(1+assumptions!$G$76)^3/12*(1+assumptions!$G$70+assumptions!$G$71+IF(47&gt;=assumptions!$G$73,assumptions!$G$72,0))+assumptions!$G$74/12)+IF(47=E11,D11*assumptions!$G$75,0),0)</f>
        <v/>
      </c>
      <c r="BB11" s="17">
        <f>IF(AND(48&gt;=E11,OR(F11="",48&lt;=F11)),(D11*(1+assumptions!$G$76)^3/12*(1+assumptions!$G$70+assumptions!$G$71+IF(48&gt;=assumptions!$G$73,assumptions!$G$72,0))+assumptions!$G$74/12)+IF(48=E11,D11*assumptions!$G$75,0),0)</f>
        <v/>
      </c>
      <c r="BC11" s="17">
        <f>IF(AND(49&gt;=E11,OR(F11="",49&lt;=F11)),(D11*(1+assumptions!$G$76)^4/12*(1+assumptions!$G$70+assumptions!$G$71+IF(49&gt;=assumptions!$G$73,assumptions!$G$72,0))+assumptions!$G$74/12)+IF(49=E11,D11*assumptions!$G$75,0),0)</f>
        <v/>
      </c>
      <c r="BD11" s="17">
        <f>IF(AND(50&gt;=E11,OR(F11="",50&lt;=F11)),(D11*(1+assumptions!$G$76)^4/12*(1+assumptions!$G$70+assumptions!$G$71+IF(50&gt;=assumptions!$G$73,assumptions!$G$72,0))+assumptions!$G$74/12)+IF(50=E11,D11*assumptions!$G$75,0),0)</f>
        <v/>
      </c>
      <c r="BE11" s="17">
        <f>IF(AND(51&gt;=E11,OR(F11="",51&lt;=F11)),(D11*(1+assumptions!$G$76)^4/12*(1+assumptions!$G$70+assumptions!$G$71+IF(51&gt;=assumptions!$G$73,assumptions!$G$72,0))+assumptions!$G$74/12)+IF(51=E11,D11*assumptions!$G$75,0),0)</f>
        <v/>
      </c>
      <c r="BF11" s="17">
        <f>IF(AND(52&gt;=E11,OR(F11="",52&lt;=F11)),(D11*(1+assumptions!$G$76)^4/12*(1+assumptions!$G$70+assumptions!$G$71+IF(52&gt;=assumptions!$G$73,assumptions!$G$72,0))+assumptions!$G$74/12)+IF(52=E11,D11*assumptions!$G$75,0),0)</f>
        <v/>
      </c>
      <c r="BG11" s="17">
        <f>IF(AND(53&gt;=E11,OR(F11="",53&lt;=F11)),(D11*(1+assumptions!$G$76)^4/12*(1+assumptions!$G$70+assumptions!$G$71+IF(53&gt;=assumptions!$G$73,assumptions!$G$72,0))+assumptions!$G$74/12)+IF(53=E11,D11*assumptions!$G$75,0),0)</f>
        <v/>
      </c>
      <c r="BH11" s="17">
        <f>IF(AND(54&gt;=E11,OR(F11="",54&lt;=F11)),(D11*(1+assumptions!$G$76)^4/12*(1+assumptions!$G$70+assumptions!$G$71+IF(54&gt;=assumptions!$G$73,assumptions!$G$72,0))+assumptions!$G$74/12)+IF(54=E11,D11*assumptions!$G$75,0),0)</f>
        <v/>
      </c>
      <c r="BI11" s="17">
        <f>IF(AND(55&gt;=E11,OR(F11="",55&lt;=F11)),(D11*(1+assumptions!$G$76)^4/12*(1+assumptions!$G$70+assumptions!$G$71+IF(55&gt;=assumptions!$G$73,assumptions!$G$72,0))+assumptions!$G$74/12)+IF(55=E11,D11*assumptions!$G$75,0),0)</f>
        <v/>
      </c>
      <c r="BJ11" s="17">
        <f>IF(AND(56&gt;=E11,OR(F11="",56&lt;=F11)),(D11*(1+assumptions!$G$76)^4/12*(1+assumptions!$G$70+assumptions!$G$71+IF(56&gt;=assumptions!$G$73,assumptions!$G$72,0))+assumptions!$G$74/12)+IF(56=E11,D11*assumptions!$G$75,0),0)</f>
        <v/>
      </c>
      <c r="BK11" s="17">
        <f>IF(AND(57&gt;=E11,OR(F11="",57&lt;=F11)),(D11*(1+assumptions!$G$76)^4/12*(1+assumptions!$G$70+assumptions!$G$71+IF(57&gt;=assumptions!$G$73,assumptions!$G$72,0))+assumptions!$G$74/12)+IF(57=E11,D11*assumptions!$G$75,0),0)</f>
        <v/>
      </c>
      <c r="BL11" s="17">
        <f>IF(AND(58&gt;=E11,OR(F11="",58&lt;=F11)),(D11*(1+assumptions!$G$76)^4/12*(1+assumptions!$G$70+assumptions!$G$71+IF(58&gt;=assumptions!$G$73,assumptions!$G$72,0))+assumptions!$G$74/12)+IF(58=E11,D11*assumptions!$G$75,0),0)</f>
        <v/>
      </c>
      <c r="BM11" s="17">
        <f>IF(AND(59&gt;=E11,OR(F11="",59&lt;=F11)),(D11*(1+assumptions!$G$76)^4/12*(1+assumptions!$G$70+assumptions!$G$71+IF(59&gt;=assumptions!$G$73,assumptions!$G$72,0))+assumptions!$G$74/12)+IF(59=E11,D11*assumptions!$G$75,0),0)</f>
        <v/>
      </c>
      <c r="BN11" s="17">
        <f>IF(AND(60&gt;=E11,OR(F11="",60&lt;=F11)),(D11*(1+assumptions!$G$76)^4/12*(1+assumptions!$G$70+assumptions!$G$71+IF(60&gt;=assumptions!$G$73,assumptions!$G$72,0))+assumptions!$G$74/12)+IF(60=E11,D11*assumptions!$G$75,0),0)</f>
        <v/>
      </c>
    </row>
    <row r="12">
      <c r="A12" s="5" t="n">
        <v>9</v>
      </c>
      <c r="B12" s="5" t="inlineStr">
        <is>
          <t>Head of Operator Supply</t>
        </is>
      </c>
      <c r="C12" s="5" t="inlineStr">
        <is>
          <t>supply</t>
        </is>
      </c>
      <c r="D12" s="15" t="n">
        <v>80000</v>
      </c>
      <c r="E12" s="32" t="n">
        <v>6</v>
      </c>
      <c r="F12" s="32" t="n"/>
      <c r="G12" s="17">
        <f>IF(AND(1&gt;=E12,OR(F12="",1&lt;=F12)),(D12*(1+assumptions!$G$76)^0/12*(1+assumptions!$G$70+assumptions!$G$71+IF(1&gt;=assumptions!$G$73,assumptions!$G$72,0))+assumptions!$G$74/12)+IF(1=E12,D12*assumptions!$G$75,0),0)</f>
        <v/>
      </c>
      <c r="H12" s="17">
        <f>IF(AND(2&gt;=E12,OR(F12="",2&lt;=F12)),(D12*(1+assumptions!$G$76)^0/12*(1+assumptions!$G$70+assumptions!$G$71+IF(2&gt;=assumptions!$G$73,assumptions!$G$72,0))+assumptions!$G$74/12)+IF(2=E12,D12*assumptions!$G$75,0),0)</f>
        <v/>
      </c>
      <c r="I12" s="17">
        <f>IF(AND(3&gt;=E12,OR(F12="",3&lt;=F12)),(D12*(1+assumptions!$G$76)^0/12*(1+assumptions!$G$70+assumptions!$G$71+IF(3&gt;=assumptions!$G$73,assumptions!$G$72,0))+assumptions!$G$74/12)+IF(3=E12,D12*assumptions!$G$75,0),0)</f>
        <v/>
      </c>
      <c r="J12" s="17">
        <f>IF(AND(4&gt;=E12,OR(F12="",4&lt;=F12)),(D12*(1+assumptions!$G$76)^0/12*(1+assumptions!$G$70+assumptions!$G$71+IF(4&gt;=assumptions!$G$73,assumptions!$G$72,0))+assumptions!$G$74/12)+IF(4=E12,D12*assumptions!$G$75,0),0)</f>
        <v/>
      </c>
      <c r="K12" s="17">
        <f>IF(AND(5&gt;=E12,OR(F12="",5&lt;=F12)),(D12*(1+assumptions!$G$76)^0/12*(1+assumptions!$G$70+assumptions!$G$71+IF(5&gt;=assumptions!$G$73,assumptions!$G$72,0))+assumptions!$G$74/12)+IF(5=E12,D12*assumptions!$G$75,0),0)</f>
        <v/>
      </c>
      <c r="L12" s="17">
        <f>IF(AND(6&gt;=E12,OR(F12="",6&lt;=F12)),(D12*(1+assumptions!$G$76)^0/12*(1+assumptions!$G$70+assumptions!$G$71+IF(6&gt;=assumptions!$G$73,assumptions!$G$72,0))+assumptions!$G$74/12)+IF(6=E12,D12*assumptions!$G$75,0),0)</f>
        <v/>
      </c>
      <c r="M12" s="17">
        <f>IF(AND(7&gt;=E12,OR(F12="",7&lt;=F12)),(D12*(1+assumptions!$G$76)^0/12*(1+assumptions!$G$70+assumptions!$G$71+IF(7&gt;=assumptions!$G$73,assumptions!$G$72,0))+assumptions!$G$74/12)+IF(7=E12,D12*assumptions!$G$75,0),0)</f>
        <v/>
      </c>
      <c r="N12" s="17">
        <f>IF(AND(8&gt;=E12,OR(F12="",8&lt;=F12)),(D12*(1+assumptions!$G$76)^0/12*(1+assumptions!$G$70+assumptions!$G$71+IF(8&gt;=assumptions!$G$73,assumptions!$G$72,0))+assumptions!$G$74/12)+IF(8=E12,D12*assumptions!$G$75,0),0)</f>
        <v/>
      </c>
      <c r="O12" s="17">
        <f>IF(AND(9&gt;=E12,OR(F12="",9&lt;=F12)),(D12*(1+assumptions!$G$76)^0/12*(1+assumptions!$G$70+assumptions!$G$71+IF(9&gt;=assumptions!$G$73,assumptions!$G$72,0))+assumptions!$G$74/12)+IF(9=E12,D12*assumptions!$G$75,0),0)</f>
        <v/>
      </c>
      <c r="P12" s="17">
        <f>IF(AND(10&gt;=E12,OR(F12="",10&lt;=F12)),(D12*(1+assumptions!$G$76)^0/12*(1+assumptions!$G$70+assumptions!$G$71+IF(10&gt;=assumptions!$G$73,assumptions!$G$72,0))+assumptions!$G$74/12)+IF(10=E12,D12*assumptions!$G$75,0),0)</f>
        <v/>
      </c>
      <c r="Q12" s="17">
        <f>IF(AND(11&gt;=E12,OR(F12="",11&lt;=F12)),(D12*(1+assumptions!$G$76)^0/12*(1+assumptions!$G$70+assumptions!$G$71+IF(11&gt;=assumptions!$G$73,assumptions!$G$72,0))+assumptions!$G$74/12)+IF(11=E12,D12*assumptions!$G$75,0),0)</f>
        <v/>
      </c>
      <c r="R12" s="17">
        <f>IF(AND(12&gt;=E12,OR(F12="",12&lt;=F12)),(D12*(1+assumptions!$G$76)^0/12*(1+assumptions!$G$70+assumptions!$G$71+IF(12&gt;=assumptions!$G$73,assumptions!$G$72,0))+assumptions!$G$74/12)+IF(12=E12,D12*assumptions!$G$75,0),0)</f>
        <v/>
      </c>
      <c r="S12" s="17">
        <f>IF(AND(13&gt;=E12,OR(F12="",13&lt;=F12)),(D12*(1+assumptions!$G$76)^1/12*(1+assumptions!$G$70+assumptions!$G$71+IF(13&gt;=assumptions!$G$73,assumptions!$G$72,0))+assumptions!$G$74/12)+IF(13=E12,D12*assumptions!$G$75,0),0)</f>
        <v/>
      </c>
      <c r="T12" s="17">
        <f>IF(AND(14&gt;=E12,OR(F12="",14&lt;=F12)),(D12*(1+assumptions!$G$76)^1/12*(1+assumptions!$G$70+assumptions!$G$71+IF(14&gt;=assumptions!$G$73,assumptions!$G$72,0))+assumptions!$G$74/12)+IF(14=E12,D12*assumptions!$G$75,0),0)</f>
        <v/>
      </c>
      <c r="U12" s="17">
        <f>IF(AND(15&gt;=E12,OR(F12="",15&lt;=F12)),(D12*(1+assumptions!$G$76)^1/12*(1+assumptions!$G$70+assumptions!$G$71+IF(15&gt;=assumptions!$G$73,assumptions!$G$72,0))+assumptions!$G$74/12)+IF(15=E12,D12*assumptions!$G$75,0),0)</f>
        <v/>
      </c>
      <c r="V12" s="17">
        <f>IF(AND(16&gt;=E12,OR(F12="",16&lt;=F12)),(D12*(1+assumptions!$G$76)^1/12*(1+assumptions!$G$70+assumptions!$G$71+IF(16&gt;=assumptions!$G$73,assumptions!$G$72,0))+assumptions!$G$74/12)+IF(16=E12,D12*assumptions!$G$75,0),0)</f>
        <v/>
      </c>
      <c r="W12" s="17">
        <f>IF(AND(17&gt;=E12,OR(F12="",17&lt;=F12)),(D12*(1+assumptions!$G$76)^1/12*(1+assumptions!$G$70+assumptions!$G$71+IF(17&gt;=assumptions!$G$73,assumptions!$G$72,0))+assumptions!$G$74/12)+IF(17=E12,D12*assumptions!$G$75,0),0)</f>
        <v/>
      </c>
      <c r="X12" s="17">
        <f>IF(AND(18&gt;=E12,OR(F12="",18&lt;=F12)),(D12*(1+assumptions!$G$76)^1/12*(1+assumptions!$G$70+assumptions!$G$71+IF(18&gt;=assumptions!$G$73,assumptions!$G$72,0))+assumptions!$G$74/12)+IF(18=E12,D12*assumptions!$G$75,0),0)</f>
        <v/>
      </c>
      <c r="Y12" s="17">
        <f>IF(AND(19&gt;=E12,OR(F12="",19&lt;=F12)),(D12*(1+assumptions!$G$76)^1/12*(1+assumptions!$G$70+assumptions!$G$71+IF(19&gt;=assumptions!$G$73,assumptions!$G$72,0))+assumptions!$G$74/12)+IF(19=E12,D12*assumptions!$G$75,0),0)</f>
        <v/>
      </c>
      <c r="Z12" s="17">
        <f>IF(AND(20&gt;=E12,OR(F12="",20&lt;=F12)),(D12*(1+assumptions!$G$76)^1/12*(1+assumptions!$G$70+assumptions!$G$71+IF(20&gt;=assumptions!$G$73,assumptions!$G$72,0))+assumptions!$G$74/12)+IF(20=E12,D12*assumptions!$G$75,0),0)</f>
        <v/>
      </c>
      <c r="AA12" s="17">
        <f>IF(AND(21&gt;=E12,OR(F12="",21&lt;=F12)),(D12*(1+assumptions!$G$76)^1/12*(1+assumptions!$G$70+assumptions!$G$71+IF(21&gt;=assumptions!$G$73,assumptions!$G$72,0))+assumptions!$G$74/12)+IF(21=E12,D12*assumptions!$G$75,0),0)</f>
        <v/>
      </c>
      <c r="AB12" s="17">
        <f>IF(AND(22&gt;=E12,OR(F12="",22&lt;=F12)),(D12*(1+assumptions!$G$76)^1/12*(1+assumptions!$G$70+assumptions!$G$71+IF(22&gt;=assumptions!$G$73,assumptions!$G$72,0))+assumptions!$G$74/12)+IF(22=E12,D12*assumptions!$G$75,0),0)</f>
        <v/>
      </c>
      <c r="AC12" s="17">
        <f>IF(AND(23&gt;=E12,OR(F12="",23&lt;=F12)),(D12*(1+assumptions!$G$76)^1/12*(1+assumptions!$G$70+assumptions!$G$71+IF(23&gt;=assumptions!$G$73,assumptions!$G$72,0))+assumptions!$G$74/12)+IF(23=E12,D12*assumptions!$G$75,0),0)</f>
        <v/>
      </c>
      <c r="AD12" s="17">
        <f>IF(AND(24&gt;=E12,OR(F12="",24&lt;=F12)),(D12*(1+assumptions!$G$76)^1/12*(1+assumptions!$G$70+assumptions!$G$71+IF(24&gt;=assumptions!$G$73,assumptions!$G$72,0))+assumptions!$G$74/12)+IF(24=E12,D12*assumptions!$G$75,0),0)</f>
        <v/>
      </c>
      <c r="AE12" s="17">
        <f>IF(AND(25&gt;=E12,OR(F12="",25&lt;=F12)),(D12*(1+assumptions!$G$76)^2/12*(1+assumptions!$G$70+assumptions!$G$71+IF(25&gt;=assumptions!$G$73,assumptions!$G$72,0))+assumptions!$G$74/12)+IF(25=E12,D12*assumptions!$G$75,0),0)</f>
        <v/>
      </c>
      <c r="AF12" s="17">
        <f>IF(AND(26&gt;=E12,OR(F12="",26&lt;=F12)),(D12*(1+assumptions!$G$76)^2/12*(1+assumptions!$G$70+assumptions!$G$71+IF(26&gt;=assumptions!$G$73,assumptions!$G$72,0))+assumptions!$G$74/12)+IF(26=E12,D12*assumptions!$G$75,0),0)</f>
        <v/>
      </c>
      <c r="AG12" s="17">
        <f>IF(AND(27&gt;=E12,OR(F12="",27&lt;=F12)),(D12*(1+assumptions!$G$76)^2/12*(1+assumptions!$G$70+assumptions!$G$71+IF(27&gt;=assumptions!$G$73,assumptions!$G$72,0))+assumptions!$G$74/12)+IF(27=E12,D12*assumptions!$G$75,0),0)</f>
        <v/>
      </c>
      <c r="AH12" s="17">
        <f>IF(AND(28&gt;=E12,OR(F12="",28&lt;=F12)),(D12*(1+assumptions!$G$76)^2/12*(1+assumptions!$G$70+assumptions!$G$71+IF(28&gt;=assumptions!$G$73,assumptions!$G$72,0))+assumptions!$G$74/12)+IF(28=E12,D12*assumptions!$G$75,0),0)</f>
        <v/>
      </c>
      <c r="AI12" s="17">
        <f>IF(AND(29&gt;=E12,OR(F12="",29&lt;=F12)),(D12*(1+assumptions!$G$76)^2/12*(1+assumptions!$G$70+assumptions!$G$71+IF(29&gt;=assumptions!$G$73,assumptions!$G$72,0))+assumptions!$G$74/12)+IF(29=E12,D12*assumptions!$G$75,0),0)</f>
        <v/>
      </c>
      <c r="AJ12" s="17">
        <f>IF(AND(30&gt;=E12,OR(F12="",30&lt;=F12)),(D12*(1+assumptions!$G$76)^2/12*(1+assumptions!$G$70+assumptions!$G$71+IF(30&gt;=assumptions!$G$73,assumptions!$G$72,0))+assumptions!$G$74/12)+IF(30=E12,D12*assumptions!$G$75,0),0)</f>
        <v/>
      </c>
      <c r="AK12" s="17">
        <f>IF(AND(31&gt;=E12,OR(F12="",31&lt;=F12)),(D12*(1+assumptions!$G$76)^2/12*(1+assumptions!$G$70+assumptions!$G$71+IF(31&gt;=assumptions!$G$73,assumptions!$G$72,0))+assumptions!$G$74/12)+IF(31=E12,D12*assumptions!$G$75,0),0)</f>
        <v/>
      </c>
      <c r="AL12" s="17">
        <f>IF(AND(32&gt;=E12,OR(F12="",32&lt;=F12)),(D12*(1+assumptions!$G$76)^2/12*(1+assumptions!$G$70+assumptions!$G$71+IF(32&gt;=assumptions!$G$73,assumptions!$G$72,0))+assumptions!$G$74/12)+IF(32=E12,D12*assumptions!$G$75,0),0)</f>
        <v/>
      </c>
      <c r="AM12" s="17">
        <f>IF(AND(33&gt;=E12,OR(F12="",33&lt;=F12)),(D12*(1+assumptions!$G$76)^2/12*(1+assumptions!$G$70+assumptions!$G$71+IF(33&gt;=assumptions!$G$73,assumptions!$G$72,0))+assumptions!$G$74/12)+IF(33=E12,D12*assumptions!$G$75,0),0)</f>
        <v/>
      </c>
      <c r="AN12" s="17">
        <f>IF(AND(34&gt;=E12,OR(F12="",34&lt;=F12)),(D12*(1+assumptions!$G$76)^2/12*(1+assumptions!$G$70+assumptions!$G$71+IF(34&gt;=assumptions!$G$73,assumptions!$G$72,0))+assumptions!$G$74/12)+IF(34=E12,D12*assumptions!$G$75,0),0)</f>
        <v/>
      </c>
      <c r="AO12" s="17">
        <f>IF(AND(35&gt;=E12,OR(F12="",35&lt;=F12)),(D12*(1+assumptions!$G$76)^2/12*(1+assumptions!$G$70+assumptions!$G$71+IF(35&gt;=assumptions!$G$73,assumptions!$G$72,0))+assumptions!$G$74/12)+IF(35=E12,D12*assumptions!$G$75,0),0)</f>
        <v/>
      </c>
      <c r="AP12" s="17">
        <f>IF(AND(36&gt;=E12,OR(F12="",36&lt;=F12)),(D12*(1+assumptions!$G$76)^2/12*(1+assumptions!$G$70+assumptions!$G$71+IF(36&gt;=assumptions!$G$73,assumptions!$G$72,0))+assumptions!$G$74/12)+IF(36=E12,D12*assumptions!$G$75,0),0)</f>
        <v/>
      </c>
      <c r="AQ12" s="17">
        <f>IF(AND(37&gt;=E12,OR(F12="",37&lt;=F12)),(D12*(1+assumptions!$G$76)^3/12*(1+assumptions!$G$70+assumptions!$G$71+IF(37&gt;=assumptions!$G$73,assumptions!$G$72,0))+assumptions!$G$74/12)+IF(37=E12,D12*assumptions!$G$75,0),0)</f>
        <v/>
      </c>
      <c r="AR12" s="17">
        <f>IF(AND(38&gt;=E12,OR(F12="",38&lt;=F12)),(D12*(1+assumptions!$G$76)^3/12*(1+assumptions!$G$70+assumptions!$G$71+IF(38&gt;=assumptions!$G$73,assumptions!$G$72,0))+assumptions!$G$74/12)+IF(38=E12,D12*assumptions!$G$75,0),0)</f>
        <v/>
      </c>
      <c r="AS12" s="17">
        <f>IF(AND(39&gt;=E12,OR(F12="",39&lt;=F12)),(D12*(1+assumptions!$G$76)^3/12*(1+assumptions!$G$70+assumptions!$G$71+IF(39&gt;=assumptions!$G$73,assumptions!$G$72,0))+assumptions!$G$74/12)+IF(39=E12,D12*assumptions!$G$75,0),0)</f>
        <v/>
      </c>
      <c r="AT12" s="17">
        <f>IF(AND(40&gt;=E12,OR(F12="",40&lt;=F12)),(D12*(1+assumptions!$G$76)^3/12*(1+assumptions!$G$70+assumptions!$G$71+IF(40&gt;=assumptions!$G$73,assumptions!$G$72,0))+assumptions!$G$74/12)+IF(40=E12,D12*assumptions!$G$75,0),0)</f>
        <v/>
      </c>
      <c r="AU12" s="17">
        <f>IF(AND(41&gt;=E12,OR(F12="",41&lt;=F12)),(D12*(1+assumptions!$G$76)^3/12*(1+assumptions!$G$70+assumptions!$G$71+IF(41&gt;=assumptions!$G$73,assumptions!$G$72,0))+assumptions!$G$74/12)+IF(41=E12,D12*assumptions!$G$75,0),0)</f>
        <v/>
      </c>
      <c r="AV12" s="17">
        <f>IF(AND(42&gt;=E12,OR(F12="",42&lt;=F12)),(D12*(1+assumptions!$G$76)^3/12*(1+assumptions!$G$70+assumptions!$G$71+IF(42&gt;=assumptions!$G$73,assumptions!$G$72,0))+assumptions!$G$74/12)+IF(42=E12,D12*assumptions!$G$75,0),0)</f>
        <v/>
      </c>
      <c r="AW12" s="17">
        <f>IF(AND(43&gt;=E12,OR(F12="",43&lt;=F12)),(D12*(1+assumptions!$G$76)^3/12*(1+assumptions!$G$70+assumptions!$G$71+IF(43&gt;=assumptions!$G$73,assumptions!$G$72,0))+assumptions!$G$74/12)+IF(43=E12,D12*assumptions!$G$75,0),0)</f>
        <v/>
      </c>
      <c r="AX12" s="17">
        <f>IF(AND(44&gt;=E12,OR(F12="",44&lt;=F12)),(D12*(1+assumptions!$G$76)^3/12*(1+assumptions!$G$70+assumptions!$G$71+IF(44&gt;=assumptions!$G$73,assumptions!$G$72,0))+assumptions!$G$74/12)+IF(44=E12,D12*assumptions!$G$75,0),0)</f>
        <v/>
      </c>
      <c r="AY12" s="17">
        <f>IF(AND(45&gt;=E12,OR(F12="",45&lt;=F12)),(D12*(1+assumptions!$G$76)^3/12*(1+assumptions!$G$70+assumptions!$G$71+IF(45&gt;=assumptions!$G$73,assumptions!$G$72,0))+assumptions!$G$74/12)+IF(45=E12,D12*assumptions!$G$75,0),0)</f>
        <v/>
      </c>
      <c r="AZ12" s="17">
        <f>IF(AND(46&gt;=E12,OR(F12="",46&lt;=F12)),(D12*(1+assumptions!$G$76)^3/12*(1+assumptions!$G$70+assumptions!$G$71+IF(46&gt;=assumptions!$G$73,assumptions!$G$72,0))+assumptions!$G$74/12)+IF(46=E12,D12*assumptions!$G$75,0),0)</f>
        <v/>
      </c>
      <c r="BA12" s="17">
        <f>IF(AND(47&gt;=E12,OR(F12="",47&lt;=F12)),(D12*(1+assumptions!$G$76)^3/12*(1+assumptions!$G$70+assumptions!$G$71+IF(47&gt;=assumptions!$G$73,assumptions!$G$72,0))+assumptions!$G$74/12)+IF(47=E12,D12*assumptions!$G$75,0),0)</f>
        <v/>
      </c>
      <c r="BB12" s="17">
        <f>IF(AND(48&gt;=E12,OR(F12="",48&lt;=F12)),(D12*(1+assumptions!$G$76)^3/12*(1+assumptions!$G$70+assumptions!$G$71+IF(48&gt;=assumptions!$G$73,assumptions!$G$72,0))+assumptions!$G$74/12)+IF(48=E12,D12*assumptions!$G$75,0),0)</f>
        <v/>
      </c>
      <c r="BC12" s="17">
        <f>IF(AND(49&gt;=E12,OR(F12="",49&lt;=F12)),(D12*(1+assumptions!$G$76)^4/12*(1+assumptions!$G$70+assumptions!$G$71+IF(49&gt;=assumptions!$G$73,assumptions!$G$72,0))+assumptions!$G$74/12)+IF(49=E12,D12*assumptions!$G$75,0),0)</f>
        <v/>
      </c>
      <c r="BD12" s="17">
        <f>IF(AND(50&gt;=E12,OR(F12="",50&lt;=F12)),(D12*(1+assumptions!$G$76)^4/12*(1+assumptions!$G$70+assumptions!$G$71+IF(50&gt;=assumptions!$G$73,assumptions!$G$72,0))+assumptions!$G$74/12)+IF(50=E12,D12*assumptions!$G$75,0),0)</f>
        <v/>
      </c>
      <c r="BE12" s="17">
        <f>IF(AND(51&gt;=E12,OR(F12="",51&lt;=F12)),(D12*(1+assumptions!$G$76)^4/12*(1+assumptions!$G$70+assumptions!$G$71+IF(51&gt;=assumptions!$G$73,assumptions!$G$72,0))+assumptions!$G$74/12)+IF(51=E12,D12*assumptions!$G$75,0),0)</f>
        <v/>
      </c>
      <c r="BF12" s="17">
        <f>IF(AND(52&gt;=E12,OR(F12="",52&lt;=F12)),(D12*(1+assumptions!$G$76)^4/12*(1+assumptions!$G$70+assumptions!$G$71+IF(52&gt;=assumptions!$G$73,assumptions!$G$72,0))+assumptions!$G$74/12)+IF(52=E12,D12*assumptions!$G$75,0),0)</f>
        <v/>
      </c>
      <c r="BG12" s="17">
        <f>IF(AND(53&gt;=E12,OR(F12="",53&lt;=F12)),(D12*(1+assumptions!$G$76)^4/12*(1+assumptions!$G$70+assumptions!$G$71+IF(53&gt;=assumptions!$G$73,assumptions!$G$72,0))+assumptions!$G$74/12)+IF(53=E12,D12*assumptions!$G$75,0),0)</f>
        <v/>
      </c>
      <c r="BH12" s="17">
        <f>IF(AND(54&gt;=E12,OR(F12="",54&lt;=F12)),(D12*(1+assumptions!$G$76)^4/12*(1+assumptions!$G$70+assumptions!$G$71+IF(54&gt;=assumptions!$G$73,assumptions!$G$72,0))+assumptions!$G$74/12)+IF(54=E12,D12*assumptions!$G$75,0),0)</f>
        <v/>
      </c>
      <c r="BI12" s="17">
        <f>IF(AND(55&gt;=E12,OR(F12="",55&lt;=F12)),(D12*(1+assumptions!$G$76)^4/12*(1+assumptions!$G$70+assumptions!$G$71+IF(55&gt;=assumptions!$G$73,assumptions!$G$72,0))+assumptions!$G$74/12)+IF(55=E12,D12*assumptions!$G$75,0),0)</f>
        <v/>
      </c>
      <c r="BJ12" s="17">
        <f>IF(AND(56&gt;=E12,OR(F12="",56&lt;=F12)),(D12*(1+assumptions!$G$76)^4/12*(1+assumptions!$G$70+assumptions!$G$71+IF(56&gt;=assumptions!$G$73,assumptions!$G$72,0))+assumptions!$G$74/12)+IF(56=E12,D12*assumptions!$G$75,0),0)</f>
        <v/>
      </c>
      <c r="BK12" s="17">
        <f>IF(AND(57&gt;=E12,OR(F12="",57&lt;=F12)),(D12*(1+assumptions!$G$76)^4/12*(1+assumptions!$G$70+assumptions!$G$71+IF(57&gt;=assumptions!$G$73,assumptions!$G$72,0))+assumptions!$G$74/12)+IF(57=E12,D12*assumptions!$G$75,0),0)</f>
        <v/>
      </c>
      <c r="BL12" s="17">
        <f>IF(AND(58&gt;=E12,OR(F12="",58&lt;=F12)),(D12*(1+assumptions!$G$76)^4/12*(1+assumptions!$G$70+assumptions!$G$71+IF(58&gt;=assumptions!$G$73,assumptions!$G$72,0))+assumptions!$G$74/12)+IF(58=E12,D12*assumptions!$G$75,0),0)</f>
        <v/>
      </c>
      <c r="BM12" s="17">
        <f>IF(AND(59&gt;=E12,OR(F12="",59&lt;=F12)),(D12*(1+assumptions!$G$76)^4/12*(1+assumptions!$G$70+assumptions!$G$71+IF(59&gt;=assumptions!$G$73,assumptions!$G$72,0))+assumptions!$G$74/12)+IF(59=E12,D12*assumptions!$G$75,0),0)</f>
        <v/>
      </c>
      <c r="BN12" s="17">
        <f>IF(AND(60&gt;=E12,OR(F12="",60&lt;=F12)),(D12*(1+assumptions!$G$76)^4/12*(1+assumptions!$G$70+assumptions!$G$71+IF(60&gt;=assumptions!$G$73,assumptions!$G$72,0))+assumptions!$G$74/12)+IF(60=E12,D12*assumptions!$G$75,0),0)</f>
        <v/>
      </c>
    </row>
    <row r="13">
      <c r="A13" s="5" t="n">
        <v>10</v>
      </c>
      <c r="B13" s="5" t="inlineStr">
        <is>
          <t>Data / ML engineer</t>
        </is>
      </c>
      <c r="C13" s="5" t="inlineStr">
        <is>
          <t>eng</t>
        </is>
      </c>
      <c r="D13" s="15" t="n">
        <v>90000</v>
      </c>
      <c r="E13" s="32" t="n">
        <v>6</v>
      </c>
      <c r="F13" s="32" t="n"/>
      <c r="G13" s="17">
        <f>IF(AND(1&gt;=E13,OR(F13="",1&lt;=F13)),(D13*(1+assumptions!$G$76)^0/12*(1+assumptions!$G$70+assumptions!$G$71+IF(1&gt;=assumptions!$G$73,assumptions!$G$72,0))+assumptions!$G$74/12)+IF(1=E13,D13*assumptions!$G$75,0),0)</f>
        <v/>
      </c>
      <c r="H13" s="17">
        <f>IF(AND(2&gt;=E13,OR(F13="",2&lt;=F13)),(D13*(1+assumptions!$G$76)^0/12*(1+assumptions!$G$70+assumptions!$G$71+IF(2&gt;=assumptions!$G$73,assumptions!$G$72,0))+assumptions!$G$74/12)+IF(2=E13,D13*assumptions!$G$75,0),0)</f>
        <v/>
      </c>
      <c r="I13" s="17">
        <f>IF(AND(3&gt;=E13,OR(F13="",3&lt;=F13)),(D13*(1+assumptions!$G$76)^0/12*(1+assumptions!$G$70+assumptions!$G$71+IF(3&gt;=assumptions!$G$73,assumptions!$G$72,0))+assumptions!$G$74/12)+IF(3=E13,D13*assumptions!$G$75,0),0)</f>
        <v/>
      </c>
      <c r="J13" s="17">
        <f>IF(AND(4&gt;=E13,OR(F13="",4&lt;=F13)),(D13*(1+assumptions!$G$76)^0/12*(1+assumptions!$G$70+assumptions!$G$71+IF(4&gt;=assumptions!$G$73,assumptions!$G$72,0))+assumptions!$G$74/12)+IF(4=E13,D13*assumptions!$G$75,0),0)</f>
        <v/>
      </c>
      <c r="K13" s="17">
        <f>IF(AND(5&gt;=E13,OR(F13="",5&lt;=F13)),(D13*(1+assumptions!$G$76)^0/12*(1+assumptions!$G$70+assumptions!$G$71+IF(5&gt;=assumptions!$G$73,assumptions!$G$72,0))+assumptions!$G$74/12)+IF(5=E13,D13*assumptions!$G$75,0),0)</f>
        <v/>
      </c>
      <c r="L13" s="17">
        <f>IF(AND(6&gt;=E13,OR(F13="",6&lt;=F13)),(D13*(1+assumptions!$G$76)^0/12*(1+assumptions!$G$70+assumptions!$G$71+IF(6&gt;=assumptions!$G$73,assumptions!$G$72,0))+assumptions!$G$74/12)+IF(6=E13,D13*assumptions!$G$75,0),0)</f>
        <v/>
      </c>
      <c r="M13" s="17">
        <f>IF(AND(7&gt;=E13,OR(F13="",7&lt;=F13)),(D13*(1+assumptions!$G$76)^0/12*(1+assumptions!$G$70+assumptions!$G$71+IF(7&gt;=assumptions!$G$73,assumptions!$G$72,0))+assumptions!$G$74/12)+IF(7=E13,D13*assumptions!$G$75,0),0)</f>
        <v/>
      </c>
      <c r="N13" s="17">
        <f>IF(AND(8&gt;=E13,OR(F13="",8&lt;=F13)),(D13*(1+assumptions!$G$76)^0/12*(1+assumptions!$G$70+assumptions!$G$71+IF(8&gt;=assumptions!$G$73,assumptions!$G$72,0))+assumptions!$G$74/12)+IF(8=E13,D13*assumptions!$G$75,0),0)</f>
        <v/>
      </c>
      <c r="O13" s="17">
        <f>IF(AND(9&gt;=E13,OR(F13="",9&lt;=F13)),(D13*(1+assumptions!$G$76)^0/12*(1+assumptions!$G$70+assumptions!$G$71+IF(9&gt;=assumptions!$G$73,assumptions!$G$72,0))+assumptions!$G$74/12)+IF(9=E13,D13*assumptions!$G$75,0),0)</f>
        <v/>
      </c>
      <c r="P13" s="17">
        <f>IF(AND(10&gt;=E13,OR(F13="",10&lt;=F13)),(D13*(1+assumptions!$G$76)^0/12*(1+assumptions!$G$70+assumptions!$G$71+IF(10&gt;=assumptions!$G$73,assumptions!$G$72,0))+assumptions!$G$74/12)+IF(10=E13,D13*assumptions!$G$75,0),0)</f>
        <v/>
      </c>
      <c r="Q13" s="17">
        <f>IF(AND(11&gt;=E13,OR(F13="",11&lt;=F13)),(D13*(1+assumptions!$G$76)^0/12*(1+assumptions!$G$70+assumptions!$G$71+IF(11&gt;=assumptions!$G$73,assumptions!$G$72,0))+assumptions!$G$74/12)+IF(11=E13,D13*assumptions!$G$75,0),0)</f>
        <v/>
      </c>
      <c r="R13" s="17">
        <f>IF(AND(12&gt;=E13,OR(F13="",12&lt;=F13)),(D13*(1+assumptions!$G$76)^0/12*(1+assumptions!$G$70+assumptions!$G$71+IF(12&gt;=assumptions!$G$73,assumptions!$G$72,0))+assumptions!$G$74/12)+IF(12=E13,D13*assumptions!$G$75,0),0)</f>
        <v/>
      </c>
      <c r="S13" s="17">
        <f>IF(AND(13&gt;=E13,OR(F13="",13&lt;=F13)),(D13*(1+assumptions!$G$76)^1/12*(1+assumptions!$G$70+assumptions!$G$71+IF(13&gt;=assumptions!$G$73,assumptions!$G$72,0))+assumptions!$G$74/12)+IF(13=E13,D13*assumptions!$G$75,0),0)</f>
        <v/>
      </c>
      <c r="T13" s="17">
        <f>IF(AND(14&gt;=E13,OR(F13="",14&lt;=F13)),(D13*(1+assumptions!$G$76)^1/12*(1+assumptions!$G$70+assumptions!$G$71+IF(14&gt;=assumptions!$G$73,assumptions!$G$72,0))+assumptions!$G$74/12)+IF(14=E13,D13*assumptions!$G$75,0),0)</f>
        <v/>
      </c>
      <c r="U13" s="17">
        <f>IF(AND(15&gt;=E13,OR(F13="",15&lt;=F13)),(D13*(1+assumptions!$G$76)^1/12*(1+assumptions!$G$70+assumptions!$G$71+IF(15&gt;=assumptions!$G$73,assumptions!$G$72,0))+assumptions!$G$74/12)+IF(15=E13,D13*assumptions!$G$75,0),0)</f>
        <v/>
      </c>
      <c r="V13" s="17">
        <f>IF(AND(16&gt;=E13,OR(F13="",16&lt;=F13)),(D13*(1+assumptions!$G$76)^1/12*(1+assumptions!$G$70+assumptions!$G$71+IF(16&gt;=assumptions!$G$73,assumptions!$G$72,0))+assumptions!$G$74/12)+IF(16=E13,D13*assumptions!$G$75,0),0)</f>
        <v/>
      </c>
      <c r="W13" s="17">
        <f>IF(AND(17&gt;=E13,OR(F13="",17&lt;=F13)),(D13*(1+assumptions!$G$76)^1/12*(1+assumptions!$G$70+assumptions!$G$71+IF(17&gt;=assumptions!$G$73,assumptions!$G$72,0))+assumptions!$G$74/12)+IF(17=E13,D13*assumptions!$G$75,0),0)</f>
        <v/>
      </c>
      <c r="X13" s="17">
        <f>IF(AND(18&gt;=E13,OR(F13="",18&lt;=F13)),(D13*(1+assumptions!$G$76)^1/12*(1+assumptions!$G$70+assumptions!$G$71+IF(18&gt;=assumptions!$G$73,assumptions!$G$72,0))+assumptions!$G$74/12)+IF(18=E13,D13*assumptions!$G$75,0),0)</f>
        <v/>
      </c>
      <c r="Y13" s="17">
        <f>IF(AND(19&gt;=E13,OR(F13="",19&lt;=F13)),(D13*(1+assumptions!$G$76)^1/12*(1+assumptions!$G$70+assumptions!$G$71+IF(19&gt;=assumptions!$G$73,assumptions!$G$72,0))+assumptions!$G$74/12)+IF(19=E13,D13*assumptions!$G$75,0),0)</f>
        <v/>
      </c>
      <c r="Z13" s="17">
        <f>IF(AND(20&gt;=E13,OR(F13="",20&lt;=F13)),(D13*(1+assumptions!$G$76)^1/12*(1+assumptions!$G$70+assumptions!$G$71+IF(20&gt;=assumptions!$G$73,assumptions!$G$72,0))+assumptions!$G$74/12)+IF(20=E13,D13*assumptions!$G$75,0),0)</f>
        <v/>
      </c>
      <c r="AA13" s="17">
        <f>IF(AND(21&gt;=E13,OR(F13="",21&lt;=F13)),(D13*(1+assumptions!$G$76)^1/12*(1+assumptions!$G$70+assumptions!$G$71+IF(21&gt;=assumptions!$G$73,assumptions!$G$72,0))+assumptions!$G$74/12)+IF(21=E13,D13*assumptions!$G$75,0),0)</f>
        <v/>
      </c>
      <c r="AB13" s="17">
        <f>IF(AND(22&gt;=E13,OR(F13="",22&lt;=F13)),(D13*(1+assumptions!$G$76)^1/12*(1+assumptions!$G$70+assumptions!$G$71+IF(22&gt;=assumptions!$G$73,assumptions!$G$72,0))+assumptions!$G$74/12)+IF(22=E13,D13*assumptions!$G$75,0),0)</f>
        <v/>
      </c>
      <c r="AC13" s="17">
        <f>IF(AND(23&gt;=E13,OR(F13="",23&lt;=F13)),(D13*(1+assumptions!$G$76)^1/12*(1+assumptions!$G$70+assumptions!$G$71+IF(23&gt;=assumptions!$G$73,assumptions!$G$72,0))+assumptions!$G$74/12)+IF(23=E13,D13*assumptions!$G$75,0),0)</f>
        <v/>
      </c>
      <c r="AD13" s="17">
        <f>IF(AND(24&gt;=E13,OR(F13="",24&lt;=F13)),(D13*(1+assumptions!$G$76)^1/12*(1+assumptions!$G$70+assumptions!$G$71+IF(24&gt;=assumptions!$G$73,assumptions!$G$72,0))+assumptions!$G$74/12)+IF(24=E13,D13*assumptions!$G$75,0),0)</f>
        <v/>
      </c>
      <c r="AE13" s="17">
        <f>IF(AND(25&gt;=E13,OR(F13="",25&lt;=F13)),(D13*(1+assumptions!$G$76)^2/12*(1+assumptions!$G$70+assumptions!$G$71+IF(25&gt;=assumptions!$G$73,assumptions!$G$72,0))+assumptions!$G$74/12)+IF(25=E13,D13*assumptions!$G$75,0),0)</f>
        <v/>
      </c>
      <c r="AF13" s="17">
        <f>IF(AND(26&gt;=E13,OR(F13="",26&lt;=F13)),(D13*(1+assumptions!$G$76)^2/12*(1+assumptions!$G$70+assumptions!$G$71+IF(26&gt;=assumptions!$G$73,assumptions!$G$72,0))+assumptions!$G$74/12)+IF(26=E13,D13*assumptions!$G$75,0),0)</f>
        <v/>
      </c>
      <c r="AG13" s="17">
        <f>IF(AND(27&gt;=E13,OR(F13="",27&lt;=F13)),(D13*(1+assumptions!$G$76)^2/12*(1+assumptions!$G$70+assumptions!$G$71+IF(27&gt;=assumptions!$G$73,assumptions!$G$72,0))+assumptions!$G$74/12)+IF(27=E13,D13*assumptions!$G$75,0),0)</f>
        <v/>
      </c>
      <c r="AH13" s="17">
        <f>IF(AND(28&gt;=E13,OR(F13="",28&lt;=F13)),(D13*(1+assumptions!$G$76)^2/12*(1+assumptions!$G$70+assumptions!$G$71+IF(28&gt;=assumptions!$G$73,assumptions!$G$72,0))+assumptions!$G$74/12)+IF(28=E13,D13*assumptions!$G$75,0),0)</f>
        <v/>
      </c>
      <c r="AI13" s="17">
        <f>IF(AND(29&gt;=E13,OR(F13="",29&lt;=F13)),(D13*(1+assumptions!$G$76)^2/12*(1+assumptions!$G$70+assumptions!$G$71+IF(29&gt;=assumptions!$G$73,assumptions!$G$72,0))+assumptions!$G$74/12)+IF(29=E13,D13*assumptions!$G$75,0),0)</f>
        <v/>
      </c>
      <c r="AJ13" s="17">
        <f>IF(AND(30&gt;=E13,OR(F13="",30&lt;=F13)),(D13*(1+assumptions!$G$76)^2/12*(1+assumptions!$G$70+assumptions!$G$71+IF(30&gt;=assumptions!$G$73,assumptions!$G$72,0))+assumptions!$G$74/12)+IF(30=E13,D13*assumptions!$G$75,0),0)</f>
        <v/>
      </c>
      <c r="AK13" s="17">
        <f>IF(AND(31&gt;=E13,OR(F13="",31&lt;=F13)),(D13*(1+assumptions!$G$76)^2/12*(1+assumptions!$G$70+assumptions!$G$71+IF(31&gt;=assumptions!$G$73,assumptions!$G$72,0))+assumptions!$G$74/12)+IF(31=E13,D13*assumptions!$G$75,0),0)</f>
        <v/>
      </c>
      <c r="AL13" s="17">
        <f>IF(AND(32&gt;=E13,OR(F13="",32&lt;=F13)),(D13*(1+assumptions!$G$76)^2/12*(1+assumptions!$G$70+assumptions!$G$71+IF(32&gt;=assumptions!$G$73,assumptions!$G$72,0))+assumptions!$G$74/12)+IF(32=E13,D13*assumptions!$G$75,0),0)</f>
        <v/>
      </c>
      <c r="AM13" s="17">
        <f>IF(AND(33&gt;=E13,OR(F13="",33&lt;=F13)),(D13*(1+assumptions!$G$76)^2/12*(1+assumptions!$G$70+assumptions!$G$71+IF(33&gt;=assumptions!$G$73,assumptions!$G$72,0))+assumptions!$G$74/12)+IF(33=E13,D13*assumptions!$G$75,0),0)</f>
        <v/>
      </c>
      <c r="AN13" s="17">
        <f>IF(AND(34&gt;=E13,OR(F13="",34&lt;=F13)),(D13*(1+assumptions!$G$76)^2/12*(1+assumptions!$G$70+assumptions!$G$71+IF(34&gt;=assumptions!$G$73,assumptions!$G$72,0))+assumptions!$G$74/12)+IF(34=E13,D13*assumptions!$G$75,0),0)</f>
        <v/>
      </c>
      <c r="AO13" s="17">
        <f>IF(AND(35&gt;=E13,OR(F13="",35&lt;=F13)),(D13*(1+assumptions!$G$76)^2/12*(1+assumptions!$G$70+assumptions!$G$71+IF(35&gt;=assumptions!$G$73,assumptions!$G$72,0))+assumptions!$G$74/12)+IF(35=E13,D13*assumptions!$G$75,0),0)</f>
        <v/>
      </c>
      <c r="AP13" s="17">
        <f>IF(AND(36&gt;=E13,OR(F13="",36&lt;=F13)),(D13*(1+assumptions!$G$76)^2/12*(1+assumptions!$G$70+assumptions!$G$71+IF(36&gt;=assumptions!$G$73,assumptions!$G$72,0))+assumptions!$G$74/12)+IF(36=E13,D13*assumptions!$G$75,0),0)</f>
        <v/>
      </c>
      <c r="AQ13" s="17">
        <f>IF(AND(37&gt;=E13,OR(F13="",37&lt;=F13)),(D13*(1+assumptions!$G$76)^3/12*(1+assumptions!$G$70+assumptions!$G$71+IF(37&gt;=assumptions!$G$73,assumptions!$G$72,0))+assumptions!$G$74/12)+IF(37=E13,D13*assumptions!$G$75,0),0)</f>
        <v/>
      </c>
      <c r="AR13" s="17">
        <f>IF(AND(38&gt;=E13,OR(F13="",38&lt;=F13)),(D13*(1+assumptions!$G$76)^3/12*(1+assumptions!$G$70+assumptions!$G$71+IF(38&gt;=assumptions!$G$73,assumptions!$G$72,0))+assumptions!$G$74/12)+IF(38=E13,D13*assumptions!$G$75,0),0)</f>
        <v/>
      </c>
      <c r="AS13" s="17">
        <f>IF(AND(39&gt;=E13,OR(F13="",39&lt;=F13)),(D13*(1+assumptions!$G$76)^3/12*(1+assumptions!$G$70+assumptions!$G$71+IF(39&gt;=assumptions!$G$73,assumptions!$G$72,0))+assumptions!$G$74/12)+IF(39=E13,D13*assumptions!$G$75,0),0)</f>
        <v/>
      </c>
      <c r="AT13" s="17">
        <f>IF(AND(40&gt;=E13,OR(F13="",40&lt;=F13)),(D13*(1+assumptions!$G$76)^3/12*(1+assumptions!$G$70+assumptions!$G$71+IF(40&gt;=assumptions!$G$73,assumptions!$G$72,0))+assumptions!$G$74/12)+IF(40=E13,D13*assumptions!$G$75,0),0)</f>
        <v/>
      </c>
      <c r="AU13" s="17">
        <f>IF(AND(41&gt;=E13,OR(F13="",41&lt;=F13)),(D13*(1+assumptions!$G$76)^3/12*(1+assumptions!$G$70+assumptions!$G$71+IF(41&gt;=assumptions!$G$73,assumptions!$G$72,0))+assumptions!$G$74/12)+IF(41=E13,D13*assumptions!$G$75,0),0)</f>
        <v/>
      </c>
      <c r="AV13" s="17">
        <f>IF(AND(42&gt;=E13,OR(F13="",42&lt;=F13)),(D13*(1+assumptions!$G$76)^3/12*(1+assumptions!$G$70+assumptions!$G$71+IF(42&gt;=assumptions!$G$73,assumptions!$G$72,0))+assumptions!$G$74/12)+IF(42=E13,D13*assumptions!$G$75,0),0)</f>
        <v/>
      </c>
      <c r="AW13" s="17">
        <f>IF(AND(43&gt;=E13,OR(F13="",43&lt;=F13)),(D13*(1+assumptions!$G$76)^3/12*(1+assumptions!$G$70+assumptions!$G$71+IF(43&gt;=assumptions!$G$73,assumptions!$G$72,0))+assumptions!$G$74/12)+IF(43=E13,D13*assumptions!$G$75,0),0)</f>
        <v/>
      </c>
      <c r="AX13" s="17">
        <f>IF(AND(44&gt;=E13,OR(F13="",44&lt;=F13)),(D13*(1+assumptions!$G$76)^3/12*(1+assumptions!$G$70+assumptions!$G$71+IF(44&gt;=assumptions!$G$73,assumptions!$G$72,0))+assumptions!$G$74/12)+IF(44=E13,D13*assumptions!$G$75,0),0)</f>
        <v/>
      </c>
      <c r="AY13" s="17">
        <f>IF(AND(45&gt;=E13,OR(F13="",45&lt;=F13)),(D13*(1+assumptions!$G$76)^3/12*(1+assumptions!$G$70+assumptions!$G$71+IF(45&gt;=assumptions!$G$73,assumptions!$G$72,0))+assumptions!$G$74/12)+IF(45=E13,D13*assumptions!$G$75,0),0)</f>
        <v/>
      </c>
      <c r="AZ13" s="17">
        <f>IF(AND(46&gt;=E13,OR(F13="",46&lt;=F13)),(D13*(1+assumptions!$G$76)^3/12*(1+assumptions!$G$70+assumptions!$G$71+IF(46&gt;=assumptions!$G$73,assumptions!$G$72,0))+assumptions!$G$74/12)+IF(46=E13,D13*assumptions!$G$75,0),0)</f>
        <v/>
      </c>
      <c r="BA13" s="17">
        <f>IF(AND(47&gt;=E13,OR(F13="",47&lt;=F13)),(D13*(1+assumptions!$G$76)^3/12*(1+assumptions!$G$70+assumptions!$G$71+IF(47&gt;=assumptions!$G$73,assumptions!$G$72,0))+assumptions!$G$74/12)+IF(47=E13,D13*assumptions!$G$75,0),0)</f>
        <v/>
      </c>
      <c r="BB13" s="17">
        <f>IF(AND(48&gt;=E13,OR(F13="",48&lt;=F13)),(D13*(1+assumptions!$G$76)^3/12*(1+assumptions!$G$70+assumptions!$G$71+IF(48&gt;=assumptions!$G$73,assumptions!$G$72,0))+assumptions!$G$74/12)+IF(48=E13,D13*assumptions!$G$75,0),0)</f>
        <v/>
      </c>
      <c r="BC13" s="17">
        <f>IF(AND(49&gt;=E13,OR(F13="",49&lt;=F13)),(D13*(1+assumptions!$G$76)^4/12*(1+assumptions!$G$70+assumptions!$G$71+IF(49&gt;=assumptions!$G$73,assumptions!$G$72,0))+assumptions!$G$74/12)+IF(49=E13,D13*assumptions!$G$75,0),0)</f>
        <v/>
      </c>
      <c r="BD13" s="17">
        <f>IF(AND(50&gt;=E13,OR(F13="",50&lt;=F13)),(D13*(1+assumptions!$G$76)^4/12*(1+assumptions!$G$70+assumptions!$G$71+IF(50&gt;=assumptions!$G$73,assumptions!$G$72,0))+assumptions!$G$74/12)+IF(50=E13,D13*assumptions!$G$75,0),0)</f>
        <v/>
      </c>
      <c r="BE13" s="17">
        <f>IF(AND(51&gt;=E13,OR(F13="",51&lt;=F13)),(D13*(1+assumptions!$G$76)^4/12*(1+assumptions!$G$70+assumptions!$G$71+IF(51&gt;=assumptions!$G$73,assumptions!$G$72,0))+assumptions!$G$74/12)+IF(51=E13,D13*assumptions!$G$75,0),0)</f>
        <v/>
      </c>
      <c r="BF13" s="17">
        <f>IF(AND(52&gt;=E13,OR(F13="",52&lt;=F13)),(D13*(1+assumptions!$G$76)^4/12*(1+assumptions!$G$70+assumptions!$G$71+IF(52&gt;=assumptions!$G$73,assumptions!$G$72,0))+assumptions!$G$74/12)+IF(52=E13,D13*assumptions!$G$75,0),0)</f>
        <v/>
      </c>
      <c r="BG13" s="17">
        <f>IF(AND(53&gt;=E13,OR(F13="",53&lt;=F13)),(D13*(1+assumptions!$G$76)^4/12*(1+assumptions!$G$70+assumptions!$G$71+IF(53&gt;=assumptions!$G$73,assumptions!$G$72,0))+assumptions!$G$74/12)+IF(53=E13,D13*assumptions!$G$75,0),0)</f>
        <v/>
      </c>
      <c r="BH13" s="17">
        <f>IF(AND(54&gt;=E13,OR(F13="",54&lt;=F13)),(D13*(1+assumptions!$G$76)^4/12*(1+assumptions!$G$70+assumptions!$G$71+IF(54&gt;=assumptions!$G$73,assumptions!$G$72,0))+assumptions!$G$74/12)+IF(54=E13,D13*assumptions!$G$75,0),0)</f>
        <v/>
      </c>
      <c r="BI13" s="17">
        <f>IF(AND(55&gt;=E13,OR(F13="",55&lt;=F13)),(D13*(1+assumptions!$G$76)^4/12*(1+assumptions!$G$70+assumptions!$G$71+IF(55&gt;=assumptions!$G$73,assumptions!$G$72,0))+assumptions!$G$74/12)+IF(55=E13,D13*assumptions!$G$75,0),0)</f>
        <v/>
      </c>
      <c r="BJ13" s="17">
        <f>IF(AND(56&gt;=E13,OR(F13="",56&lt;=F13)),(D13*(1+assumptions!$G$76)^4/12*(1+assumptions!$G$70+assumptions!$G$71+IF(56&gt;=assumptions!$G$73,assumptions!$G$72,0))+assumptions!$G$74/12)+IF(56=E13,D13*assumptions!$G$75,0),0)</f>
        <v/>
      </c>
      <c r="BK13" s="17">
        <f>IF(AND(57&gt;=E13,OR(F13="",57&lt;=F13)),(D13*(1+assumptions!$G$76)^4/12*(1+assumptions!$G$70+assumptions!$G$71+IF(57&gt;=assumptions!$G$73,assumptions!$G$72,0))+assumptions!$G$74/12)+IF(57=E13,D13*assumptions!$G$75,0),0)</f>
        <v/>
      </c>
      <c r="BL13" s="17">
        <f>IF(AND(58&gt;=E13,OR(F13="",58&lt;=F13)),(D13*(1+assumptions!$G$76)^4/12*(1+assumptions!$G$70+assumptions!$G$71+IF(58&gt;=assumptions!$G$73,assumptions!$G$72,0))+assumptions!$G$74/12)+IF(58=E13,D13*assumptions!$G$75,0),0)</f>
        <v/>
      </c>
      <c r="BM13" s="17">
        <f>IF(AND(59&gt;=E13,OR(F13="",59&lt;=F13)),(D13*(1+assumptions!$G$76)^4/12*(1+assumptions!$G$70+assumptions!$G$71+IF(59&gt;=assumptions!$G$73,assumptions!$G$72,0))+assumptions!$G$74/12)+IF(59=E13,D13*assumptions!$G$75,0),0)</f>
        <v/>
      </c>
      <c r="BN13" s="17">
        <f>IF(AND(60&gt;=E13,OR(F13="",60&lt;=F13)),(D13*(1+assumptions!$G$76)^4/12*(1+assumptions!$G$70+assumptions!$G$71+IF(60&gt;=assumptions!$G$73,assumptions!$G$72,0))+assumptions!$G$74/12)+IF(60=E13,D13*assumptions!$G$75,0),0)</f>
        <v/>
      </c>
    </row>
    <row r="14">
      <c r="A14" s="5" t="n">
        <v>11</v>
      </c>
      <c r="B14" s="5" t="inlineStr">
        <is>
          <t>Backend engineer</t>
        </is>
      </c>
      <c r="C14" s="5" t="inlineStr">
        <is>
          <t>eng</t>
        </is>
      </c>
      <c r="D14" s="15" t="n">
        <v>80000</v>
      </c>
      <c r="E14" s="32" t="n">
        <v>9</v>
      </c>
      <c r="F14" s="32" t="n"/>
      <c r="G14" s="17">
        <f>IF(AND(1&gt;=E14,OR(F14="",1&lt;=F14)),(D14*(1+assumptions!$G$76)^0/12*(1+assumptions!$G$70+assumptions!$G$71+IF(1&gt;=assumptions!$G$73,assumptions!$G$72,0))+assumptions!$G$74/12)+IF(1=E14,D14*assumptions!$G$75,0),0)</f>
        <v/>
      </c>
      <c r="H14" s="17">
        <f>IF(AND(2&gt;=E14,OR(F14="",2&lt;=F14)),(D14*(1+assumptions!$G$76)^0/12*(1+assumptions!$G$70+assumptions!$G$71+IF(2&gt;=assumptions!$G$73,assumptions!$G$72,0))+assumptions!$G$74/12)+IF(2=E14,D14*assumptions!$G$75,0),0)</f>
        <v/>
      </c>
      <c r="I14" s="17">
        <f>IF(AND(3&gt;=E14,OR(F14="",3&lt;=F14)),(D14*(1+assumptions!$G$76)^0/12*(1+assumptions!$G$70+assumptions!$G$71+IF(3&gt;=assumptions!$G$73,assumptions!$G$72,0))+assumptions!$G$74/12)+IF(3=E14,D14*assumptions!$G$75,0),0)</f>
        <v/>
      </c>
      <c r="J14" s="17">
        <f>IF(AND(4&gt;=E14,OR(F14="",4&lt;=F14)),(D14*(1+assumptions!$G$76)^0/12*(1+assumptions!$G$70+assumptions!$G$71+IF(4&gt;=assumptions!$G$73,assumptions!$G$72,0))+assumptions!$G$74/12)+IF(4=E14,D14*assumptions!$G$75,0),0)</f>
        <v/>
      </c>
      <c r="K14" s="17">
        <f>IF(AND(5&gt;=E14,OR(F14="",5&lt;=F14)),(D14*(1+assumptions!$G$76)^0/12*(1+assumptions!$G$70+assumptions!$G$71+IF(5&gt;=assumptions!$G$73,assumptions!$G$72,0))+assumptions!$G$74/12)+IF(5=E14,D14*assumptions!$G$75,0),0)</f>
        <v/>
      </c>
      <c r="L14" s="17">
        <f>IF(AND(6&gt;=E14,OR(F14="",6&lt;=F14)),(D14*(1+assumptions!$G$76)^0/12*(1+assumptions!$G$70+assumptions!$G$71+IF(6&gt;=assumptions!$G$73,assumptions!$G$72,0))+assumptions!$G$74/12)+IF(6=E14,D14*assumptions!$G$75,0),0)</f>
        <v/>
      </c>
      <c r="M14" s="17">
        <f>IF(AND(7&gt;=E14,OR(F14="",7&lt;=F14)),(D14*(1+assumptions!$G$76)^0/12*(1+assumptions!$G$70+assumptions!$G$71+IF(7&gt;=assumptions!$G$73,assumptions!$G$72,0))+assumptions!$G$74/12)+IF(7=E14,D14*assumptions!$G$75,0),0)</f>
        <v/>
      </c>
      <c r="N14" s="17">
        <f>IF(AND(8&gt;=E14,OR(F14="",8&lt;=F14)),(D14*(1+assumptions!$G$76)^0/12*(1+assumptions!$G$70+assumptions!$G$71+IF(8&gt;=assumptions!$G$73,assumptions!$G$72,0))+assumptions!$G$74/12)+IF(8=E14,D14*assumptions!$G$75,0),0)</f>
        <v/>
      </c>
      <c r="O14" s="17">
        <f>IF(AND(9&gt;=E14,OR(F14="",9&lt;=F14)),(D14*(1+assumptions!$G$76)^0/12*(1+assumptions!$G$70+assumptions!$G$71+IF(9&gt;=assumptions!$G$73,assumptions!$G$72,0))+assumptions!$G$74/12)+IF(9=E14,D14*assumptions!$G$75,0),0)</f>
        <v/>
      </c>
      <c r="P14" s="17">
        <f>IF(AND(10&gt;=E14,OR(F14="",10&lt;=F14)),(D14*(1+assumptions!$G$76)^0/12*(1+assumptions!$G$70+assumptions!$G$71+IF(10&gt;=assumptions!$G$73,assumptions!$G$72,0))+assumptions!$G$74/12)+IF(10=E14,D14*assumptions!$G$75,0),0)</f>
        <v/>
      </c>
      <c r="Q14" s="17">
        <f>IF(AND(11&gt;=E14,OR(F14="",11&lt;=F14)),(D14*(1+assumptions!$G$76)^0/12*(1+assumptions!$G$70+assumptions!$G$71+IF(11&gt;=assumptions!$G$73,assumptions!$G$72,0))+assumptions!$G$74/12)+IF(11=E14,D14*assumptions!$G$75,0),0)</f>
        <v/>
      </c>
      <c r="R14" s="17">
        <f>IF(AND(12&gt;=E14,OR(F14="",12&lt;=F14)),(D14*(1+assumptions!$G$76)^0/12*(1+assumptions!$G$70+assumptions!$G$71+IF(12&gt;=assumptions!$G$73,assumptions!$G$72,0))+assumptions!$G$74/12)+IF(12=E14,D14*assumptions!$G$75,0),0)</f>
        <v/>
      </c>
      <c r="S14" s="17">
        <f>IF(AND(13&gt;=E14,OR(F14="",13&lt;=F14)),(D14*(1+assumptions!$G$76)^1/12*(1+assumptions!$G$70+assumptions!$G$71+IF(13&gt;=assumptions!$G$73,assumptions!$G$72,0))+assumptions!$G$74/12)+IF(13=E14,D14*assumptions!$G$75,0),0)</f>
        <v/>
      </c>
      <c r="T14" s="17">
        <f>IF(AND(14&gt;=E14,OR(F14="",14&lt;=F14)),(D14*(1+assumptions!$G$76)^1/12*(1+assumptions!$G$70+assumptions!$G$71+IF(14&gt;=assumptions!$G$73,assumptions!$G$72,0))+assumptions!$G$74/12)+IF(14=E14,D14*assumptions!$G$75,0),0)</f>
        <v/>
      </c>
      <c r="U14" s="17">
        <f>IF(AND(15&gt;=E14,OR(F14="",15&lt;=F14)),(D14*(1+assumptions!$G$76)^1/12*(1+assumptions!$G$70+assumptions!$G$71+IF(15&gt;=assumptions!$G$73,assumptions!$G$72,0))+assumptions!$G$74/12)+IF(15=E14,D14*assumptions!$G$75,0),0)</f>
        <v/>
      </c>
      <c r="V14" s="17">
        <f>IF(AND(16&gt;=E14,OR(F14="",16&lt;=F14)),(D14*(1+assumptions!$G$76)^1/12*(1+assumptions!$G$70+assumptions!$G$71+IF(16&gt;=assumptions!$G$73,assumptions!$G$72,0))+assumptions!$G$74/12)+IF(16=E14,D14*assumptions!$G$75,0),0)</f>
        <v/>
      </c>
      <c r="W14" s="17">
        <f>IF(AND(17&gt;=E14,OR(F14="",17&lt;=F14)),(D14*(1+assumptions!$G$76)^1/12*(1+assumptions!$G$70+assumptions!$G$71+IF(17&gt;=assumptions!$G$73,assumptions!$G$72,0))+assumptions!$G$74/12)+IF(17=E14,D14*assumptions!$G$75,0),0)</f>
        <v/>
      </c>
      <c r="X14" s="17">
        <f>IF(AND(18&gt;=E14,OR(F14="",18&lt;=F14)),(D14*(1+assumptions!$G$76)^1/12*(1+assumptions!$G$70+assumptions!$G$71+IF(18&gt;=assumptions!$G$73,assumptions!$G$72,0))+assumptions!$G$74/12)+IF(18=E14,D14*assumptions!$G$75,0),0)</f>
        <v/>
      </c>
      <c r="Y14" s="17">
        <f>IF(AND(19&gt;=E14,OR(F14="",19&lt;=F14)),(D14*(1+assumptions!$G$76)^1/12*(1+assumptions!$G$70+assumptions!$G$71+IF(19&gt;=assumptions!$G$73,assumptions!$G$72,0))+assumptions!$G$74/12)+IF(19=E14,D14*assumptions!$G$75,0),0)</f>
        <v/>
      </c>
      <c r="Z14" s="17">
        <f>IF(AND(20&gt;=E14,OR(F14="",20&lt;=F14)),(D14*(1+assumptions!$G$76)^1/12*(1+assumptions!$G$70+assumptions!$G$71+IF(20&gt;=assumptions!$G$73,assumptions!$G$72,0))+assumptions!$G$74/12)+IF(20=E14,D14*assumptions!$G$75,0),0)</f>
        <v/>
      </c>
      <c r="AA14" s="17">
        <f>IF(AND(21&gt;=E14,OR(F14="",21&lt;=F14)),(D14*(1+assumptions!$G$76)^1/12*(1+assumptions!$G$70+assumptions!$G$71+IF(21&gt;=assumptions!$G$73,assumptions!$G$72,0))+assumptions!$G$74/12)+IF(21=E14,D14*assumptions!$G$75,0),0)</f>
        <v/>
      </c>
      <c r="AB14" s="17">
        <f>IF(AND(22&gt;=E14,OR(F14="",22&lt;=F14)),(D14*(1+assumptions!$G$76)^1/12*(1+assumptions!$G$70+assumptions!$G$71+IF(22&gt;=assumptions!$G$73,assumptions!$G$72,0))+assumptions!$G$74/12)+IF(22=E14,D14*assumptions!$G$75,0),0)</f>
        <v/>
      </c>
      <c r="AC14" s="17">
        <f>IF(AND(23&gt;=E14,OR(F14="",23&lt;=F14)),(D14*(1+assumptions!$G$76)^1/12*(1+assumptions!$G$70+assumptions!$G$71+IF(23&gt;=assumptions!$G$73,assumptions!$G$72,0))+assumptions!$G$74/12)+IF(23=E14,D14*assumptions!$G$75,0),0)</f>
        <v/>
      </c>
      <c r="AD14" s="17">
        <f>IF(AND(24&gt;=E14,OR(F14="",24&lt;=F14)),(D14*(1+assumptions!$G$76)^1/12*(1+assumptions!$G$70+assumptions!$G$71+IF(24&gt;=assumptions!$G$73,assumptions!$G$72,0))+assumptions!$G$74/12)+IF(24=E14,D14*assumptions!$G$75,0),0)</f>
        <v/>
      </c>
      <c r="AE14" s="17">
        <f>IF(AND(25&gt;=E14,OR(F14="",25&lt;=F14)),(D14*(1+assumptions!$G$76)^2/12*(1+assumptions!$G$70+assumptions!$G$71+IF(25&gt;=assumptions!$G$73,assumptions!$G$72,0))+assumptions!$G$74/12)+IF(25=E14,D14*assumptions!$G$75,0),0)</f>
        <v/>
      </c>
      <c r="AF14" s="17">
        <f>IF(AND(26&gt;=E14,OR(F14="",26&lt;=F14)),(D14*(1+assumptions!$G$76)^2/12*(1+assumptions!$G$70+assumptions!$G$71+IF(26&gt;=assumptions!$G$73,assumptions!$G$72,0))+assumptions!$G$74/12)+IF(26=E14,D14*assumptions!$G$75,0),0)</f>
        <v/>
      </c>
      <c r="AG14" s="17">
        <f>IF(AND(27&gt;=E14,OR(F14="",27&lt;=F14)),(D14*(1+assumptions!$G$76)^2/12*(1+assumptions!$G$70+assumptions!$G$71+IF(27&gt;=assumptions!$G$73,assumptions!$G$72,0))+assumptions!$G$74/12)+IF(27=E14,D14*assumptions!$G$75,0),0)</f>
        <v/>
      </c>
      <c r="AH14" s="17">
        <f>IF(AND(28&gt;=E14,OR(F14="",28&lt;=F14)),(D14*(1+assumptions!$G$76)^2/12*(1+assumptions!$G$70+assumptions!$G$71+IF(28&gt;=assumptions!$G$73,assumptions!$G$72,0))+assumptions!$G$74/12)+IF(28=E14,D14*assumptions!$G$75,0),0)</f>
        <v/>
      </c>
      <c r="AI14" s="17">
        <f>IF(AND(29&gt;=E14,OR(F14="",29&lt;=F14)),(D14*(1+assumptions!$G$76)^2/12*(1+assumptions!$G$70+assumptions!$G$71+IF(29&gt;=assumptions!$G$73,assumptions!$G$72,0))+assumptions!$G$74/12)+IF(29=E14,D14*assumptions!$G$75,0),0)</f>
        <v/>
      </c>
      <c r="AJ14" s="17">
        <f>IF(AND(30&gt;=E14,OR(F14="",30&lt;=F14)),(D14*(1+assumptions!$G$76)^2/12*(1+assumptions!$G$70+assumptions!$G$71+IF(30&gt;=assumptions!$G$73,assumptions!$G$72,0))+assumptions!$G$74/12)+IF(30=E14,D14*assumptions!$G$75,0),0)</f>
        <v/>
      </c>
      <c r="AK14" s="17">
        <f>IF(AND(31&gt;=E14,OR(F14="",31&lt;=F14)),(D14*(1+assumptions!$G$76)^2/12*(1+assumptions!$G$70+assumptions!$G$71+IF(31&gt;=assumptions!$G$73,assumptions!$G$72,0))+assumptions!$G$74/12)+IF(31=E14,D14*assumptions!$G$75,0),0)</f>
        <v/>
      </c>
      <c r="AL14" s="17">
        <f>IF(AND(32&gt;=E14,OR(F14="",32&lt;=F14)),(D14*(1+assumptions!$G$76)^2/12*(1+assumptions!$G$70+assumptions!$G$71+IF(32&gt;=assumptions!$G$73,assumptions!$G$72,0))+assumptions!$G$74/12)+IF(32=E14,D14*assumptions!$G$75,0),0)</f>
        <v/>
      </c>
      <c r="AM14" s="17">
        <f>IF(AND(33&gt;=E14,OR(F14="",33&lt;=F14)),(D14*(1+assumptions!$G$76)^2/12*(1+assumptions!$G$70+assumptions!$G$71+IF(33&gt;=assumptions!$G$73,assumptions!$G$72,0))+assumptions!$G$74/12)+IF(33=E14,D14*assumptions!$G$75,0),0)</f>
        <v/>
      </c>
      <c r="AN14" s="17">
        <f>IF(AND(34&gt;=E14,OR(F14="",34&lt;=F14)),(D14*(1+assumptions!$G$76)^2/12*(1+assumptions!$G$70+assumptions!$G$71+IF(34&gt;=assumptions!$G$73,assumptions!$G$72,0))+assumptions!$G$74/12)+IF(34=E14,D14*assumptions!$G$75,0),0)</f>
        <v/>
      </c>
      <c r="AO14" s="17">
        <f>IF(AND(35&gt;=E14,OR(F14="",35&lt;=F14)),(D14*(1+assumptions!$G$76)^2/12*(1+assumptions!$G$70+assumptions!$G$71+IF(35&gt;=assumptions!$G$73,assumptions!$G$72,0))+assumptions!$G$74/12)+IF(35=E14,D14*assumptions!$G$75,0),0)</f>
        <v/>
      </c>
      <c r="AP14" s="17">
        <f>IF(AND(36&gt;=E14,OR(F14="",36&lt;=F14)),(D14*(1+assumptions!$G$76)^2/12*(1+assumptions!$G$70+assumptions!$G$71+IF(36&gt;=assumptions!$G$73,assumptions!$G$72,0))+assumptions!$G$74/12)+IF(36=E14,D14*assumptions!$G$75,0),0)</f>
        <v/>
      </c>
      <c r="AQ14" s="17">
        <f>IF(AND(37&gt;=E14,OR(F14="",37&lt;=F14)),(D14*(1+assumptions!$G$76)^3/12*(1+assumptions!$G$70+assumptions!$G$71+IF(37&gt;=assumptions!$G$73,assumptions!$G$72,0))+assumptions!$G$74/12)+IF(37=E14,D14*assumptions!$G$75,0),0)</f>
        <v/>
      </c>
      <c r="AR14" s="17">
        <f>IF(AND(38&gt;=E14,OR(F14="",38&lt;=F14)),(D14*(1+assumptions!$G$76)^3/12*(1+assumptions!$G$70+assumptions!$G$71+IF(38&gt;=assumptions!$G$73,assumptions!$G$72,0))+assumptions!$G$74/12)+IF(38=E14,D14*assumptions!$G$75,0),0)</f>
        <v/>
      </c>
      <c r="AS14" s="17">
        <f>IF(AND(39&gt;=E14,OR(F14="",39&lt;=F14)),(D14*(1+assumptions!$G$76)^3/12*(1+assumptions!$G$70+assumptions!$G$71+IF(39&gt;=assumptions!$G$73,assumptions!$G$72,0))+assumptions!$G$74/12)+IF(39=E14,D14*assumptions!$G$75,0),0)</f>
        <v/>
      </c>
      <c r="AT14" s="17">
        <f>IF(AND(40&gt;=E14,OR(F14="",40&lt;=F14)),(D14*(1+assumptions!$G$76)^3/12*(1+assumptions!$G$70+assumptions!$G$71+IF(40&gt;=assumptions!$G$73,assumptions!$G$72,0))+assumptions!$G$74/12)+IF(40=E14,D14*assumptions!$G$75,0),0)</f>
        <v/>
      </c>
      <c r="AU14" s="17">
        <f>IF(AND(41&gt;=E14,OR(F14="",41&lt;=F14)),(D14*(1+assumptions!$G$76)^3/12*(1+assumptions!$G$70+assumptions!$G$71+IF(41&gt;=assumptions!$G$73,assumptions!$G$72,0))+assumptions!$G$74/12)+IF(41=E14,D14*assumptions!$G$75,0),0)</f>
        <v/>
      </c>
      <c r="AV14" s="17">
        <f>IF(AND(42&gt;=E14,OR(F14="",42&lt;=F14)),(D14*(1+assumptions!$G$76)^3/12*(1+assumptions!$G$70+assumptions!$G$71+IF(42&gt;=assumptions!$G$73,assumptions!$G$72,0))+assumptions!$G$74/12)+IF(42=E14,D14*assumptions!$G$75,0),0)</f>
        <v/>
      </c>
      <c r="AW14" s="17">
        <f>IF(AND(43&gt;=E14,OR(F14="",43&lt;=F14)),(D14*(1+assumptions!$G$76)^3/12*(1+assumptions!$G$70+assumptions!$G$71+IF(43&gt;=assumptions!$G$73,assumptions!$G$72,0))+assumptions!$G$74/12)+IF(43=E14,D14*assumptions!$G$75,0),0)</f>
        <v/>
      </c>
      <c r="AX14" s="17">
        <f>IF(AND(44&gt;=E14,OR(F14="",44&lt;=F14)),(D14*(1+assumptions!$G$76)^3/12*(1+assumptions!$G$70+assumptions!$G$71+IF(44&gt;=assumptions!$G$73,assumptions!$G$72,0))+assumptions!$G$74/12)+IF(44=E14,D14*assumptions!$G$75,0),0)</f>
        <v/>
      </c>
      <c r="AY14" s="17">
        <f>IF(AND(45&gt;=E14,OR(F14="",45&lt;=F14)),(D14*(1+assumptions!$G$76)^3/12*(1+assumptions!$G$70+assumptions!$G$71+IF(45&gt;=assumptions!$G$73,assumptions!$G$72,0))+assumptions!$G$74/12)+IF(45=E14,D14*assumptions!$G$75,0),0)</f>
        <v/>
      </c>
      <c r="AZ14" s="17">
        <f>IF(AND(46&gt;=E14,OR(F14="",46&lt;=F14)),(D14*(1+assumptions!$G$76)^3/12*(1+assumptions!$G$70+assumptions!$G$71+IF(46&gt;=assumptions!$G$73,assumptions!$G$72,0))+assumptions!$G$74/12)+IF(46=E14,D14*assumptions!$G$75,0),0)</f>
        <v/>
      </c>
      <c r="BA14" s="17">
        <f>IF(AND(47&gt;=E14,OR(F14="",47&lt;=F14)),(D14*(1+assumptions!$G$76)^3/12*(1+assumptions!$G$70+assumptions!$G$71+IF(47&gt;=assumptions!$G$73,assumptions!$G$72,0))+assumptions!$G$74/12)+IF(47=E14,D14*assumptions!$G$75,0),0)</f>
        <v/>
      </c>
      <c r="BB14" s="17">
        <f>IF(AND(48&gt;=E14,OR(F14="",48&lt;=F14)),(D14*(1+assumptions!$G$76)^3/12*(1+assumptions!$G$70+assumptions!$G$71+IF(48&gt;=assumptions!$G$73,assumptions!$G$72,0))+assumptions!$G$74/12)+IF(48=E14,D14*assumptions!$G$75,0),0)</f>
        <v/>
      </c>
      <c r="BC14" s="17">
        <f>IF(AND(49&gt;=E14,OR(F14="",49&lt;=F14)),(D14*(1+assumptions!$G$76)^4/12*(1+assumptions!$G$70+assumptions!$G$71+IF(49&gt;=assumptions!$G$73,assumptions!$G$72,0))+assumptions!$G$74/12)+IF(49=E14,D14*assumptions!$G$75,0),0)</f>
        <v/>
      </c>
      <c r="BD14" s="17">
        <f>IF(AND(50&gt;=E14,OR(F14="",50&lt;=F14)),(D14*(1+assumptions!$G$76)^4/12*(1+assumptions!$G$70+assumptions!$G$71+IF(50&gt;=assumptions!$G$73,assumptions!$G$72,0))+assumptions!$G$74/12)+IF(50=E14,D14*assumptions!$G$75,0),0)</f>
        <v/>
      </c>
      <c r="BE14" s="17">
        <f>IF(AND(51&gt;=E14,OR(F14="",51&lt;=F14)),(D14*(1+assumptions!$G$76)^4/12*(1+assumptions!$G$70+assumptions!$G$71+IF(51&gt;=assumptions!$G$73,assumptions!$G$72,0))+assumptions!$G$74/12)+IF(51=E14,D14*assumptions!$G$75,0),0)</f>
        <v/>
      </c>
      <c r="BF14" s="17">
        <f>IF(AND(52&gt;=E14,OR(F14="",52&lt;=F14)),(D14*(1+assumptions!$G$76)^4/12*(1+assumptions!$G$70+assumptions!$G$71+IF(52&gt;=assumptions!$G$73,assumptions!$G$72,0))+assumptions!$G$74/12)+IF(52=E14,D14*assumptions!$G$75,0),0)</f>
        <v/>
      </c>
      <c r="BG14" s="17">
        <f>IF(AND(53&gt;=E14,OR(F14="",53&lt;=F14)),(D14*(1+assumptions!$G$76)^4/12*(1+assumptions!$G$70+assumptions!$G$71+IF(53&gt;=assumptions!$G$73,assumptions!$G$72,0))+assumptions!$G$74/12)+IF(53=E14,D14*assumptions!$G$75,0),0)</f>
        <v/>
      </c>
      <c r="BH14" s="17">
        <f>IF(AND(54&gt;=E14,OR(F14="",54&lt;=F14)),(D14*(1+assumptions!$G$76)^4/12*(1+assumptions!$G$70+assumptions!$G$71+IF(54&gt;=assumptions!$G$73,assumptions!$G$72,0))+assumptions!$G$74/12)+IF(54=E14,D14*assumptions!$G$75,0),0)</f>
        <v/>
      </c>
      <c r="BI14" s="17">
        <f>IF(AND(55&gt;=E14,OR(F14="",55&lt;=F14)),(D14*(1+assumptions!$G$76)^4/12*(1+assumptions!$G$70+assumptions!$G$71+IF(55&gt;=assumptions!$G$73,assumptions!$G$72,0))+assumptions!$G$74/12)+IF(55=E14,D14*assumptions!$G$75,0),0)</f>
        <v/>
      </c>
      <c r="BJ14" s="17">
        <f>IF(AND(56&gt;=E14,OR(F14="",56&lt;=F14)),(D14*(1+assumptions!$G$76)^4/12*(1+assumptions!$G$70+assumptions!$G$71+IF(56&gt;=assumptions!$G$73,assumptions!$G$72,0))+assumptions!$G$74/12)+IF(56=E14,D14*assumptions!$G$75,0),0)</f>
        <v/>
      </c>
      <c r="BK14" s="17">
        <f>IF(AND(57&gt;=E14,OR(F14="",57&lt;=F14)),(D14*(1+assumptions!$G$76)^4/12*(1+assumptions!$G$70+assumptions!$G$71+IF(57&gt;=assumptions!$G$73,assumptions!$G$72,0))+assumptions!$G$74/12)+IF(57=E14,D14*assumptions!$G$75,0),0)</f>
        <v/>
      </c>
      <c r="BL14" s="17">
        <f>IF(AND(58&gt;=E14,OR(F14="",58&lt;=F14)),(D14*(1+assumptions!$G$76)^4/12*(1+assumptions!$G$70+assumptions!$G$71+IF(58&gt;=assumptions!$G$73,assumptions!$G$72,0))+assumptions!$G$74/12)+IF(58=E14,D14*assumptions!$G$75,0),0)</f>
        <v/>
      </c>
      <c r="BM14" s="17">
        <f>IF(AND(59&gt;=E14,OR(F14="",59&lt;=F14)),(D14*(1+assumptions!$G$76)^4/12*(1+assumptions!$G$70+assumptions!$G$71+IF(59&gt;=assumptions!$G$73,assumptions!$G$72,0))+assumptions!$G$74/12)+IF(59=E14,D14*assumptions!$G$75,0),0)</f>
        <v/>
      </c>
      <c r="BN14" s="17">
        <f>IF(AND(60&gt;=E14,OR(F14="",60&lt;=F14)),(D14*(1+assumptions!$G$76)^4/12*(1+assumptions!$G$70+assumptions!$G$71+IF(60&gt;=assumptions!$G$73,assumptions!$G$72,0))+assumptions!$G$74/12)+IF(60=E14,D14*assumptions!$G$75,0),0)</f>
        <v/>
      </c>
    </row>
    <row r="15">
      <c r="A15" s="5" t="n">
        <v>12</v>
      </c>
      <c r="B15" s="5" t="inlineStr">
        <is>
          <t>Growth marketer</t>
        </is>
      </c>
      <c r="C15" s="5" t="inlineStr">
        <is>
          <t>growth</t>
        </is>
      </c>
      <c r="D15" s="15" t="n">
        <v>60000</v>
      </c>
      <c r="E15" s="32" t="n">
        <v>9</v>
      </c>
      <c r="F15" s="32" t="n"/>
      <c r="G15" s="17">
        <f>IF(AND(1&gt;=E15,OR(F15="",1&lt;=F15)),(D15*(1+assumptions!$G$76)^0/12*(1+assumptions!$G$70+assumptions!$G$71+IF(1&gt;=assumptions!$G$73,assumptions!$G$72,0))+assumptions!$G$74/12)+IF(1=E15,D15*assumptions!$G$75,0),0)</f>
        <v/>
      </c>
      <c r="H15" s="17">
        <f>IF(AND(2&gt;=E15,OR(F15="",2&lt;=F15)),(D15*(1+assumptions!$G$76)^0/12*(1+assumptions!$G$70+assumptions!$G$71+IF(2&gt;=assumptions!$G$73,assumptions!$G$72,0))+assumptions!$G$74/12)+IF(2=E15,D15*assumptions!$G$75,0),0)</f>
        <v/>
      </c>
      <c r="I15" s="17">
        <f>IF(AND(3&gt;=E15,OR(F15="",3&lt;=F15)),(D15*(1+assumptions!$G$76)^0/12*(1+assumptions!$G$70+assumptions!$G$71+IF(3&gt;=assumptions!$G$73,assumptions!$G$72,0))+assumptions!$G$74/12)+IF(3=E15,D15*assumptions!$G$75,0),0)</f>
        <v/>
      </c>
      <c r="J15" s="17">
        <f>IF(AND(4&gt;=E15,OR(F15="",4&lt;=F15)),(D15*(1+assumptions!$G$76)^0/12*(1+assumptions!$G$70+assumptions!$G$71+IF(4&gt;=assumptions!$G$73,assumptions!$G$72,0))+assumptions!$G$74/12)+IF(4=E15,D15*assumptions!$G$75,0),0)</f>
        <v/>
      </c>
      <c r="K15" s="17">
        <f>IF(AND(5&gt;=E15,OR(F15="",5&lt;=F15)),(D15*(1+assumptions!$G$76)^0/12*(1+assumptions!$G$70+assumptions!$G$71+IF(5&gt;=assumptions!$G$73,assumptions!$G$72,0))+assumptions!$G$74/12)+IF(5=E15,D15*assumptions!$G$75,0),0)</f>
        <v/>
      </c>
      <c r="L15" s="17">
        <f>IF(AND(6&gt;=E15,OR(F15="",6&lt;=F15)),(D15*(1+assumptions!$G$76)^0/12*(1+assumptions!$G$70+assumptions!$G$71+IF(6&gt;=assumptions!$G$73,assumptions!$G$72,0))+assumptions!$G$74/12)+IF(6=E15,D15*assumptions!$G$75,0),0)</f>
        <v/>
      </c>
      <c r="M15" s="17">
        <f>IF(AND(7&gt;=E15,OR(F15="",7&lt;=F15)),(D15*(1+assumptions!$G$76)^0/12*(1+assumptions!$G$70+assumptions!$G$71+IF(7&gt;=assumptions!$G$73,assumptions!$G$72,0))+assumptions!$G$74/12)+IF(7=E15,D15*assumptions!$G$75,0),0)</f>
        <v/>
      </c>
      <c r="N15" s="17">
        <f>IF(AND(8&gt;=E15,OR(F15="",8&lt;=F15)),(D15*(1+assumptions!$G$76)^0/12*(1+assumptions!$G$70+assumptions!$G$71+IF(8&gt;=assumptions!$G$73,assumptions!$G$72,0))+assumptions!$G$74/12)+IF(8=E15,D15*assumptions!$G$75,0),0)</f>
        <v/>
      </c>
      <c r="O15" s="17">
        <f>IF(AND(9&gt;=E15,OR(F15="",9&lt;=F15)),(D15*(1+assumptions!$G$76)^0/12*(1+assumptions!$G$70+assumptions!$G$71+IF(9&gt;=assumptions!$G$73,assumptions!$G$72,0))+assumptions!$G$74/12)+IF(9=E15,D15*assumptions!$G$75,0),0)</f>
        <v/>
      </c>
      <c r="P15" s="17">
        <f>IF(AND(10&gt;=E15,OR(F15="",10&lt;=F15)),(D15*(1+assumptions!$G$76)^0/12*(1+assumptions!$G$70+assumptions!$G$71+IF(10&gt;=assumptions!$G$73,assumptions!$G$72,0))+assumptions!$G$74/12)+IF(10=E15,D15*assumptions!$G$75,0),0)</f>
        <v/>
      </c>
      <c r="Q15" s="17">
        <f>IF(AND(11&gt;=E15,OR(F15="",11&lt;=F15)),(D15*(1+assumptions!$G$76)^0/12*(1+assumptions!$G$70+assumptions!$G$71+IF(11&gt;=assumptions!$G$73,assumptions!$G$72,0))+assumptions!$G$74/12)+IF(11=E15,D15*assumptions!$G$75,0),0)</f>
        <v/>
      </c>
      <c r="R15" s="17">
        <f>IF(AND(12&gt;=E15,OR(F15="",12&lt;=F15)),(D15*(1+assumptions!$G$76)^0/12*(1+assumptions!$G$70+assumptions!$G$71+IF(12&gt;=assumptions!$G$73,assumptions!$G$72,0))+assumptions!$G$74/12)+IF(12=E15,D15*assumptions!$G$75,0),0)</f>
        <v/>
      </c>
      <c r="S15" s="17">
        <f>IF(AND(13&gt;=E15,OR(F15="",13&lt;=F15)),(D15*(1+assumptions!$G$76)^1/12*(1+assumptions!$G$70+assumptions!$G$71+IF(13&gt;=assumptions!$G$73,assumptions!$G$72,0))+assumptions!$G$74/12)+IF(13=E15,D15*assumptions!$G$75,0),0)</f>
        <v/>
      </c>
      <c r="T15" s="17">
        <f>IF(AND(14&gt;=E15,OR(F15="",14&lt;=F15)),(D15*(1+assumptions!$G$76)^1/12*(1+assumptions!$G$70+assumptions!$G$71+IF(14&gt;=assumptions!$G$73,assumptions!$G$72,0))+assumptions!$G$74/12)+IF(14=E15,D15*assumptions!$G$75,0),0)</f>
        <v/>
      </c>
      <c r="U15" s="17">
        <f>IF(AND(15&gt;=E15,OR(F15="",15&lt;=F15)),(D15*(1+assumptions!$G$76)^1/12*(1+assumptions!$G$70+assumptions!$G$71+IF(15&gt;=assumptions!$G$73,assumptions!$G$72,0))+assumptions!$G$74/12)+IF(15=E15,D15*assumptions!$G$75,0),0)</f>
        <v/>
      </c>
      <c r="V15" s="17">
        <f>IF(AND(16&gt;=E15,OR(F15="",16&lt;=F15)),(D15*(1+assumptions!$G$76)^1/12*(1+assumptions!$G$70+assumptions!$G$71+IF(16&gt;=assumptions!$G$73,assumptions!$G$72,0))+assumptions!$G$74/12)+IF(16=E15,D15*assumptions!$G$75,0),0)</f>
        <v/>
      </c>
      <c r="W15" s="17">
        <f>IF(AND(17&gt;=E15,OR(F15="",17&lt;=F15)),(D15*(1+assumptions!$G$76)^1/12*(1+assumptions!$G$70+assumptions!$G$71+IF(17&gt;=assumptions!$G$73,assumptions!$G$72,0))+assumptions!$G$74/12)+IF(17=E15,D15*assumptions!$G$75,0),0)</f>
        <v/>
      </c>
      <c r="X15" s="17">
        <f>IF(AND(18&gt;=E15,OR(F15="",18&lt;=F15)),(D15*(1+assumptions!$G$76)^1/12*(1+assumptions!$G$70+assumptions!$G$71+IF(18&gt;=assumptions!$G$73,assumptions!$G$72,0))+assumptions!$G$74/12)+IF(18=E15,D15*assumptions!$G$75,0),0)</f>
        <v/>
      </c>
      <c r="Y15" s="17">
        <f>IF(AND(19&gt;=E15,OR(F15="",19&lt;=F15)),(D15*(1+assumptions!$G$76)^1/12*(1+assumptions!$G$70+assumptions!$G$71+IF(19&gt;=assumptions!$G$73,assumptions!$G$72,0))+assumptions!$G$74/12)+IF(19=E15,D15*assumptions!$G$75,0),0)</f>
        <v/>
      </c>
      <c r="Z15" s="17">
        <f>IF(AND(20&gt;=E15,OR(F15="",20&lt;=F15)),(D15*(1+assumptions!$G$76)^1/12*(1+assumptions!$G$70+assumptions!$G$71+IF(20&gt;=assumptions!$G$73,assumptions!$G$72,0))+assumptions!$G$74/12)+IF(20=E15,D15*assumptions!$G$75,0),0)</f>
        <v/>
      </c>
      <c r="AA15" s="17">
        <f>IF(AND(21&gt;=E15,OR(F15="",21&lt;=F15)),(D15*(1+assumptions!$G$76)^1/12*(1+assumptions!$G$70+assumptions!$G$71+IF(21&gt;=assumptions!$G$73,assumptions!$G$72,0))+assumptions!$G$74/12)+IF(21=E15,D15*assumptions!$G$75,0),0)</f>
        <v/>
      </c>
      <c r="AB15" s="17">
        <f>IF(AND(22&gt;=E15,OR(F15="",22&lt;=F15)),(D15*(1+assumptions!$G$76)^1/12*(1+assumptions!$G$70+assumptions!$G$71+IF(22&gt;=assumptions!$G$73,assumptions!$G$72,0))+assumptions!$G$74/12)+IF(22=E15,D15*assumptions!$G$75,0),0)</f>
        <v/>
      </c>
      <c r="AC15" s="17">
        <f>IF(AND(23&gt;=E15,OR(F15="",23&lt;=F15)),(D15*(1+assumptions!$G$76)^1/12*(1+assumptions!$G$70+assumptions!$G$71+IF(23&gt;=assumptions!$G$73,assumptions!$G$72,0))+assumptions!$G$74/12)+IF(23=E15,D15*assumptions!$G$75,0),0)</f>
        <v/>
      </c>
      <c r="AD15" s="17">
        <f>IF(AND(24&gt;=E15,OR(F15="",24&lt;=F15)),(D15*(1+assumptions!$G$76)^1/12*(1+assumptions!$G$70+assumptions!$G$71+IF(24&gt;=assumptions!$G$73,assumptions!$G$72,0))+assumptions!$G$74/12)+IF(24=E15,D15*assumptions!$G$75,0),0)</f>
        <v/>
      </c>
      <c r="AE15" s="17">
        <f>IF(AND(25&gt;=E15,OR(F15="",25&lt;=F15)),(D15*(1+assumptions!$G$76)^2/12*(1+assumptions!$G$70+assumptions!$G$71+IF(25&gt;=assumptions!$G$73,assumptions!$G$72,0))+assumptions!$G$74/12)+IF(25=E15,D15*assumptions!$G$75,0),0)</f>
        <v/>
      </c>
      <c r="AF15" s="17">
        <f>IF(AND(26&gt;=E15,OR(F15="",26&lt;=F15)),(D15*(1+assumptions!$G$76)^2/12*(1+assumptions!$G$70+assumptions!$G$71+IF(26&gt;=assumptions!$G$73,assumptions!$G$72,0))+assumptions!$G$74/12)+IF(26=E15,D15*assumptions!$G$75,0),0)</f>
        <v/>
      </c>
      <c r="AG15" s="17">
        <f>IF(AND(27&gt;=E15,OR(F15="",27&lt;=F15)),(D15*(1+assumptions!$G$76)^2/12*(1+assumptions!$G$70+assumptions!$G$71+IF(27&gt;=assumptions!$G$73,assumptions!$G$72,0))+assumptions!$G$74/12)+IF(27=E15,D15*assumptions!$G$75,0),0)</f>
        <v/>
      </c>
      <c r="AH15" s="17">
        <f>IF(AND(28&gt;=E15,OR(F15="",28&lt;=F15)),(D15*(1+assumptions!$G$76)^2/12*(1+assumptions!$G$70+assumptions!$G$71+IF(28&gt;=assumptions!$G$73,assumptions!$G$72,0))+assumptions!$G$74/12)+IF(28=E15,D15*assumptions!$G$75,0),0)</f>
        <v/>
      </c>
      <c r="AI15" s="17">
        <f>IF(AND(29&gt;=E15,OR(F15="",29&lt;=F15)),(D15*(1+assumptions!$G$76)^2/12*(1+assumptions!$G$70+assumptions!$G$71+IF(29&gt;=assumptions!$G$73,assumptions!$G$72,0))+assumptions!$G$74/12)+IF(29=E15,D15*assumptions!$G$75,0),0)</f>
        <v/>
      </c>
      <c r="AJ15" s="17">
        <f>IF(AND(30&gt;=E15,OR(F15="",30&lt;=F15)),(D15*(1+assumptions!$G$76)^2/12*(1+assumptions!$G$70+assumptions!$G$71+IF(30&gt;=assumptions!$G$73,assumptions!$G$72,0))+assumptions!$G$74/12)+IF(30=E15,D15*assumptions!$G$75,0),0)</f>
        <v/>
      </c>
      <c r="AK15" s="17">
        <f>IF(AND(31&gt;=E15,OR(F15="",31&lt;=F15)),(D15*(1+assumptions!$G$76)^2/12*(1+assumptions!$G$70+assumptions!$G$71+IF(31&gt;=assumptions!$G$73,assumptions!$G$72,0))+assumptions!$G$74/12)+IF(31=E15,D15*assumptions!$G$75,0),0)</f>
        <v/>
      </c>
      <c r="AL15" s="17">
        <f>IF(AND(32&gt;=E15,OR(F15="",32&lt;=F15)),(D15*(1+assumptions!$G$76)^2/12*(1+assumptions!$G$70+assumptions!$G$71+IF(32&gt;=assumptions!$G$73,assumptions!$G$72,0))+assumptions!$G$74/12)+IF(32=E15,D15*assumptions!$G$75,0),0)</f>
        <v/>
      </c>
      <c r="AM15" s="17">
        <f>IF(AND(33&gt;=E15,OR(F15="",33&lt;=F15)),(D15*(1+assumptions!$G$76)^2/12*(1+assumptions!$G$70+assumptions!$G$71+IF(33&gt;=assumptions!$G$73,assumptions!$G$72,0))+assumptions!$G$74/12)+IF(33=E15,D15*assumptions!$G$75,0),0)</f>
        <v/>
      </c>
      <c r="AN15" s="17">
        <f>IF(AND(34&gt;=E15,OR(F15="",34&lt;=F15)),(D15*(1+assumptions!$G$76)^2/12*(1+assumptions!$G$70+assumptions!$G$71+IF(34&gt;=assumptions!$G$73,assumptions!$G$72,0))+assumptions!$G$74/12)+IF(34=E15,D15*assumptions!$G$75,0),0)</f>
        <v/>
      </c>
      <c r="AO15" s="17">
        <f>IF(AND(35&gt;=E15,OR(F15="",35&lt;=F15)),(D15*(1+assumptions!$G$76)^2/12*(1+assumptions!$G$70+assumptions!$G$71+IF(35&gt;=assumptions!$G$73,assumptions!$G$72,0))+assumptions!$G$74/12)+IF(35=E15,D15*assumptions!$G$75,0),0)</f>
        <v/>
      </c>
      <c r="AP15" s="17">
        <f>IF(AND(36&gt;=E15,OR(F15="",36&lt;=F15)),(D15*(1+assumptions!$G$76)^2/12*(1+assumptions!$G$70+assumptions!$G$71+IF(36&gt;=assumptions!$G$73,assumptions!$G$72,0))+assumptions!$G$74/12)+IF(36=E15,D15*assumptions!$G$75,0),0)</f>
        <v/>
      </c>
      <c r="AQ15" s="17">
        <f>IF(AND(37&gt;=E15,OR(F15="",37&lt;=F15)),(D15*(1+assumptions!$G$76)^3/12*(1+assumptions!$G$70+assumptions!$G$71+IF(37&gt;=assumptions!$G$73,assumptions!$G$72,0))+assumptions!$G$74/12)+IF(37=E15,D15*assumptions!$G$75,0),0)</f>
        <v/>
      </c>
      <c r="AR15" s="17">
        <f>IF(AND(38&gt;=E15,OR(F15="",38&lt;=F15)),(D15*(1+assumptions!$G$76)^3/12*(1+assumptions!$G$70+assumptions!$G$71+IF(38&gt;=assumptions!$G$73,assumptions!$G$72,0))+assumptions!$G$74/12)+IF(38=E15,D15*assumptions!$G$75,0),0)</f>
        <v/>
      </c>
      <c r="AS15" s="17">
        <f>IF(AND(39&gt;=E15,OR(F15="",39&lt;=F15)),(D15*(1+assumptions!$G$76)^3/12*(1+assumptions!$G$70+assumptions!$G$71+IF(39&gt;=assumptions!$G$73,assumptions!$G$72,0))+assumptions!$G$74/12)+IF(39=E15,D15*assumptions!$G$75,0),0)</f>
        <v/>
      </c>
      <c r="AT15" s="17">
        <f>IF(AND(40&gt;=E15,OR(F15="",40&lt;=F15)),(D15*(1+assumptions!$G$76)^3/12*(1+assumptions!$G$70+assumptions!$G$71+IF(40&gt;=assumptions!$G$73,assumptions!$G$72,0))+assumptions!$G$74/12)+IF(40=E15,D15*assumptions!$G$75,0),0)</f>
        <v/>
      </c>
      <c r="AU15" s="17">
        <f>IF(AND(41&gt;=E15,OR(F15="",41&lt;=F15)),(D15*(1+assumptions!$G$76)^3/12*(1+assumptions!$G$70+assumptions!$G$71+IF(41&gt;=assumptions!$G$73,assumptions!$G$72,0))+assumptions!$G$74/12)+IF(41=E15,D15*assumptions!$G$75,0),0)</f>
        <v/>
      </c>
      <c r="AV15" s="17">
        <f>IF(AND(42&gt;=E15,OR(F15="",42&lt;=F15)),(D15*(1+assumptions!$G$76)^3/12*(1+assumptions!$G$70+assumptions!$G$71+IF(42&gt;=assumptions!$G$73,assumptions!$G$72,0))+assumptions!$G$74/12)+IF(42=E15,D15*assumptions!$G$75,0),0)</f>
        <v/>
      </c>
      <c r="AW15" s="17">
        <f>IF(AND(43&gt;=E15,OR(F15="",43&lt;=F15)),(D15*(1+assumptions!$G$76)^3/12*(1+assumptions!$G$70+assumptions!$G$71+IF(43&gt;=assumptions!$G$73,assumptions!$G$72,0))+assumptions!$G$74/12)+IF(43=E15,D15*assumptions!$G$75,0),0)</f>
        <v/>
      </c>
      <c r="AX15" s="17">
        <f>IF(AND(44&gt;=E15,OR(F15="",44&lt;=F15)),(D15*(1+assumptions!$G$76)^3/12*(1+assumptions!$G$70+assumptions!$G$71+IF(44&gt;=assumptions!$G$73,assumptions!$G$72,0))+assumptions!$G$74/12)+IF(44=E15,D15*assumptions!$G$75,0),0)</f>
        <v/>
      </c>
      <c r="AY15" s="17">
        <f>IF(AND(45&gt;=E15,OR(F15="",45&lt;=F15)),(D15*(1+assumptions!$G$76)^3/12*(1+assumptions!$G$70+assumptions!$G$71+IF(45&gt;=assumptions!$G$73,assumptions!$G$72,0))+assumptions!$G$74/12)+IF(45=E15,D15*assumptions!$G$75,0),0)</f>
        <v/>
      </c>
      <c r="AZ15" s="17">
        <f>IF(AND(46&gt;=E15,OR(F15="",46&lt;=F15)),(D15*(1+assumptions!$G$76)^3/12*(1+assumptions!$G$70+assumptions!$G$71+IF(46&gt;=assumptions!$G$73,assumptions!$G$72,0))+assumptions!$G$74/12)+IF(46=E15,D15*assumptions!$G$75,0),0)</f>
        <v/>
      </c>
      <c r="BA15" s="17">
        <f>IF(AND(47&gt;=E15,OR(F15="",47&lt;=F15)),(D15*(1+assumptions!$G$76)^3/12*(1+assumptions!$G$70+assumptions!$G$71+IF(47&gt;=assumptions!$G$73,assumptions!$G$72,0))+assumptions!$G$74/12)+IF(47=E15,D15*assumptions!$G$75,0),0)</f>
        <v/>
      </c>
      <c r="BB15" s="17">
        <f>IF(AND(48&gt;=E15,OR(F15="",48&lt;=F15)),(D15*(1+assumptions!$G$76)^3/12*(1+assumptions!$G$70+assumptions!$G$71+IF(48&gt;=assumptions!$G$73,assumptions!$G$72,0))+assumptions!$G$74/12)+IF(48=E15,D15*assumptions!$G$75,0),0)</f>
        <v/>
      </c>
      <c r="BC15" s="17">
        <f>IF(AND(49&gt;=E15,OR(F15="",49&lt;=F15)),(D15*(1+assumptions!$G$76)^4/12*(1+assumptions!$G$70+assumptions!$G$71+IF(49&gt;=assumptions!$G$73,assumptions!$G$72,0))+assumptions!$G$74/12)+IF(49=E15,D15*assumptions!$G$75,0),0)</f>
        <v/>
      </c>
      <c r="BD15" s="17">
        <f>IF(AND(50&gt;=E15,OR(F15="",50&lt;=F15)),(D15*(1+assumptions!$G$76)^4/12*(1+assumptions!$G$70+assumptions!$G$71+IF(50&gt;=assumptions!$G$73,assumptions!$G$72,0))+assumptions!$G$74/12)+IF(50=E15,D15*assumptions!$G$75,0),0)</f>
        <v/>
      </c>
      <c r="BE15" s="17">
        <f>IF(AND(51&gt;=E15,OR(F15="",51&lt;=F15)),(D15*(1+assumptions!$G$76)^4/12*(1+assumptions!$G$70+assumptions!$G$71+IF(51&gt;=assumptions!$G$73,assumptions!$G$72,0))+assumptions!$G$74/12)+IF(51=E15,D15*assumptions!$G$75,0),0)</f>
        <v/>
      </c>
      <c r="BF15" s="17">
        <f>IF(AND(52&gt;=E15,OR(F15="",52&lt;=F15)),(D15*(1+assumptions!$G$76)^4/12*(1+assumptions!$G$70+assumptions!$G$71+IF(52&gt;=assumptions!$G$73,assumptions!$G$72,0))+assumptions!$G$74/12)+IF(52=E15,D15*assumptions!$G$75,0),0)</f>
        <v/>
      </c>
      <c r="BG15" s="17">
        <f>IF(AND(53&gt;=E15,OR(F15="",53&lt;=F15)),(D15*(1+assumptions!$G$76)^4/12*(1+assumptions!$G$70+assumptions!$G$71+IF(53&gt;=assumptions!$G$73,assumptions!$G$72,0))+assumptions!$G$74/12)+IF(53=E15,D15*assumptions!$G$75,0),0)</f>
        <v/>
      </c>
      <c r="BH15" s="17">
        <f>IF(AND(54&gt;=E15,OR(F15="",54&lt;=F15)),(D15*(1+assumptions!$G$76)^4/12*(1+assumptions!$G$70+assumptions!$G$71+IF(54&gt;=assumptions!$G$73,assumptions!$G$72,0))+assumptions!$G$74/12)+IF(54=E15,D15*assumptions!$G$75,0),0)</f>
        <v/>
      </c>
      <c r="BI15" s="17">
        <f>IF(AND(55&gt;=E15,OR(F15="",55&lt;=F15)),(D15*(1+assumptions!$G$76)^4/12*(1+assumptions!$G$70+assumptions!$G$71+IF(55&gt;=assumptions!$G$73,assumptions!$G$72,0))+assumptions!$G$74/12)+IF(55=E15,D15*assumptions!$G$75,0),0)</f>
        <v/>
      </c>
      <c r="BJ15" s="17">
        <f>IF(AND(56&gt;=E15,OR(F15="",56&lt;=F15)),(D15*(1+assumptions!$G$76)^4/12*(1+assumptions!$G$70+assumptions!$G$71+IF(56&gt;=assumptions!$G$73,assumptions!$G$72,0))+assumptions!$G$74/12)+IF(56=E15,D15*assumptions!$G$75,0),0)</f>
        <v/>
      </c>
      <c r="BK15" s="17">
        <f>IF(AND(57&gt;=E15,OR(F15="",57&lt;=F15)),(D15*(1+assumptions!$G$76)^4/12*(1+assumptions!$G$70+assumptions!$G$71+IF(57&gt;=assumptions!$G$73,assumptions!$G$72,0))+assumptions!$G$74/12)+IF(57=E15,D15*assumptions!$G$75,0),0)</f>
        <v/>
      </c>
      <c r="BL15" s="17">
        <f>IF(AND(58&gt;=E15,OR(F15="",58&lt;=F15)),(D15*(1+assumptions!$G$76)^4/12*(1+assumptions!$G$70+assumptions!$G$71+IF(58&gt;=assumptions!$G$73,assumptions!$G$72,0))+assumptions!$G$74/12)+IF(58=E15,D15*assumptions!$G$75,0),0)</f>
        <v/>
      </c>
      <c r="BM15" s="17">
        <f>IF(AND(59&gt;=E15,OR(F15="",59&lt;=F15)),(D15*(1+assumptions!$G$76)^4/12*(1+assumptions!$G$70+assumptions!$G$71+IF(59&gt;=assumptions!$G$73,assumptions!$G$72,0))+assumptions!$G$74/12)+IF(59=E15,D15*assumptions!$G$75,0),0)</f>
        <v/>
      </c>
      <c r="BN15" s="17">
        <f>IF(AND(60&gt;=E15,OR(F15="",60&lt;=F15)),(D15*(1+assumptions!$G$76)^4/12*(1+assumptions!$G$70+assumptions!$G$71+IF(60&gt;=assumptions!$G$73,assumptions!$G$72,0))+assumptions!$G$74/12)+IF(60=E15,D15*assumptions!$G$75,0),0)</f>
        <v/>
      </c>
    </row>
    <row r="16">
      <c r="A16" s="5" t="n">
        <v>13</v>
      </c>
      <c r="B16" s="5" t="inlineStr">
        <is>
          <t>Ops / finance lead</t>
        </is>
      </c>
      <c r="C16" s="5" t="inlineStr">
        <is>
          <t>ga</t>
        </is>
      </c>
      <c r="D16" s="15" t="n">
        <v>65000</v>
      </c>
      <c r="E16" s="32" t="n">
        <v>9</v>
      </c>
      <c r="F16" s="32" t="n"/>
      <c r="G16" s="17">
        <f>IF(AND(1&gt;=E16,OR(F16="",1&lt;=F16)),(D16*(1+assumptions!$G$76)^0/12*(1+assumptions!$G$70+assumptions!$G$71+IF(1&gt;=assumptions!$G$73,assumptions!$G$72,0))+assumptions!$G$74/12)+IF(1=E16,D16*assumptions!$G$75,0),0)</f>
        <v/>
      </c>
      <c r="H16" s="17">
        <f>IF(AND(2&gt;=E16,OR(F16="",2&lt;=F16)),(D16*(1+assumptions!$G$76)^0/12*(1+assumptions!$G$70+assumptions!$G$71+IF(2&gt;=assumptions!$G$73,assumptions!$G$72,0))+assumptions!$G$74/12)+IF(2=E16,D16*assumptions!$G$75,0),0)</f>
        <v/>
      </c>
      <c r="I16" s="17">
        <f>IF(AND(3&gt;=E16,OR(F16="",3&lt;=F16)),(D16*(1+assumptions!$G$76)^0/12*(1+assumptions!$G$70+assumptions!$G$71+IF(3&gt;=assumptions!$G$73,assumptions!$G$72,0))+assumptions!$G$74/12)+IF(3=E16,D16*assumptions!$G$75,0),0)</f>
        <v/>
      </c>
      <c r="J16" s="17">
        <f>IF(AND(4&gt;=E16,OR(F16="",4&lt;=F16)),(D16*(1+assumptions!$G$76)^0/12*(1+assumptions!$G$70+assumptions!$G$71+IF(4&gt;=assumptions!$G$73,assumptions!$G$72,0))+assumptions!$G$74/12)+IF(4=E16,D16*assumptions!$G$75,0),0)</f>
        <v/>
      </c>
      <c r="K16" s="17">
        <f>IF(AND(5&gt;=E16,OR(F16="",5&lt;=F16)),(D16*(1+assumptions!$G$76)^0/12*(1+assumptions!$G$70+assumptions!$G$71+IF(5&gt;=assumptions!$G$73,assumptions!$G$72,0))+assumptions!$G$74/12)+IF(5=E16,D16*assumptions!$G$75,0),0)</f>
        <v/>
      </c>
      <c r="L16" s="17">
        <f>IF(AND(6&gt;=E16,OR(F16="",6&lt;=F16)),(D16*(1+assumptions!$G$76)^0/12*(1+assumptions!$G$70+assumptions!$G$71+IF(6&gt;=assumptions!$G$73,assumptions!$G$72,0))+assumptions!$G$74/12)+IF(6=E16,D16*assumptions!$G$75,0),0)</f>
        <v/>
      </c>
      <c r="M16" s="17">
        <f>IF(AND(7&gt;=E16,OR(F16="",7&lt;=F16)),(D16*(1+assumptions!$G$76)^0/12*(1+assumptions!$G$70+assumptions!$G$71+IF(7&gt;=assumptions!$G$73,assumptions!$G$72,0))+assumptions!$G$74/12)+IF(7=E16,D16*assumptions!$G$75,0),0)</f>
        <v/>
      </c>
      <c r="N16" s="17">
        <f>IF(AND(8&gt;=E16,OR(F16="",8&lt;=F16)),(D16*(1+assumptions!$G$76)^0/12*(1+assumptions!$G$70+assumptions!$G$71+IF(8&gt;=assumptions!$G$73,assumptions!$G$72,0))+assumptions!$G$74/12)+IF(8=E16,D16*assumptions!$G$75,0),0)</f>
        <v/>
      </c>
      <c r="O16" s="17">
        <f>IF(AND(9&gt;=E16,OR(F16="",9&lt;=F16)),(D16*(1+assumptions!$G$76)^0/12*(1+assumptions!$G$70+assumptions!$G$71+IF(9&gt;=assumptions!$G$73,assumptions!$G$72,0))+assumptions!$G$74/12)+IF(9=E16,D16*assumptions!$G$75,0),0)</f>
        <v/>
      </c>
      <c r="P16" s="17">
        <f>IF(AND(10&gt;=E16,OR(F16="",10&lt;=F16)),(D16*(1+assumptions!$G$76)^0/12*(1+assumptions!$G$70+assumptions!$G$71+IF(10&gt;=assumptions!$G$73,assumptions!$G$72,0))+assumptions!$G$74/12)+IF(10=E16,D16*assumptions!$G$75,0),0)</f>
        <v/>
      </c>
      <c r="Q16" s="17">
        <f>IF(AND(11&gt;=E16,OR(F16="",11&lt;=F16)),(D16*(1+assumptions!$G$76)^0/12*(1+assumptions!$G$70+assumptions!$G$71+IF(11&gt;=assumptions!$G$73,assumptions!$G$72,0))+assumptions!$G$74/12)+IF(11=E16,D16*assumptions!$G$75,0),0)</f>
        <v/>
      </c>
      <c r="R16" s="17">
        <f>IF(AND(12&gt;=E16,OR(F16="",12&lt;=F16)),(D16*(1+assumptions!$G$76)^0/12*(1+assumptions!$G$70+assumptions!$G$71+IF(12&gt;=assumptions!$G$73,assumptions!$G$72,0))+assumptions!$G$74/12)+IF(12=E16,D16*assumptions!$G$75,0),0)</f>
        <v/>
      </c>
      <c r="S16" s="17">
        <f>IF(AND(13&gt;=E16,OR(F16="",13&lt;=F16)),(D16*(1+assumptions!$G$76)^1/12*(1+assumptions!$G$70+assumptions!$G$71+IF(13&gt;=assumptions!$G$73,assumptions!$G$72,0))+assumptions!$G$74/12)+IF(13=E16,D16*assumptions!$G$75,0),0)</f>
        <v/>
      </c>
      <c r="T16" s="17">
        <f>IF(AND(14&gt;=E16,OR(F16="",14&lt;=F16)),(D16*(1+assumptions!$G$76)^1/12*(1+assumptions!$G$70+assumptions!$G$71+IF(14&gt;=assumptions!$G$73,assumptions!$G$72,0))+assumptions!$G$74/12)+IF(14=E16,D16*assumptions!$G$75,0),0)</f>
        <v/>
      </c>
      <c r="U16" s="17">
        <f>IF(AND(15&gt;=E16,OR(F16="",15&lt;=F16)),(D16*(1+assumptions!$G$76)^1/12*(1+assumptions!$G$70+assumptions!$G$71+IF(15&gt;=assumptions!$G$73,assumptions!$G$72,0))+assumptions!$G$74/12)+IF(15=E16,D16*assumptions!$G$75,0),0)</f>
        <v/>
      </c>
      <c r="V16" s="17">
        <f>IF(AND(16&gt;=E16,OR(F16="",16&lt;=F16)),(D16*(1+assumptions!$G$76)^1/12*(1+assumptions!$G$70+assumptions!$G$71+IF(16&gt;=assumptions!$G$73,assumptions!$G$72,0))+assumptions!$G$74/12)+IF(16=E16,D16*assumptions!$G$75,0),0)</f>
        <v/>
      </c>
      <c r="W16" s="17">
        <f>IF(AND(17&gt;=E16,OR(F16="",17&lt;=F16)),(D16*(1+assumptions!$G$76)^1/12*(1+assumptions!$G$70+assumptions!$G$71+IF(17&gt;=assumptions!$G$73,assumptions!$G$72,0))+assumptions!$G$74/12)+IF(17=E16,D16*assumptions!$G$75,0),0)</f>
        <v/>
      </c>
      <c r="X16" s="17">
        <f>IF(AND(18&gt;=E16,OR(F16="",18&lt;=F16)),(D16*(1+assumptions!$G$76)^1/12*(1+assumptions!$G$70+assumptions!$G$71+IF(18&gt;=assumptions!$G$73,assumptions!$G$72,0))+assumptions!$G$74/12)+IF(18=E16,D16*assumptions!$G$75,0),0)</f>
        <v/>
      </c>
      <c r="Y16" s="17">
        <f>IF(AND(19&gt;=E16,OR(F16="",19&lt;=F16)),(D16*(1+assumptions!$G$76)^1/12*(1+assumptions!$G$70+assumptions!$G$71+IF(19&gt;=assumptions!$G$73,assumptions!$G$72,0))+assumptions!$G$74/12)+IF(19=E16,D16*assumptions!$G$75,0),0)</f>
        <v/>
      </c>
      <c r="Z16" s="17">
        <f>IF(AND(20&gt;=E16,OR(F16="",20&lt;=F16)),(D16*(1+assumptions!$G$76)^1/12*(1+assumptions!$G$70+assumptions!$G$71+IF(20&gt;=assumptions!$G$73,assumptions!$G$72,0))+assumptions!$G$74/12)+IF(20=E16,D16*assumptions!$G$75,0),0)</f>
        <v/>
      </c>
      <c r="AA16" s="17">
        <f>IF(AND(21&gt;=E16,OR(F16="",21&lt;=F16)),(D16*(1+assumptions!$G$76)^1/12*(1+assumptions!$G$70+assumptions!$G$71+IF(21&gt;=assumptions!$G$73,assumptions!$G$72,0))+assumptions!$G$74/12)+IF(21=E16,D16*assumptions!$G$75,0),0)</f>
        <v/>
      </c>
      <c r="AB16" s="17">
        <f>IF(AND(22&gt;=E16,OR(F16="",22&lt;=F16)),(D16*(1+assumptions!$G$76)^1/12*(1+assumptions!$G$70+assumptions!$G$71+IF(22&gt;=assumptions!$G$73,assumptions!$G$72,0))+assumptions!$G$74/12)+IF(22=E16,D16*assumptions!$G$75,0),0)</f>
        <v/>
      </c>
      <c r="AC16" s="17">
        <f>IF(AND(23&gt;=E16,OR(F16="",23&lt;=F16)),(D16*(1+assumptions!$G$76)^1/12*(1+assumptions!$G$70+assumptions!$G$71+IF(23&gt;=assumptions!$G$73,assumptions!$G$72,0))+assumptions!$G$74/12)+IF(23=E16,D16*assumptions!$G$75,0),0)</f>
        <v/>
      </c>
      <c r="AD16" s="17">
        <f>IF(AND(24&gt;=E16,OR(F16="",24&lt;=F16)),(D16*(1+assumptions!$G$76)^1/12*(1+assumptions!$G$70+assumptions!$G$71+IF(24&gt;=assumptions!$G$73,assumptions!$G$72,0))+assumptions!$G$74/12)+IF(24=E16,D16*assumptions!$G$75,0),0)</f>
        <v/>
      </c>
      <c r="AE16" s="17">
        <f>IF(AND(25&gt;=E16,OR(F16="",25&lt;=F16)),(D16*(1+assumptions!$G$76)^2/12*(1+assumptions!$G$70+assumptions!$G$71+IF(25&gt;=assumptions!$G$73,assumptions!$G$72,0))+assumptions!$G$74/12)+IF(25=E16,D16*assumptions!$G$75,0),0)</f>
        <v/>
      </c>
      <c r="AF16" s="17">
        <f>IF(AND(26&gt;=E16,OR(F16="",26&lt;=F16)),(D16*(1+assumptions!$G$76)^2/12*(1+assumptions!$G$70+assumptions!$G$71+IF(26&gt;=assumptions!$G$73,assumptions!$G$72,0))+assumptions!$G$74/12)+IF(26=E16,D16*assumptions!$G$75,0),0)</f>
        <v/>
      </c>
      <c r="AG16" s="17">
        <f>IF(AND(27&gt;=E16,OR(F16="",27&lt;=F16)),(D16*(1+assumptions!$G$76)^2/12*(1+assumptions!$G$70+assumptions!$G$71+IF(27&gt;=assumptions!$G$73,assumptions!$G$72,0))+assumptions!$G$74/12)+IF(27=E16,D16*assumptions!$G$75,0),0)</f>
        <v/>
      </c>
      <c r="AH16" s="17">
        <f>IF(AND(28&gt;=E16,OR(F16="",28&lt;=F16)),(D16*(1+assumptions!$G$76)^2/12*(1+assumptions!$G$70+assumptions!$G$71+IF(28&gt;=assumptions!$G$73,assumptions!$G$72,0))+assumptions!$G$74/12)+IF(28=E16,D16*assumptions!$G$75,0),0)</f>
        <v/>
      </c>
      <c r="AI16" s="17">
        <f>IF(AND(29&gt;=E16,OR(F16="",29&lt;=F16)),(D16*(1+assumptions!$G$76)^2/12*(1+assumptions!$G$70+assumptions!$G$71+IF(29&gt;=assumptions!$G$73,assumptions!$G$72,0))+assumptions!$G$74/12)+IF(29=E16,D16*assumptions!$G$75,0),0)</f>
        <v/>
      </c>
      <c r="AJ16" s="17">
        <f>IF(AND(30&gt;=E16,OR(F16="",30&lt;=F16)),(D16*(1+assumptions!$G$76)^2/12*(1+assumptions!$G$70+assumptions!$G$71+IF(30&gt;=assumptions!$G$73,assumptions!$G$72,0))+assumptions!$G$74/12)+IF(30=E16,D16*assumptions!$G$75,0),0)</f>
        <v/>
      </c>
      <c r="AK16" s="17">
        <f>IF(AND(31&gt;=E16,OR(F16="",31&lt;=F16)),(D16*(1+assumptions!$G$76)^2/12*(1+assumptions!$G$70+assumptions!$G$71+IF(31&gt;=assumptions!$G$73,assumptions!$G$72,0))+assumptions!$G$74/12)+IF(31=E16,D16*assumptions!$G$75,0),0)</f>
        <v/>
      </c>
      <c r="AL16" s="17">
        <f>IF(AND(32&gt;=E16,OR(F16="",32&lt;=F16)),(D16*(1+assumptions!$G$76)^2/12*(1+assumptions!$G$70+assumptions!$G$71+IF(32&gt;=assumptions!$G$73,assumptions!$G$72,0))+assumptions!$G$74/12)+IF(32=E16,D16*assumptions!$G$75,0),0)</f>
        <v/>
      </c>
      <c r="AM16" s="17">
        <f>IF(AND(33&gt;=E16,OR(F16="",33&lt;=F16)),(D16*(1+assumptions!$G$76)^2/12*(1+assumptions!$G$70+assumptions!$G$71+IF(33&gt;=assumptions!$G$73,assumptions!$G$72,0))+assumptions!$G$74/12)+IF(33=E16,D16*assumptions!$G$75,0),0)</f>
        <v/>
      </c>
      <c r="AN16" s="17">
        <f>IF(AND(34&gt;=E16,OR(F16="",34&lt;=F16)),(D16*(1+assumptions!$G$76)^2/12*(1+assumptions!$G$70+assumptions!$G$71+IF(34&gt;=assumptions!$G$73,assumptions!$G$72,0))+assumptions!$G$74/12)+IF(34=E16,D16*assumptions!$G$75,0),0)</f>
        <v/>
      </c>
      <c r="AO16" s="17">
        <f>IF(AND(35&gt;=E16,OR(F16="",35&lt;=F16)),(D16*(1+assumptions!$G$76)^2/12*(1+assumptions!$G$70+assumptions!$G$71+IF(35&gt;=assumptions!$G$73,assumptions!$G$72,0))+assumptions!$G$74/12)+IF(35=E16,D16*assumptions!$G$75,0),0)</f>
        <v/>
      </c>
      <c r="AP16" s="17">
        <f>IF(AND(36&gt;=E16,OR(F16="",36&lt;=F16)),(D16*(1+assumptions!$G$76)^2/12*(1+assumptions!$G$70+assumptions!$G$71+IF(36&gt;=assumptions!$G$73,assumptions!$G$72,0))+assumptions!$G$74/12)+IF(36=E16,D16*assumptions!$G$75,0),0)</f>
        <v/>
      </c>
      <c r="AQ16" s="17">
        <f>IF(AND(37&gt;=E16,OR(F16="",37&lt;=F16)),(D16*(1+assumptions!$G$76)^3/12*(1+assumptions!$G$70+assumptions!$G$71+IF(37&gt;=assumptions!$G$73,assumptions!$G$72,0))+assumptions!$G$74/12)+IF(37=E16,D16*assumptions!$G$75,0),0)</f>
        <v/>
      </c>
      <c r="AR16" s="17">
        <f>IF(AND(38&gt;=E16,OR(F16="",38&lt;=F16)),(D16*(1+assumptions!$G$76)^3/12*(1+assumptions!$G$70+assumptions!$G$71+IF(38&gt;=assumptions!$G$73,assumptions!$G$72,0))+assumptions!$G$74/12)+IF(38=E16,D16*assumptions!$G$75,0),0)</f>
        <v/>
      </c>
      <c r="AS16" s="17">
        <f>IF(AND(39&gt;=E16,OR(F16="",39&lt;=F16)),(D16*(1+assumptions!$G$76)^3/12*(1+assumptions!$G$70+assumptions!$G$71+IF(39&gt;=assumptions!$G$73,assumptions!$G$72,0))+assumptions!$G$74/12)+IF(39=E16,D16*assumptions!$G$75,0),0)</f>
        <v/>
      </c>
      <c r="AT16" s="17">
        <f>IF(AND(40&gt;=E16,OR(F16="",40&lt;=F16)),(D16*(1+assumptions!$G$76)^3/12*(1+assumptions!$G$70+assumptions!$G$71+IF(40&gt;=assumptions!$G$73,assumptions!$G$72,0))+assumptions!$G$74/12)+IF(40=E16,D16*assumptions!$G$75,0),0)</f>
        <v/>
      </c>
      <c r="AU16" s="17">
        <f>IF(AND(41&gt;=E16,OR(F16="",41&lt;=F16)),(D16*(1+assumptions!$G$76)^3/12*(1+assumptions!$G$70+assumptions!$G$71+IF(41&gt;=assumptions!$G$73,assumptions!$G$72,0))+assumptions!$G$74/12)+IF(41=E16,D16*assumptions!$G$75,0),0)</f>
        <v/>
      </c>
      <c r="AV16" s="17">
        <f>IF(AND(42&gt;=E16,OR(F16="",42&lt;=F16)),(D16*(1+assumptions!$G$76)^3/12*(1+assumptions!$G$70+assumptions!$G$71+IF(42&gt;=assumptions!$G$73,assumptions!$G$72,0))+assumptions!$G$74/12)+IF(42=E16,D16*assumptions!$G$75,0),0)</f>
        <v/>
      </c>
      <c r="AW16" s="17">
        <f>IF(AND(43&gt;=E16,OR(F16="",43&lt;=F16)),(D16*(1+assumptions!$G$76)^3/12*(1+assumptions!$G$70+assumptions!$G$71+IF(43&gt;=assumptions!$G$73,assumptions!$G$72,0))+assumptions!$G$74/12)+IF(43=E16,D16*assumptions!$G$75,0),0)</f>
        <v/>
      </c>
      <c r="AX16" s="17">
        <f>IF(AND(44&gt;=E16,OR(F16="",44&lt;=F16)),(D16*(1+assumptions!$G$76)^3/12*(1+assumptions!$G$70+assumptions!$G$71+IF(44&gt;=assumptions!$G$73,assumptions!$G$72,0))+assumptions!$G$74/12)+IF(44=E16,D16*assumptions!$G$75,0),0)</f>
        <v/>
      </c>
      <c r="AY16" s="17">
        <f>IF(AND(45&gt;=E16,OR(F16="",45&lt;=F16)),(D16*(1+assumptions!$G$76)^3/12*(1+assumptions!$G$70+assumptions!$G$71+IF(45&gt;=assumptions!$G$73,assumptions!$G$72,0))+assumptions!$G$74/12)+IF(45=E16,D16*assumptions!$G$75,0),0)</f>
        <v/>
      </c>
      <c r="AZ16" s="17">
        <f>IF(AND(46&gt;=E16,OR(F16="",46&lt;=F16)),(D16*(1+assumptions!$G$76)^3/12*(1+assumptions!$G$70+assumptions!$G$71+IF(46&gt;=assumptions!$G$73,assumptions!$G$72,0))+assumptions!$G$74/12)+IF(46=E16,D16*assumptions!$G$75,0),0)</f>
        <v/>
      </c>
      <c r="BA16" s="17">
        <f>IF(AND(47&gt;=E16,OR(F16="",47&lt;=F16)),(D16*(1+assumptions!$G$76)^3/12*(1+assumptions!$G$70+assumptions!$G$71+IF(47&gt;=assumptions!$G$73,assumptions!$G$72,0))+assumptions!$G$74/12)+IF(47=E16,D16*assumptions!$G$75,0),0)</f>
        <v/>
      </c>
      <c r="BB16" s="17">
        <f>IF(AND(48&gt;=E16,OR(F16="",48&lt;=F16)),(D16*(1+assumptions!$G$76)^3/12*(1+assumptions!$G$70+assumptions!$G$71+IF(48&gt;=assumptions!$G$73,assumptions!$G$72,0))+assumptions!$G$74/12)+IF(48=E16,D16*assumptions!$G$75,0),0)</f>
        <v/>
      </c>
      <c r="BC16" s="17">
        <f>IF(AND(49&gt;=E16,OR(F16="",49&lt;=F16)),(D16*(1+assumptions!$G$76)^4/12*(1+assumptions!$G$70+assumptions!$G$71+IF(49&gt;=assumptions!$G$73,assumptions!$G$72,0))+assumptions!$G$74/12)+IF(49=E16,D16*assumptions!$G$75,0),0)</f>
        <v/>
      </c>
      <c r="BD16" s="17">
        <f>IF(AND(50&gt;=E16,OR(F16="",50&lt;=F16)),(D16*(1+assumptions!$G$76)^4/12*(1+assumptions!$G$70+assumptions!$G$71+IF(50&gt;=assumptions!$G$73,assumptions!$G$72,0))+assumptions!$G$74/12)+IF(50=E16,D16*assumptions!$G$75,0),0)</f>
        <v/>
      </c>
      <c r="BE16" s="17">
        <f>IF(AND(51&gt;=E16,OR(F16="",51&lt;=F16)),(D16*(1+assumptions!$G$76)^4/12*(1+assumptions!$G$70+assumptions!$G$71+IF(51&gt;=assumptions!$G$73,assumptions!$G$72,0))+assumptions!$G$74/12)+IF(51=E16,D16*assumptions!$G$75,0),0)</f>
        <v/>
      </c>
      <c r="BF16" s="17">
        <f>IF(AND(52&gt;=E16,OR(F16="",52&lt;=F16)),(D16*(1+assumptions!$G$76)^4/12*(1+assumptions!$G$70+assumptions!$G$71+IF(52&gt;=assumptions!$G$73,assumptions!$G$72,0))+assumptions!$G$74/12)+IF(52=E16,D16*assumptions!$G$75,0),0)</f>
        <v/>
      </c>
      <c r="BG16" s="17">
        <f>IF(AND(53&gt;=E16,OR(F16="",53&lt;=F16)),(D16*(1+assumptions!$G$76)^4/12*(1+assumptions!$G$70+assumptions!$G$71+IF(53&gt;=assumptions!$G$73,assumptions!$G$72,0))+assumptions!$G$74/12)+IF(53=E16,D16*assumptions!$G$75,0),0)</f>
        <v/>
      </c>
      <c r="BH16" s="17">
        <f>IF(AND(54&gt;=E16,OR(F16="",54&lt;=F16)),(D16*(1+assumptions!$G$76)^4/12*(1+assumptions!$G$70+assumptions!$G$71+IF(54&gt;=assumptions!$G$73,assumptions!$G$72,0))+assumptions!$G$74/12)+IF(54=E16,D16*assumptions!$G$75,0),0)</f>
        <v/>
      </c>
      <c r="BI16" s="17">
        <f>IF(AND(55&gt;=E16,OR(F16="",55&lt;=F16)),(D16*(1+assumptions!$G$76)^4/12*(1+assumptions!$G$70+assumptions!$G$71+IF(55&gt;=assumptions!$G$73,assumptions!$G$72,0))+assumptions!$G$74/12)+IF(55=E16,D16*assumptions!$G$75,0),0)</f>
        <v/>
      </c>
      <c r="BJ16" s="17">
        <f>IF(AND(56&gt;=E16,OR(F16="",56&lt;=F16)),(D16*(1+assumptions!$G$76)^4/12*(1+assumptions!$G$70+assumptions!$G$71+IF(56&gt;=assumptions!$G$73,assumptions!$G$72,0))+assumptions!$G$74/12)+IF(56=E16,D16*assumptions!$G$75,0),0)</f>
        <v/>
      </c>
      <c r="BK16" s="17">
        <f>IF(AND(57&gt;=E16,OR(F16="",57&lt;=F16)),(D16*(1+assumptions!$G$76)^4/12*(1+assumptions!$G$70+assumptions!$G$71+IF(57&gt;=assumptions!$G$73,assumptions!$G$72,0))+assumptions!$G$74/12)+IF(57=E16,D16*assumptions!$G$75,0),0)</f>
        <v/>
      </c>
      <c r="BL16" s="17">
        <f>IF(AND(58&gt;=E16,OR(F16="",58&lt;=F16)),(D16*(1+assumptions!$G$76)^4/12*(1+assumptions!$G$70+assumptions!$G$71+IF(58&gt;=assumptions!$G$73,assumptions!$G$72,0))+assumptions!$G$74/12)+IF(58=E16,D16*assumptions!$G$75,0),0)</f>
        <v/>
      </c>
      <c r="BM16" s="17">
        <f>IF(AND(59&gt;=E16,OR(F16="",59&lt;=F16)),(D16*(1+assumptions!$G$76)^4/12*(1+assumptions!$G$70+assumptions!$G$71+IF(59&gt;=assumptions!$G$73,assumptions!$G$72,0))+assumptions!$G$74/12)+IF(59=E16,D16*assumptions!$G$75,0),0)</f>
        <v/>
      </c>
      <c r="BN16" s="17">
        <f>IF(AND(60&gt;=E16,OR(F16="",60&lt;=F16)),(D16*(1+assumptions!$G$76)^4/12*(1+assumptions!$G$70+assumptions!$G$71+IF(60&gt;=assumptions!$G$73,assumptions!$G$72,0))+assumptions!$G$74/12)+IF(60=E16,D16*assumptions!$G$75,0),0)</f>
        <v/>
      </c>
    </row>
    <row r="17">
      <c r="A17" s="5" t="n">
        <v>14</v>
      </c>
      <c r="B17" s="5" t="inlineStr">
        <is>
          <t>Senior engineer #2</t>
        </is>
      </c>
      <c r="C17" s="5" t="inlineStr">
        <is>
          <t>eng</t>
        </is>
      </c>
      <c r="D17" s="15" t="n">
        <v>90000</v>
      </c>
      <c r="E17" s="32" t="n">
        <v>12</v>
      </c>
      <c r="F17" s="32" t="n"/>
      <c r="G17" s="17">
        <f>IF(AND(1&gt;=E17,OR(F17="",1&lt;=F17)),(D17*(1+assumptions!$G$76)^0/12*(1+assumptions!$G$70+assumptions!$G$71+IF(1&gt;=assumptions!$G$73,assumptions!$G$72,0))+assumptions!$G$74/12)+IF(1=E17,D17*assumptions!$G$75,0),0)</f>
        <v/>
      </c>
      <c r="H17" s="17">
        <f>IF(AND(2&gt;=E17,OR(F17="",2&lt;=F17)),(D17*(1+assumptions!$G$76)^0/12*(1+assumptions!$G$70+assumptions!$G$71+IF(2&gt;=assumptions!$G$73,assumptions!$G$72,0))+assumptions!$G$74/12)+IF(2=E17,D17*assumptions!$G$75,0),0)</f>
        <v/>
      </c>
      <c r="I17" s="17">
        <f>IF(AND(3&gt;=E17,OR(F17="",3&lt;=F17)),(D17*(1+assumptions!$G$76)^0/12*(1+assumptions!$G$70+assumptions!$G$71+IF(3&gt;=assumptions!$G$73,assumptions!$G$72,0))+assumptions!$G$74/12)+IF(3=E17,D17*assumptions!$G$75,0),0)</f>
        <v/>
      </c>
      <c r="J17" s="17">
        <f>IF(AND(4&gt;=E17,OR(F17="",4&lt;=F17)),(D17*(1+assumptions!$G$76)^0/12*(1+assumptions!$G$70+assumptions!$G$71+IF(4&gt;=assumptions!$G$73,assumptions!$G$72,0))+assumptions!$G$74/12)+IF(4=E17,D17*assumptions!$G$75,0),0)</f>
        <v/>
      </c>
      <c r="K17" s="17">
        <f>IF(AND(5&gt;=E17,OR(F17="",5&lt;=F17)),(D17*(1+assumptions!$G$76)^0/12*(1+assumptions!$G$70+assumptions!$G$71+IF(5&gt;=assumptions!$G$73,assumptions!$G$72,0))+assumptions!$G$74/12)+IF(5=E17,D17*assumptions!$G$75,0),0)</f>
        <v/>
      </c>
      <c r="L17" s="17">
        <f>IF(AND(6&gt;=E17,OR(F17="",6&lt;=F17)),(D17*(1+assumptions!$G$76)^0/12*(1+assumptions!$G$70+assumptions!$G$71+IF(6&gt;=assumptions!$G$73,assumptions!$G$72,0))+assumptions!$G$74/12)+IF(6=E17,D17*assumptions!$G$75,0),0)</f>
        <v/>
      </c>
      <c r="M17" s="17">
        <f>IF(AND(7&gt;=E17,OR(F17="",7&lt;=F17)),(D17*(1+assumptions!$G$76)^0/12*(1+assumptions!$G$70+assumptions!$G$71+IF(7&gt;=assumptions!$G$73,assumptions!$G$72,0))+assumptions!$G$74/12)+IF(7=E17,D17*assumptions!$G$75,0),0)</f>
        <v/>
      </c>
      <c r="N17" s="17">
        <f>IF(AND(8&gt;=E17,OR(F17="",8&lt;=F17)),(D17*(1+assumptions!$G$76)^0/12*(1+assumptions!$G$70+assumptions!$G$71+IF(8&gt;=assumptions!$G$73,assumptions!$G$72,0))+assumptions!$G$74/12)+IF(8=E17,D17*assumptions!$G$75,0),0)</f>
        <v/>
      </c>
      <c r="O17" s="17">
        <f>IF(AND(9&gt;=E17,OR(F17="",9&lt;=F17)),(D17*(1+assumptions!$G$76)^0/12*(1+assumptions!$G$70+assumptions!$G$71+IF(9&gt;=assumptions!$G$73,assumptions!$G$72,0))+assumptions!$G$74/12)+IF(9=E17,D17*assumptions!$G$75,0),0)</f>
        <v/>
      </c>
      <c r="P17" s="17">
        <f>IF(AND(10&gt;=E17,OR(F17="",10&lt;=F17)),(D17*(1+assumptions!$G$76)^0/12*(1+assumptions!$G$70+assumptions!$G$71+IF(10&gt;=assumptions!$G$73,assumptions!$G$72,0))+assumptions!$G$74/12)+IF(10=E17,D17*assumptions!$G$75,0),0)</f>
        <v/>
      </c>
      <c r="Q17" s="17">
        <f>IF(AND(11&gt;=E17,OR(F17="",11&lt;=F17)),(D17*(1+assumptions!$G$76)^0/12*(1+assumptions!$G$70+assumptions!$G$71+IF(11&gt;=assumptions!$G$73,assumptions!$G$72,0))+assumptions!$G$74/12)+IF(11=E17,D17*assumptions!$G$75,0),0)</f>
        <v/>
      </c>
      <c r="R17" s="17">
        <f>IF(AND(12&gt;=E17,OR(F17="",12&lt;=F17)),(D17*(1+assumptions!$G$76)^0/12*(1+assumptions!$G$70+assumptions!$G$71+IF(12&gt;=assumptions!$G$73,assumptions!$G$72,0))+assumptions!$G$74/12)+IF(12=E17,D17*assumptions!$G$75,0),0)</f>
        <v/>
      </c>
      <c r="S17" s="17">
        <f>IF(AND(13&gt;=E17,OR(F17="",13&lt;=F17)),(D17*(1+assumptions!$G$76)^1/12*(1+assumptions!$G$70+assumptions!$G$71+IF(13&gt;=assumptions!$G$73,assumptions!$G$72,0))+assumptions!$G$74/12)+IF(13=E17,D17*assumptions!$G$75,0),0)</f>
        <v/>
      </c>
      <c r="T17" s="17">
        <f>IF(AND(14&gt;=E17,OR(F17="",14&lt;=F17)),(D17*(1+assumptions!$G$76)^1/12*(1+assumptions!$G$70+assumptions!$G$71+IF(14&gt;=assumptions!$G$73,assumptions!$G$72,0))+assumptions!$G$74/12)+IF(14=E17,D17*assumptions!$G$75,0),0)</f>
        <v/>
      </c>
      <c r="U17" s="17">
        <f>IF(AND(15&gt;=E17,OR(F17="",15&lt;=F17)),(D17*(1+assumptions!$G$76)^1/12*(1+assumptions!$G$70+assumptions!$G$71+IF(15&gt;=assumptions!$G$73,assumptions!$G$72,0))+assumptions!$G$74/12)+IF(15=E17,D17*assumptions!$G$75,0),0)</f>
        <v/>
      </c>
      <c r="V17" s="17">
        <f>IF(AND(16&gt;=E17,OR(F17="",16&lt;=F17)),(D17*(1+assumptions!$G$76)^1/12*(1+assumptions!$G$70+assumptions!$G$71+IF(16&gt;=assumptions!$G$73,assumptions!$G$72,0))+assumptions!$G$74/12)+IF(16=E17,D17*assumptions!$G$75,0),0)</f>
        <v/>
      </c>
      <c r="W17" s="17">
        <f>IF(AND(17&gt;=E17,OR(F17="",17&lt;=F17)),(D17*(1+assumptions!$G$76)^1/12*(1+assumptions!$G$70+assumptions!$G$71+IF(17&gt;=assumptions!$G$73,assumptions!$G$72,0))+assumptions!$G$74/12)+IF(17=E17,D17*assumptions!$G$75,0),0)</f>
        <v/>
      </c>
      <c r="X17" s="17">
        <f>IF(AND(18&gt;=E17,OR(F17="",18&lt;=F17)),(D17*(1+assumptions!$G$76)^1/12*(1+assumptions!$G$70+assumptions!$G$71+IF(18&gt;=assumptions!$G$73,assumptions!$G$72,0))+assumptions!$G$74/12)+IF(18=E17,D17*assumptions!$G$75,0),0)</f>
        <v/>
      </c>
      <c r="Y17" s="17">
        <f>IF(AND(19&gt;=E17,OR(F17="",19&lt;=F17)),(D17*(1+assumptions!$G$76)^1/12*(1+assumptions!$G$70+assumptions!$G$71+IF(19&gt;=assumptions!$G$73,assumptions!$G$72,0))+assumptions!$G$74/12)+IF(19=E17,D17*assumptions!$G$75,0),0)</f>
        <v/>
      </c>
      <c r="Z17" s="17">
        <f>IF(AND(20&gt;=E17,OR(F17="",20&lt;=F17)),(D17*(1+assumptions!$G$76)^1/12*(1+assumptions!$G$70+assumptions!$G$71+IF(20&gt;=assumptions!$G$73,assumptions!$G$72,0))+assumptions!$G$74/12)+IF(20=E17,D17*assumptions!$G$75,0),0)</f>
        <v/>
      </c>
      <c r="AA17" s="17">
        <f>IF(AND(21&gt;=E17,OR(F17="",21&lt;=F17)),(D17*(1+assumptions!$G$76)^1/12*(1+assumptions!$G$70+assumptions!$G$71+IF(21&gt;=assumptions!$G$73,assumptions!$G$72,0))+assumptions!$G$74/12)+IF(21=E17,D17*assumptions!$G$75,0),0)</f>
        <v/>
      </c>
      <c r="AB17" s="17">
        <f>IF(AND(22&gt;=E17,OR(F17="",22&lt;=F17)),(D17*(1+assumptions!$G$76)^1/12*(1+assumptions!$G$70+assumptions!$G$71+IF(22&gt;=assumptions!$G$73,assumptions!$G$72,0))+assumptions!$G$74/12)+IF(22=E17,D17*assumptions!$G$75,0),0)</f>
        <v/>
      </c>
      <c r="AC17" s="17">
        <f>IF(AND(23&gt;=E17,OR(F17="",23&lt;=F17)),(D17*(1+assumptions!$G$76)^1/12*(1+assumptions!$G$70+assumptions!$G$71+IF(23&gt;=assumptions!$G$73,assumptions!$G$72,0))+assumptions!$G$74/12)+IF(23=E17,D17*assumptions!$G$75,0),0)</f>
        <v/>
      </c>
      <c r="AD17" s="17">
        <f>IF(AND(24&gt;=E17,OR(F17="",24&lt;=F17)),(D17*(1+assumptions!$G$76)^1/12*(1+assumptions!$G$70+assumptions!$G$71+IF(24&gt;=assumptions!$G$73,assumptions!$G$72,0))+assumptions!$G$74/12)+IF(24=E17,D17*assumptions!$G$75,0),0)</f>
        <v/>
      </c>
      <c r="AE17" s="17">
        <f>IF(AND(25&gt;=E17,OR(F17="",25&lt;=F17)),(D17*(1+assumptions!$G$76)^2/12*(1+assumptions!$G$70+assumptions!$G$71+IF(25&gt;=assumptions!$G$73,assumptions!$G$72,0))+assumptions!$G$74/12)+IF(25=E17,D17*assumptions!$G$75,0),0)</f>
        <v/>
      </c>
      <c r="AF17" s="17">
        <f>IF(AND(26&gt;=E17,OR(F17="",26&lt;=F17)),(D17*(1+assumptions!$G$76)^2/12*(1+assumptions!$G$70+assumptions!$G$71+IF(26&gt;=assumptions!$G$73,assumptions!$G$72,0))+assumptions!$G$74/12)+IF(26=E17,D17*assumptions!$G$75,0),0)</f>
        <v/>
      </c>
      <c r="AG17" s="17">
        <f>IF(AND(27&gt;=E17,OR(F17="",27&lt;=F17)),(D17*(1+assumptions!$G$76)^2/12*(1+assumptions!$G$70+assumptions!$G$71+IF(27&gt;=assumptions!$G$73,assumptions!$G$72,0))+assumptions!$G$74/12)+IF(27=E17,D17*assumptions!$G$75,0),0)</f>
        <v/>
      </c>
      <c r="AH17" s="17">
        <f>IF(AND(28&gt;=E17,OR(F17="",28&lt;=F17)),(D17*(1+assumptions!$G$76)^2/12*(1+assumptions!$G$70+assumptions!$G$71+IF(28&gt;=assumptions!$G$73,assumptions!$G$72,0))+assumptions!$G$74/12)+IF(28=E17,D17*assumptions!$G$75,0),0)</f>
        <v/>
      </c>
      <c r="AI17" s="17">
        <f>IF(AND(29&gt;=E17,OR(F17="",29&lt;=F17)),(D17*(1+assumptions!$G$76)^2/12*(1+assumptions!$G$70+assumptions!$G$71+IF(29&gt;=assumptions!$G$73,assumptions!$G$72,0))+assumptions!$G$74/12)+IF(29=E17,D17*assumptions!$G$75,0),0)</f>
        <v/>
      </c>
      <c r="AJ17" s="17">
        <f>IF(AND(30&gt;=E17,OR(F17="",30&lt;=F17)),(D17*(1+assumptions!$G$76)^2/12*(1+assumptions!$G$70+assumptions!$G$71+IF(30&gt;=assumptions!$G$73,assumptions!$G$72,0))+assumptions!$G$74/12)+IF(30=E17,D17*assumptions!$G$75,0),0)</f>
        <v/>
      </c>
      <c r="AK17" s="17">
        <f>IF(AND(31&gt;=E17,OR(F17="",31&lt;=F17)),(D17*(1+assumptions!$G$76)^2/12*(1+assumptions!$G$70+assumptions!$G$71+IF(31&gt;=assumptions!$G$73,assumptions!$G$72,0))+assumptions!$G$74/12)+IF(31=E17,D17*assumptions!$G$75,0),0)</f>
        <v/>
      </c>
      <c r="AL17" s="17">
        <f>IF(AND(32&gt;=E17,OR(F17="",32&lt;=F17)),(D17*(1+assumptions!$G$76)^2/12*(1+assumptions!$G$70+assumptions!$G$71+IF(32&gt;=assumptions!$G$73,assumptions!$G$72,0))+assumptions!$G$74/12)+IF(32=E17,D17*assumptions!$G$75,0),0)</f>
        <v/>
      </c>
      <c r="AM17" s="17">
        <f>IF(AND(33&gt;=E17,OR(F17="",33&lt;=F17)),(D17*(1+assumptions!$G$76)^2/12*(1+assumptions!$G$70+assumptions!$G$71+IF(33&gt;=assumptions!$G$73,assumptions!$G$72,0))+assumptions!$G$74/12)+IF(33=E17,D17*assumptions!$G$75,0),0)</f>
        <v/>
      </c>
      <c r="AN17" s="17">
        <f>IF(AND(34&gt;=E17,OR(F17="",34&lt;=F17)),(D17*(1+assumptions!$G$76)^2/12*(1+assumptions!$G$70+assumptions!$G$71+IF(34&gt;=assumptions!$G$73,assumptions!$G$72,0))+assumptions!$G$74/12)+IF(34=E17,D17*assumptions!$G$75,0),0)</f>
        <v/>
      </c>
      <c r="AO17" s="17">
        <f>IF(AND(35&gt;=E17,OR(F17="",35&lt;=F17)),(D17*(1+assumptions!$G$76)^2/12*(1+assumptions!$G$70+assumptions!$G$71+IF(35&gt;=assumptions!$G$73,assumptions!$G$72,0))+assumptions!$G$74/12)+IF(35=E17,D17*assumptions!$G$75,0),0)</f>
        <v/>
      </c>
      <c r="AP17" s="17">
        <f>IF(AND(36&gt;=E17,OR(F17="",36&lt;=F17)),(D17*(1+assumptions!$G$76)^2/12*(1+assumptions!$G$70+assumptions!$G$71+IF(36&gt;=assumptions!$G$73,assumptions!$G$72,0))+assumptions!$G$74/12)+IF(36=E17,D17*assumptions!$G$75,0),0)</f>
        <v/>
      </c>
      <c r="AQ17" s="17">
        <f>IF(AND(37&gt;=E17,OR(F17="",37&lt;=F17)),(D17*(1+assumptions!$G$76)^3/12*(1+assumptions!$G$70+assumptions!$G$71+IF(37&gt;=assumptions!$G$73,assumptions!$G$72,0))+assumptions!$G$74/12)+IF(37=E17,D17*assumptions!$G$75,0),0)</f>
        <v/>
      </c>
      <c r="AR17" s="17">
        <f>IF(AND(38&gt;=E17,OR(F17="",38&lt;=F17)),(D17*(1+assumptions!$G$76)^3/12*(1+assumptions!$G$70+assumptions!$G$71+IF(38&gt;=assumptions!$G$73,assumptions!$G$72,0))+assumptions!$G$74/12)+IF(38=E17,D17*assumptions!$G$75,0),0)</f>
        <v/>
      </c>
      <c r="AS17" s="17">
        <f>IF(AND(39&gt;=E17,OR(F17="",39&lt;=F17)),(D17*(1+assumptions!$G$76)^3/12*(1+assumptions!$G$70+assumptions!$G$71+IF(39&gt;=assumptions!$G$73,assumptions!$G$72,0))+assumptions!$G$74/12)+IF(39=E17,D17*assumptions!$G$75,0),0)</f>
        <v/>
      </c>
      <c r="AT17" s="17">
        <f>IF(AND(40&gt;=E17,OR(F17="",40&lt;=F17)),(D17*(1+assumptions!$G$76)^3/12*(1+assumptions!$G$70+assumptions!$G$71+IF(40&gt;=assumptions!$G$73,assumptions!$G$72,0))+assumptions!$G$74/12)+IF(40=E17,D17*assumptions!$G$75,0),0)</f>
        <v/>
      </c>
      <c r="AU17" s="17">
        <f>IF(AND(41&gt;=E17,OR(F17="",41&lt;=F17)),(D17*(1+assumptions!$G$76)^3/12*(1+assumptions!$G$70+assumptions!$G$71+IF(41&gt;=assumptions!$G$73,assumptions!$G$72,0))+assumptions!$G$74/12)+IF(41=E17,D17*assumptions!$G$75,0),0)</f>
        <v/>
      </c>
      <c r="AV17" s="17">
        <f>IF(AND(42&gt;=E17,OR(F17="",42&lt;=F17)),(D17*(1+assumptions!$G$76)^3/12*(1+assumptions!$G$70+assumptions!$G$71+IF(42&gt;=assumptions!$G$73,assumptions!$G$72,0))+assumptions!$G$74/12)+IF(42=E17,D17*assumptions!$G$75,0),0)</f>
        <v/>
      </c>
      <c r="AW17" s="17">
        <f>IF(AND(43&gt;=E17,OR(F17="",43&lt;=F17)),(D17*(1+assumptions!$G$76)^3/12*(1+assumptions!$G$70+assumptions!$G$71+IF(43&gt;=assumptions!$G$73,assumptions!$G$72,0))+assumptions!$G$74/12)+IF(43=E17,D17*assumptions!$G$75,0),0)</f>
        <v/>
      </c>
      <c r="AX17" s="17">
        <f>IF(AND(44&gt;=E17,OR(F17="",44&lt;=F17)),(D17*(1+assumptions!$G$76)^3/12*(1+assumptions!$G$70+assumptions!$G$71+IF(44&gt;=assumptions!$G$73,assumptions!$G$72,0))+assumptions!$G$74/12)+IF(44=E17,D17*assumptions!$G$75,0),0)</f>
        <v/>
      </c>
      <c r="AY17" s="17">
        <f>IF(AND(45&gt;=E17,OR(F17="",45&lt;=F17)),(D17*(1+assumptions!$G$76)^3/12*(1+assumptions!$G$70+assumptions!$G$71+IF(45&gt;=assumptions!$G$73,assumptions!$G$72,0))+assumptions!$G$74/12)+IF(45=E17,D17*assumptions!$G$75,0),0)</f>
        <v/>
      </c>
      <c r="AZ17" s="17">
        <f>IF(AND(46&gt;=E17,OR(F17="",46&lt;=F17)),(D17*(1+assumptions!$G$76)^3/12*(1+assumptions!$G$70+assumptions!$G$71+IF(46&gt;=assumptions!$G$73,assumptions!$G$72,0))+assumptions!$G$74/12)+IF(46=E17,D17*assumptions!$G$75,0),0)</f>
        <v/>
      </c>
      <c r="BA17" s="17">
        <f>IF(AND(47&gt;=E17,OR(F17="",47&lt;=F17)),(D17*(1+assumptions!$G$76)^3/12*(1+assumptions!$G$70+assumptions!$G$71+IF(47&gt;=assumptions!$G$73,assumptions!$G$72,0))+assumptions!$G$74/12)+IF(47=E17,D17*assumptions!$G$75,0),0)</f>
        <v/>
      </c>
      <c r="BB17" s="17">
        <f>IF(AND(48&gt;=E17,OR(F17="",48&lt;=F17)),(D17*(1+assumptions!$G$76)^3/12*(1+assumptions!$G$70+assumptions!$G$71+IF(48&gt;=assumptions!$G$73,assumptions!$G$72,0))+assumptions!$G$74/12)+IF(48=E17,D17*assumptions!$G$75,0),0)</f>
        <v/>
      </c>
      <c r="BC17" s="17">
        <f>IF(AND(49&gt;=E17,OR(F17="",49&lt;=F17)),(D17*(1+assumptions!$G$76)^4/12*(1+assumptions!$G$70+assumptions!$G$71+IF(49&gt;=assumptions!$G$73,assumptions!$G$72,0))+assumptions!$G$74/12)+IF(49=E17,D17*assumptions!$G$75,0),0)</f>
        <v/>
      </c>
      <c r="BD17" s="17">
        <f>IF(AND(50&gt;=E17,OR(F17="",50&lt;=F17)),(D17*(1+assumptions!$G$76)^4/12*(1+assumptions!$G$70+assumptions!$G$71+IF(50&gt;=assumptions!$G$73,assumptions!$G$72,0))+assumptions!$G$74/12)+IF(50=E17,D17*assumptions!$G$75,0),0)</f>
        <v/>
      </c>
      <c r="BE17" s="17">
        <f>IF(AND(51&gt;=E17,OR(F17="",51&lt;=F17)),(D17*(1+assumptions!$G$76)^4/12*(1+assumptions!$G$70+assumptions!$G$71+IF(51&gt;=assumptions!$G$73,assumptions!$G$72,0))+assumptions!$G$74/12)+IF(51=E17,D17*assumptions!$G$75,0),0)</f>
        <v/>
      </c>
      <c r="BF17" s="17">
        <f>IF(AND(52&gt;=E17,OR(F17="",52&lt;=F17)),(D17*(1+assumptions!$G$76)^4/12*(1+assumptions!$G$70+assumptions!$G$71+IF(52&gt;=assumptions!$G$73,assumptions!$G$72,0))+assumptions!$G$74/12)+IF(52=E17,D17*assumptions!$G$75,0),0)</f>
        <v/>
      </c>
      <c r="BG17" s="17">
        <f>IF(AND(53&gt;=E17,OR(F17="",53&lt;=F17)),(D17*(1+assumptions!$G$76)^4/12*(1+assumptions!$G$70+assumptions!$G$71+IF(53&gt;=assumptions!$G$73,assumptions!$G$72,0))+assumptions!$G$74/12)+IF(53=E17,D17*assumptions!$G$75,0),0)</f>
        <v/>
      </c>
      <c r="BH17" s="17">
        <f>IF(AND(54&gt;=E17,OR(F17="",54&lt;=F17)),(D17*(1+assumptions!$G$76)^4/12*(1+assumptions!$G$70+assumptions!$G$71+IF(54&gt;=assumptions!$G$73,assumptions!$G$72,0))+assumptions!$G$74/12)+IF(54=E17,D17*assumptions!$G$75,0),0)</f>
        <v/>
      </c>
      <c r="BI17" s="17">
        <f>IF(AND(55&gt;=E17,OR(F17="",55&lt;=F17)),(D17*(1+assumptions!$G$76)^4/12*(1+assumptions!$G$70+assumptions!$G$71+IF(55&gt;=assumptions!$G$73,assumptions!$G$72,0))+assumptions!$G$74/12)+IF(55=E17,D17*assumptions!$G$75,0),0)</f>
        <v/>
      </c>
      <c r="BJ17" s="17">
        <f>IF(AND(56&gt;=E17,OR(F17="",56&lt;=F17)),(D17*(1+assumptions!$G$76)^4/12*(1+assumptions!$G$70+assumptions!$G$71+IF(56&gt;=assumptions!$G$73,assumptions!$G$72,0))+assumptions!$G$74/12)+IF(56=E17,D17*assumptions!$G$75,0),0)</f>
        <v/>
      </c>
      <c r="BK17" s="17">
        <f>IF(AND(57&gt;=E17,OR(F17="",57&lt;=F17)),(D17*(1+assumptions!$G$76)^4/12*(1+assumptions!$G$70+assumptions!$G$71+IF(57&gt;=assumptions!$G$73,assumptions!$G$72,0))+assumptions!$G$74/12)+IF(57=E17,D17*assumptions!$G$75,0),0)</f>
        <v/>
      </c>
      <c r="BL17" s="17">
        <f>IF(AND(58&gt;=E17,OR(F17="",58&lt;=F17)),(D17*(1+assumptions!$G$76)^4/12*(1+assumptions!$G$70+assumptions!$G$71+IF(58&gt;=assumptions!$G$73,assumptions!$G$72,0))+assumptions!$G$74/12)+IF(58=E17,D17*assumptions!$G$75,0),0)</f>
        <v/>
      </c>
      <c r="BM17" s="17">
        <f>IF(AND(59&gt;=E17,OR(F17="",59&lt;=F17)),(D17*(1+assumptions!$G$76)^4/12*(1+assumptions!$G$70+assumptions!$G$71+IF(59&gt;=assumptions!$G$73,assumptions!$G$72,0))+assumptions!$G$74/12)+IF(59=E17,D17*assumptions!$G$75,0),0)</f>
        <v/>
      </c>
      <c r="BN17" s="17">
        <f>IF(AND(60&gt;=E17,OR(F17="",60&lt;=F17)),(D17*(1+assumptions!$G$76)^4/12*(1+assumptions!$G$70+assumptions!$G$71+IF(60&gt;=assumptions!$G$73,assumptions!$G$72,0))+assumptions!$G$74/12)+IF(60=E17,D17*assumptions!$G$75,0),0)</f>
        <v/>
      </c>
    </row>
    <row r="18">
      <c r="A18" s="5" t="n">
        <v>15</v>
      </c>
      <c r="B18" s="5" t="inlineStr">
        <is>
          <t>Creator partnerships #2</t>
        </is>
      </c>
      <c r="C18" s="5" t="inlineStr">
        <is>
          <t>growth</t>
        </is>
      </c>
      <c r="D18" s="15" t="n">
        <v>55000</v>
      </c>
      <c r="E18" s="32" t="n">
        <v>12</v>
      </c>
      <c r="F18" s="32" t="n"/>
      <c r="G18" s="17">
        <f>IF(AND(1&gt;=E18,OR(F18="",1&lt;=F18)),(D18*(1+assumptions!$G$76)^0/12*(1+assumptions!$G$70+assumptions!$G$71+IF(1&gt;=assumptions!$G$73,assumptions!$G$72,0))+assumptions!$G$74/12)+IF(1=E18,D18*assumptions!$G$75,0),0)</f>
        <v/>
      </c>
      <c r="H18" s="17">
        <f>IF(AND(2&gt;=E18,OR(F18="",2&lt;=F18)),(D18*(1+assumptions!$G$76)^0/12*(1+assumptions!$G$70+assumptions!$G$71+IF(2&gt;=assumptions!$G$73,assumptions!$G$72,0))+assumptions!$G$74/12)+IF(2=E18,D18*assumptions!$G$75,0),0)</f>
        <v/>
      </c>
      <c r="I18" s="17">
        <f>IF(AND(3&gt;=E18,OR(F18="",3&lt;=F18)),(D18*(1+assumptions!$G$76)^0/12*(1+assumptions!$G$70+assumptions!$G$71+IF(3&gt;=assumptions!$G$73,assumptions!$G$72,0))+assumptions!$G$74/12)+IF(3=E18,D18*assumptions!$G$75,0),0)</f>
        <v/>
      </c>
      <c r="J18" s="17">
        <f>IF(AND(4&gt;=E18,OR(F18="",4&lt;=F18)),(D18*(1+assumptions!$G$76)^0/12*(1+assumptions!$G$70+assumptions!$G$71+IF(4&gt;=assumptions!$G$73,assumptions!$G$72,0))+assumptions!$G$74/12)+IF(4=E18,D18*assumptions!$G$75,0),0)</f>
        <v/>
      </c>
      <c r="K18" s="17">
        <f>IF(AND(5&gt;=E18,OR(F18="",5&lt;=F18)),(D18*(1+assumptions!$G$76)^0/12*(1+assumptions!$G$70+assumptions!$G$71+IF(5&gt;=assumptions!$G$73,assumptions!$G$72,0))+assumptions!$G$74/12)+IF(5=E18,D18*assumptions!$G$75,0),0)</f>
        <v/>
      </c>
      <c r="L18" s="17">
        <f>IF(AND(6&gt;=E18,OR(F18="",6&lt;=F18)),(D18*(1+assumptions!$G$76)^0/12*(1+assumptions!$G$70+assumptions!$G$71+IF(6&gt;=assumptions!$G$73,assumptions!$G$72,0))+assumptions!$G$74/12)+IF(6=E18,D18*assumptions!$G$75,0),0)</f>
        <v/>
      </c>
      <c r="M18" s="17">
        <f>IF(AND(7&gt;=E18,OR(F18="",7&lt;=F18)),(D18*(1+assumptions!$G$76)^0/12*(1+assumptions!$G$70+assumptions!$G$71+IF(7&gt;=assumptions!$G$73,assumptions!$G$72,0))+assumptions!$G$74/12)+IF(7=E18,D18*assumptions!$G$75,0),0)</f>
        <v/>
      </c>
      <c r="N18" s="17">
        <f>IF(AND(8&gt;=E18,OR(F18="",8&lt;=F18)),(D18*(1+assumptions!$G$76)^0/12*(1+assumptions!$G$70+assumptions!$G$71+IF(8&gt;=assumptions!$G$73,assumptions!$G$72,0))+assumptions!$G$74/12)+IF(8=E18,D18*assumptions!$G$75,0),0)</f>
        <v/>
      </c>
      <c r="O18" s="17">
        <f>IF(AND(9&gt;=E18,OR(F18="",9&lt;=F18)),(D18*(1+assumptions!$G$76)^0/12*(1+assumptions!$G$70+assumptions!$G$71+IF(9&gt;=assumptions!$G$73,assumptions!$G$72,0))+assumptions!$G$74/12)+IF(9=E18,D18*assumptions!$G$75,0),0)</f>
        <v/>
      </c>
      <c r="P18" s="17">
        <f>IF(AND(10&gt;=E18,OR(F18="",10&lt;=F18)),(D18*(1+assumptions!$G$76)^0/12*(1+assumptions!$G$70+assumptions!$G$71+IF(10&gt;=assumptions!$G$73,assumptions!$G$72,0))+assumptions!$G$74/12)+IF(10=E18,D18*assumptions!$G$75,0),0)</f>
        <v/>
      </c>
      <c r="Q18" s="17">
        <f>IF(AND(11&gt;=E18,OR(F18="",11&lt;=F18)),(D18*(1+assumptions!$G$76)^0/12*(1+assumptions!$G$70+assumptions!$G$71+IF(11&gt;=assumptions!$G$73,assumptions!$G$72,0))+assumptions!$G$74/12)+IF(11=E18,D18*assumptions!$G$75,0),0)</f>
        <v/>
      </c>
      <c r="R18" s="17">
        <f>IF(AND(12&gt;=E18,OR(F18="",12&lt;=F18)),(D18*(1+assumptions!$G$76)^0/12*(1+assumptions!$G$70+assumptions!$G$71+IF(12&gt;=assumptions!$G$73,assumptions!$G$72,0))+assumptions!$G$74/12)+IF(12=E18,D18*assumptions!$G$75,0),0)</f>
        <v/>
      </c>
      <c r="S18" s="17">
        <f>IF(AND(13&gt;=E18,OR(F18="",13&lt;=F18)),(D18*(1+assumptions!$G$76)^1/12*(1+assumptions!$G$70+assumptions!$G$71+IF(13&gt;=assumptions!$G$73,assumptions!$G$72,0))+assumptions!$G$74/12)+IF(13=E18,D18*assumptions!$G$75,0),0)</f>
        <v/>
      </c>
      <c r="T18" s="17">
        <f>IF(AND(14&gt;=E18,OR(F18="",14&lt;=F18)),(D18*(1+assumptions!$G$76)^1/12*(1+assumptions!$G$70+assumptions!$G$71+IF(14&gt;=assumptions!$G$73,assumptions!$G$72,0))+assumptions!$G$74/12)+IF(14=E18,D18*assumptions!$G$75,0),0)</f>
        <v/>
      </c>
      <c r="U18" s="17">
        <f>IF(AND(15&gt;=E18,OR(F18="",15&lt;=F18)),(D18*(1+assumptions!$G$76)^1/12*(1+assumptions!$G$70+assumptions!$G$71+IF(15&gt;=assumptions!$G$73,assumptions!$G$72,0))+assumptions!$G$74/12)+IF(15=E18,D18*assumptions!$G$75,0),0)</f>
        <v/>
      </c>
      <c r="V18" s="17">
        <f>IF(AND(16&gt;=E18,OR(F18="",16&lt;=F18)),(D18*(1+assumptions!$G$76)^1/12*(1+assumptions!$G$70+assumptions!$G$71+IF(16&gt;=assumptions!$G$73,assumptions!$G$72,0))+assumptions!$G$74/12)+IF(16=E18,D18*assumptions!$G$75,0),0)</f>
        <v/>
      </c>
      <c r="W18" s="17">
        <f>IF(AND(17&gt;=E18,OR(F18="",17&lt;=F18)),(D18*(1+assumptions!$G$76)^1/12*(1+assumptions!$G$70+assumptions!$G$71+IF(17&gt;=assumptions!$G$73,assumptions!$G$72,0))+assumptions!$G$74/12)+IF(17=E18,D18*assumptions!$G$75,0),0)</f>
        <v/>
      </c>
      <c r="X18" s="17">
        <f>IF(AND(18&gt;=E18,OR(F18="",18&lt;=F18)),(D18*(1+assumptions!$G$76)^1/12*(1+assumptions!$G$70+assumptions!$G$71+IF(18&gt;=assumptions!$G$73,assumptions!$G$72,0))+assumptions!$G$74/12)+IF(18=E18,D18*assumptions!$G$75,0),0)</f>
        <v/>
      </c>
      <c r="Y18" s="17">
        <f>IF(AND(19&gt;=E18,OR(F18="",19&lt;=F18)),(D18*(1+assumptions!$G$76)^1/12*(1+assumptions!$G$70+assumptions!$G$71+IF(19&gt;=assumptions!$G$73,assumptions!$G$72,0))+assumptions!$G$74/12)+IF(19=E18,D18*assumptions!$G$75,0),0)</f>
        <v/>
      </c>
      <c r="Z18" s="17">
        <f>IF(AND(20&gt;=E18,OR(F18="",20&lt;=F18)),(D18*(1+assumptions!$G$76)^1/12*(1+assumptions!$G$70+assumptions!$G$71+IF(20&gt;=assumptions!$G$73,assumptions!$G$72,0))+assumptions!$G$74/12)+IF(20=E18,D18*assumptions!$G$75,0),0)</f>
        <v/>
      </c>
      <c r="AA18" s="17">
        <f>IF(AND(21&gt;=E18,OR(F18="",21&lt;=F18)),(D18*(1+assumptions!$G$76)^1/12*(1+assumptions!$G$70+assumptions!$G$71+IF(21&gt;=assumptions!$G$73,assumptions!$G$72,0))+assumptions!$G$74/12)+IF(21=E18,D18*assumptions!$G$75,0),0)</f>
        <v/>
      </c>
      <c r="AB18" s="17">
        <f>IF(AND(22&gt;=E18,OR(F18="",22&lt;=F18)),(D18*(1+assumptions!$G$76)^1/12*(1+assumptions!$G$70+assumptions!$G$71+IF(22&gt;=assumptions!$G$73,assumptions!$G$72,0))+assumptions!$G$74/12)+IF(22=E18,D18*assumptions!$G$75,0),0)</f>
        <v/>
      </c>
      <c r="AC18" s="17">
        <f>IF(AND(23&gt;=E18,OR(F18="",23&lt;=F18)),(D18*(1+assumptions!$G$76)^1/12*(1+assumptions!$G$70+assumptions!$G$71+IF(23&gt;=assumptions!$G$73,assumptions!$G$72,0))+assumptions!$G$74/12)+IF(23=E18,D18*assumptions!$G$75,0),0)</f>
        <v/>
      </c>
      <c r="AD18" s="17">
        <f>IF(AND(24&gt;=E18,OR(F18="",24&lt;=F18)),(D18*(1+assumptions!$G$76)^1/12*(1+assumptions!$G$70+assumptions!$G$71+IF(24&gt;=assumptions!$G$73,assumptions!$G$72,0))+assumptions!$G$74/12)+IF(24=E18,D18*assumptions!$G$75,0),0)</f>
        <v/>
      </c>
      <c r="AE18" s="17">
        <f>IF(AND(25&gt;=E18,OR(F18="",25&lt;=F18)),(D18*(1+assumptions!$G$76)^2/12*(1+assumptions!$G$70+assumptions!$G$71+IF(25&gt;=assumptions!$G$73,assumptions!$G$72,0))+assumptions!$G$74/12)+IF(25=E18,D18*assumptions!$G$75,0),0)</f>
        <v/>
      </c>
      <c r="AF18" s="17">
        <f>IF(AND(26&gt;=E18,OR(F18="",26&lt;=F18)),(D18*(1+assumptions!$G$76)^2/12*(1+assumptions!$G$70+assumptions!$G$71+IF(26&gt;=assumptions!$G$73,assumptions!$G$72,0))+assumptions!$G$74/12)+IF(26=E18,D18*assumptions!$G$75,0),0)</f>
        <v/>
      </c>
      <c r="AG18" s="17">
        <f>IF(AND(27&gt;=E18,OR(F18="",27&lt;=F18)),(D18*(1+assumptions!$G$76)^2/12*(1+assumptions!$G$70+assumptions!$G$71+IF(27&gt;=assumptions!$G$73,assumptions!$G$72,0))+assumptions!$G$74/12)+IF(27=E18,D18*assumptions!$G$75,0),0)</f>
        <v/>
      </c>
      <c r="AH18" s="17">
        <f>IF(AND(28&gt;=E18,OR(F18="",28&lt;=F18)),(D18*(1+assumptions!$G$76)^2/12*(1+assumptions!$G$70+assumptions!$G$71+IF(28&gt;=assumptions!$G$73,assumptions!$G$72,0))+assumptions!$G$74/12)+IF(28=E18,D18*assumptions!$G$75,0),0)</f>
        <v/>
      </c>
      <c r="AI18" s="17">
        <f>IF(AND(29&gt;=E18,OR(F18="",29&lt;=F18)),(D18*(1+assumptions!$G$76)^2/12*(1+assumptions!$G$70+assumptions!$G$71+IF(29&gt;=assumptions!$G$73,assumptions!$G$72,0))+assumptions!$G$74/12)+IF(29=E18,D18*assumptions!$G$75,0),0)</f>
        <v/>
      </c>
      <c r="AJ18" s="17">
        <f>IF(AND(30&gt;=E18,OR(F18="",30&lt;=F18)),(D18*(1+assumptions!$G$76)^2/12*(1+assumptions!$G$70+assumptions!$G$71+IF(30&gt;=assumptions!$G$73,assumptions!$G$72,0))+assumptions!$G$74/12)+IF(30=E18,D18*assumptions!$G$75,0),0)</f>
        <v/>
      </c>
      <c r="AK18" s="17">
        <f>IF(AND(31&gt;=E18,OR(F18="",31&lt;=F18)),(D18*(1+assumptions!$G$76)^2/12*(1+assumptions!$G$70+assumptions!$G$71+IF(31&gt;=assumptions!$G$73,assumptions!$G$72,0))+assumptions!$G$74/12)+IF(31=E18,D18*assumptions!$G$75,0),0)</f>
        <v/>
      </c>
      <c r="AL18" s="17">
        <f>IF(AND(32&gt;=E18,OR(F18="",32&lt;=F18)),(D18*(1+assumptions!$G$76)^2/12*(1+assumptions!$G$70+assumptions!$G$71+IF(32&gt;=assumptions!$G$73,assumptions!$G$72,0))+assumptions!$G$74/12)+IF(32=E18,D18*assumptions!$G$75,0),0)</f>
        <v/>
      </c>
      <c r="AM18" s="17">
        <f>IF(AND(33&gt;=E18,OR(F18="",33&lt;=F18)),(D18*(1+assumptions!$G$76)^2/12*(1+assumptions!$G$70+assumptions!$G$71+IF(33&gt;=assumptions!$G$73,assumptions!$G$72,0))+assumptions!$G$74/12)+IF(33=E18,D18*assumptions!$G$75,0),0)</f>
        <v/>
      </c>
      <c r="AN18" s="17">
        <f>IF(AND(34&gt;=E18,OR(F18="",34&lt;=F18)),(D18*(1+assumptions!$G$76)^2/12*(1+assumptions!$G$70+assumptions!$G$71+IF(34&gt;=assumptions!$G$73,assumptions!$G$72,0))+assumptions!$G$74/12)+IF(34=E18,D18*assumptions!$G$75,0),0)</f>
        <v/>
      </c>
      <c r="AO18" s="17">
        <f>IF(AND(35&gt;=E18,OR(F18="",35&lt;=F18)),(D18*(1+assumptions!$G$76)^2/12*(1+assumptions!$G$70+assumptions!$G$71+IF(35&gt;=assumptions!$G$73,assumptions!$G$72,0))+assumptions!$G$74/12)+IF(35=E18,D18*assumptions!$G$75,0),0)</f>
        <v/>
      </c>
      <c r="AP18" s="17">
        <f>IF(AND(36&gt;=E18,OR(F18="",36&lt;=F18)),(D18*(1+assumptions!$G$76)^2/12*(1+assumptions!$G$70+assumptions!$G$71+IF(36&gt;=assumptions!$G$73,assumptions!$G$72,0))+assumptions!$G$74/12)+IF(36=E18,D18*assumptions!$G$75,0),0)</f>
        <v/>
      </c>
      <c r="AQ18" s="17">
        <f>IF(AND(37&gt;=E18,OR(F18="",37&lt;=F18)),(D18*(1+assumptions!$G$76)^3/12*(1+assumptions!$G$70+assumptions!$G$71+IF(37&gt;=assumptions!$G$73,assumptions!$G$72,0))+assumptions!$G$74/12)+IF(37=E18,D18*assumptions!$G$75,0),0)</f>
        <v/>
      </c>
      <c r="AR18" s="17">
        <f>IF(AND(38&gt;=E18,OR(F18="",38&lt;=F18)),(D18*(1+assumptions!$G$76)^3/12*(1+assumptions!$G$70+assumptions!$G$71+IF(38&gt;=assumptions!$G$73,assumptions!$G$72,0))+assumptions!$G$74/12)+IF(38=E18,D18*assumptions!$G$75,0),0)</f>
        <v/>
      </c>
      <c r="AS18" s="17">
        <f>IF(AND(39&gt;=E18,OR(F18="",39&lt;=F18)),(D18*(1+assumptions!$G$76)^3/12*(1+assumptions!$G$70+assumptions!$G$71+IF(39&gt;=assumptions!$G$73,assumptions!$G$72,0))+assumptions!$G$74/12)+IF(39=E18,D18*assumptions!$G$75,0),0)</f>
        <v/>
      </c>
      <c r="AT18" s="17">
        <f>IF(AND(40&gt;=E18,OR(F18="",40&lt;=F18)),(D18*(1+assumptions!$G$76)^3/12*(1+assumptions!$G$70+assumptions!$G$71+IF(40&gt;=assumptions!$G$73,assumptions!$G$72,0))+assumptions!$G$74/12)+IF(40=E18,D18*assumptions!$G$75,0),0)</f>
        <v/>
      </c>
      <c r="AU18" s="17">
        <f>IF(AND(41&gt;=E18,OR(F18="",41&lt;=F18)),(D18*(1+assumptions!$G$76)^3/12*(1+assumptions!$G$70+assumptions!$G$71+IF(41&gt;=assumptions!$G$73,assumptions!$G$72,0))+assumptions!$G$74/12)+IF(41=E18,D18*assumptions!$G$75,0),0)</f>
        <v/>
      </c>
      <c r="AV18" s="17">
        <f>IF(AND(42&gt;=E18,OR(F18="",42&lt;=F18)),(D18*(1+assumptions!$G$76)^3/12*(1+assumptions!$G$70+assumptions!$G$71+IF(42&gt;=assumptions!$G$73,assumptions!$G$72,0))+assumptions!$G$74/12)+IF(42=E18,D18*assumptions!$G$75,0),0)</f>
        <v/>
      </c>
      <c r="AW18" s="17">
        <f>IF(AND(43&gt;=E18,OR(F18="",43&lt;=F18)),(D18*(1+assumptions!$G$76)^3/12*(1+assumptions!$G$70+assumptions!$G$71+IF(43&gt;=assumptions!$G$73,assumptions!$G$72,0))+assumptions!$G$74/12)+IF(43=E18,D18*assumptions!$G$75,0),0)</f>
        <v/>
      </c>
      <c r="AX18" s="17">
        <f>IF(AND(44&gt;=E18,OR(F18="",44&lt;=F18)),(D18*(1+assumptions!$G$76)^3/12*(1+assumptions!$G$70+assumptions!$G$71+IF(44&gt;=assumptions!$G$73,assumptions!$G$72,0))+assumptions!$G$74/12)+IF(44=E18,D18*assumptions!$G$75,0),0)</f>
        <v/>
      </c>
      <c r="AY18" s="17">
        <f>IF(AND(45&gt;=E18,OR(F18="",45&lt;=F18)),(D18*(1+assumptions!$G$76)^3/12*(1+assumptions!$G$70+assumptions!$G$71+IF(45&gt;=assumptions!$G$73,assumptions!$G$72,0))+assumptions!$G$74/12)+IF(45=E18,D18*assumptions!$G$75,0),0)</f>
        <v/>
      </c>
      <c r="AZ18" s="17">
        <f>IF(AND(46&gt;=E18,OR(F18="",46&lt;=F18)),(D18*(1+assumptions!$G$76)^3/12*(1+assumptions!$G$70+assumptions!$G$71+IF(46&gt;=assumptions!$G$73,assumptions!$G$72,0))+assumptions!$G$74/12)+IF(46=E18,D18*assumptions!$G$75,0),0)</f>
        <v/>
      </c>
      <c r="BA18" s="17">
        <f>IF(AND(47&gt;=E18,OR(F18="",47&lt;=F18)),(D18*(1+assumptions!$G$76)^3/12*(1+assumptions!$G$70+assumptions!$G$71+IF(47&gt;=assumptions!$G$73,assumptions!$G$72,0))+assumptions!$G$74/12)+IF(47=E18,D18*assumptions!$G$75,0),0)</f>
        <v/>
      </c>
      <c r="BB18" s="17">
        <f>IF(AND(48&gt;=E18,OR(F18="",48&lt;=F18)),(D18*(1+assumptions!$G$76)^3/12*(1+assumptions!$G$70+assumptions!$G$71+IF(48&gt;=assumptions!$G$73,assumptions!$G$72,0))+assumptions!$G$74/12)+IF(48=E18,D18*assumptions!$G$75,0),0)</f>
        <v/>
      </c>
      <c r="BC18" s="17">
        <f>IF(AND(49&gt;=E18,OR(F18="",49&lt;=F18)),(D18*(1+assumptions!$G$76)^4/12*(1+assumptions!$G$70+assumptions!$G$71+IF(49&gt;=assumptions!$G$73,assumptions!$G$72,0))+assumptions!$G$74/12)+IF(49=E18,D18*assumptions!$G$75,0),0)</f>
        <v/>
      </c>
      <c r="BD18" s="17">
        <f>IF(AND(50&gt;=E18,OR(F18="",50&lt;=F18)),(D18*(1+assumptions!$G$76)^4/12*(1+assumptions!$G$70+assumptions!$G$71+IF(50&gt;=assumptions!$G$73,assumptions!$G$72,0))+assumptions!$G$74/12)+IF(50=E18,D18*assumptions!$G$75,0),0)</f>
        <v/>
      </c>
      <c r="BE18" s="17">
        <f>IF(AND(51&gt;=E18,OR(F18="",51&lt;=F18)),(D18*(1+assumptions!$G$76)^4/12*(1+assumptions!$G$70+assumptions!$G$71+IF(51&gt;=assumptions!$G$73,assumptions!$G$72,0))+assumptions!$G$74/12)+IF(51=E18,D18*assumptions!$G$75,0),0)</f>
        <v/>
      </c>
      <c r="BF18" s="17">
        <f>IF(AND(52&gt;=E18,OR(F18="",52&lt;=F18)),(D18*(1+assumptions!$G$76)^4/12*(1+assumptions!$G$70+assumptions!$G$71+IF(52&gt;=assumptions!$G$73,assumptions!$G$72,0))+assumptions!$G$74/12)+IF(52=E18,D18*assumptions!$G$75,0),0)</f>
        <v/>
      </c>
      <c r="BG18" s="17">
        <f>IF(AND(53&gt;=E18,OR(F18="",53&lt;=F18)),(D18*(1+assumptions!$G$76)^4/12*(1+assumptions!$G$70+assumptions!$G$71+IF(53&gt;=assumptions!$G$73,assumptions!$G$72,0))+assumptions!$G$74/12)+IF(53=E18,D18*assumptions!$G$75,0),0)</f>
        <v/>
      </c>
      <c r="BH18" s="17">
        <f>IF(AND(54&gt;=E18,OR(F18="",54&lt;=F18)),(D18*(1+assumptions!$G$76)^4/12*(1+assumptions!$G$70+assumptions!$G$71+IF(54&gt;=assumptions!$G$73,assumptions!$G$72,0))+assumptions!$G$74/12)+IF(54=E18,D18*assumptions!$G$75,0),0)</f>
        <v/>
      </c>
      <c r="BI18" s="17">
        <f>IF(AND(55&gt;=E18,OR(F18="",55&lt;=F18)),(D18*(1+assumptions!$G$76)^4/12*(1+assumptions!$G$70+assumptions!$G$71+IF(55&gt;=assumptions!$G$73,assumptions!$G$72,0))+assumptions!$G$74/12)+IF(55=E18,D18*assumptions!$G$75,0),0)</f>
        <v/>
      </c>
      <c r="BJ18" s="17">
        <f>IF(AND(56&gt;=E18,OR(F18="",56&lt;=F18)),(D18*(1+assumptions!$G$76)^4/12*(1+assumptions!$G$70+assumptions!$G$71+IF(56&gt;=assumptions!$G$73,assumptions!$G$72,0))+assumptions!$G$74/12)+IF(56=E18,D18*assumptions!$G$75,0),0)</f>
        <v/>
      </c>
      <c r="BK18" s="17">
        <f>IF(AND(57&gt;=E18,OR(F18="",57&lt;=F18)),(D18*(1+assumptions!$G$76)^4/12*(1+assumptions!$G$70+assumptions!$G$71+IF(57&gt;=assumptions!$G$73,assumptions!$G$72,0))+assumptions!$G$74/12)+IF(57=E18,D18*assumptions!$G$75,0),0)</f>
        <v/>
      </c>
      <c r="BL18" s="17">
        <f>IF(AND(58&gt;=E18,OR(F18="",58&lt;=F18)),(D18*(1+assumptions!$G$76)^4/12*(1+assumptions!$G$70+assumptions!$G$71+IF(58&gt;=assumptions!$G$73,assumptions!$G$72,0))+assumptions!$G$74/12)+IF(58=E18,D18*assumptions!$G$75,0),0)</f>
        <v/>
      </c>
      <c r="BM18" s="17">
        <f>IF(AND(59&gt;=E18,OR(F18="",59&lt;=F18)),(D18*(1+assumptions!$G$76)^4/12*(1+assumptions!$G$70+assumptions!$G$71+IF(59&gt;=assumptions!$G$73,assumptions!$G$72,0))+assumptions!$G$74/12)+IF(59=E18,D18*assumptions!$G$75,0),0)</f>
        <v/>
      </c>
      <c r="BN18" s="17">
        <f>IF(AND(60&gt;=E18,OR(F18="",60&lt;=F18)),(D18*(1+assumptions!$G$76)^4/12*(1+assumptions!$G$70+assumptions!$G$71+IF(60&gt;=assumptions!$G$73,assumptions!$G$72,0))+assumptions!$G$74/12)+IF(60=E18,D18*assumptions!$G$75,0),0)</f>
        <v/>
      </c>
    </row>
    <row r="19">
      <c r="A19" s="5" t="n">
        <v>16</v>
      </c>
      <c r="B19" s="5" t="inlineStr">
        <is>
          <t>Customer support lead</t>
        </is>
      </c>
      <c r="C19" s="5" t="inlineStr">
        <is>
          <t>ops</t>
        </is>
      </c>
      <c r="D19" s="15" t="n">
        <v>40000</v>
      </c>
      <c r="E19" s="32" t="n">
        <v>12</v>
      </c>
      <c r="F19" s="32" t="n"/>
      <c r="G19" s="17">
        <f>IF(AND(1&gt;=E19,OR(F19="",1&lt;=F19)),(D19*(1+assumptions!$G$76)^0/12*(1+assumptions!$G$70+assumptions!$G$71+IF(1&gt;=assumptions!$G$73,assumptions!$G$72,0))+assumptions!$G$74/12)+IF(1=E19,D19*assumptions!$G$75,0),0)</f>
        <v/>
      </c>
      <c r="H19" s="17">
        <f>IF(AND(2&gt;=E19,OR(F19="",2&lt;=F19)),(D19*(1+assumptions!$G$76)^0/12*(1+assumptions!$G$70+assumptions!$G$71+IF(2&gt;=assumptions!$G$73,assumptions!$G$72,0))+assumptions!$G$74/12)+IF(2=E19,D19*assumptions!$G$75,0),0)</f>
        <v/>
      </c>
      <c r="I19" s="17">
        <f>IF(AND(3&gt;=E19,OR(F19="",3&lt;=F19)),(D19*(1+assumptions!$G$76)^0/12*(1+assumptions!$G$70+assumptions!$G$71+IF(3&gt;=assumptions!$G$73,assumptions!$G$72,0))+assumptions!$G$74/12)+IF(3=E19,D19*assumptions!$G$75,0),0)</f>
        <v/>
      </c>
      <c r="J19" s="17">
        <f>IF(AND(4&gt;=E19,OR(F19="",4&lt;=F19)),(D19*(1+assumptions!$G$76)^0/12*(1+assumptions!$G$70+assumptions!$G$71+IF(4&gt;=assumptions!$G$73,assumptions!$G$72,0))+assumptions!$G$74/12)+IF(4=E19,D19*assumptions!$G$75,0),0)</f>
        <v/>
      </c>
      <c r="K19" s="17">
        <f>IF(AND(5&gt;=E19,OR(F19="",5&lt;=F19)),(D19*(1+assumptions!$G$76)^0/12*(1+assumptions!$G$70+assumptions!$G$71+IF(5&gt;=assumptions!$G$73,assumptions!$G$72,0))+assumptions!$G$74/12)+IF(5=E19,D19*assumptions!$G$75,0),0)</f>
        <v/>
      </c>
      <c r="L19" s="17">
        <f>IF(AND(6&gt;=E19,OR(F19="",6&lt;=F19)),(D19*(1+assumptions!$G$76)^0/12*(1+assumptions!$G$70+assumptions!$G$71+IF(6&gt;=assumptions!$G$73,assumptions!$G$72,0))+assumptions!$G$74/12)+IF(6=E19,D19*assumptions!$G$75,0),0)</f>
        <v/>
      </c>
      <c r="M19" s="17">
        <f>IF(AND(7&gt;=E19,OR(F19="",7&lt;=F19)),(D19*(1+assumptions!$G$76)^0/12*(1+assumptions!$G$70+assumptions!$G$71+IF(7&gt;=assumptions!$G$73,assumptions!$G$72,0))+assumptions!$G$74/12)+IF(7=E19,D19*assumptions!$G$75,0),0)</f>
        <v/>
      </c>
      <c r="N19" s="17">
        <f>IF(AND(8&gt;=E19,OR(F19="",8&lt;=F19)),(D19*(1+assumptions!$G$76)^0/12*(1+assumptions!$G$70+assumptions!$G$71+IF(8&gt;=assumptions!$G$73,assumptions!$G$72,0))+assumptions!$G$74/12)+IF(8=E19,D19*assumptions!$G$75,0),0)</f>
        <v/>
      </c>
      <c r="O19" s="17">
        <f>IF(AND(9&gt;=E19,OR(F19="",9&lt;=F19)),(D19*(1+assumptions!$G$76)^0/12*(1+assumptions!$G$70+assumptions!$G$71+IF(9&gt;=assumptions!$G$73,assumptions!$G$72,0))+assumptions!$G$74/12)+IF(9=E19,D19*assumptions!$G$75,0),0)</f>
        <v/>
      </c>
      <c r="P19" s="17">
        <f>IF(AND(10&gt;=E19,OR(F19="",10&lt;=F19)),(D19*(1+assumptions!$G$76)^0/12*(1+assumptions!$G$70+assumptions!$G$71+IF(10&gt;=assumptions!$G$73,assumptions!$G$72,0))+assumptions!$G$74/12)+IF(10=E19,D19*assumptions!$G$75,0),0)</f>
        <v/>
      </c>
      <c r="Q19" s="17">
        <f>IF(AND(11&gt;=E19,OR(F19="",11&lt;=F19)),(D19*(1+assumptions!$G$76)^0/12*(1+assumptions!$G$70+assumptions!$G$71+IF(11&gt;=assumptions!$G$73,assumptions!$G$72,0))+assumptions!$G$74/12)+IF(11=E19,D19*assumptions!$G$75,0),0)</f>
        <v/>
      </c>
      <c r="R19" s="17">
        <f>IF(AND(12&gt;=E19,OR(F19="",12&lt;=F19)),(D19*(1+assumptions!$G$76)^0/12*(1+assumptions!$G$70+assumptions!$G$71+IF(12&gt;=assumptions!$G$73,assumptions!$G$72,0))+assumptions!$G$74/12)+IF(12=E19,D19*assumptions!$G$75,0),0)</f>
        <v/>
      </c>
      <c r="S19" s="17">
        <f>IF(AND(13&gt;=E19,OR(F19="",13&lt;=F19)),(D19*(1+assumptions!$G$76)^1/12*(1+assumptions!$G$70+assumptions!$G$71+IF(13&gt;=assumptions!$G$73,assumptions!$G$72,0))+assumptions!$G$74/12)+IF(13=E19,D19*assumptions!$G$75,0),0)</f>
        <v/>
      </c>
      <c r="T19" s="17">
        <f>IF(AND(14&gt;=E19,OR(F19="",14&lt;=F19)),(D19*(1+assumptions!$G$76)^1/12*(1+assumptions!$G$70+assumptions!$G$71+IF(14&gt;=assumptions!$G$73,assumptions!$G$72,0))+assumptions!$G$74/12)+IF(14=E19,D19*assumptions!$G$75,0),0)</f>
        <v/>
      </c>
      <c r="U19" s="17">
        <f>IF(AND(15&gt;=E19,OR(F19="",15&lt;=F19)),(D19*(1+assumptions!$G$76)^1/12*(1+assumptions!$G$70+assumptions!$G$71+IF(15&gt;=assumptions!$G$73,assumptions!$G$72,0))+assumptions!$G$74/12)+IF(15=E19,D19*assumptions!$G$75,0),0)</f>
        <v/>
      </c>
      <c r="V19" s="17">
        <f>IF(AND(16&gt;=E19,OR(F19="",16&lt;=F19)),(D19*(1+assumptions!$G$76)^1/12*(1+assumptions!$G$70+assumptions!$G$71+IF(16&gt;=assumptions!$G$73,assumptions!$G$72,0))+assumptions!$G$74/12)+IF(16=E19,D19*assumptions!$G$75,0),0)</f>
        <v/>
      </c>
      <c r="W19" s="17">
        <f>IF(AND(17&gt;=E19,OR(F19="",17&lt;=F19)),(D19*(1+assumptions!$G$76)^1/12*(1+assumptions!$G$70+assumptions!$G$71+IF(17&gt;=assumptions!$G$73,assumptions!$G$72,0))+assumptions!$G$74/12)+IF(17=E19,D19*assumptions!$G$75,0),0)</f>
        <v/>
      </c>
      <c r="X19" s="17">
        <f>IF(AND(18&gt;=E19,OR(F19="",18&lt;=F19)),(D19*(1+assumptions!$G$76)^1/12*(1+assumptions!$G$70+assumptions!$G$71+IF(18&gt;=assumptions!$G$73,assumptions!$G$72,0))+assumptions!$G$74/12)+IF(18=E19,D19*assumptions!$G$75,0),0)</f>
        <v/>
      </c>
      <c r="Y19" s="17">
        <f>IF(AND(19&gt;=E19,OR(F19="",19&lt;=F19)),(D19*(1+assumptions!$G$76)^1/12*(1+assumptions!$G$70+assumptions!$G$71+IF(19&gt;=assumptions!$G$73,assumptions!$G$72,0))+assumptions!$G$74/12)+IF(19=E19,D19*assumptions!$G$75,0),0)</f>
        <v/>
      </c>
      <c r="Z19" s="17">
        <f>IF(AND(20&gt;=E19,OR(F19="",20&lt;=F19)),(D19*(1+assumptions!$G$76)^1/12*(1+assumptions!$G$70+assumptions!$G$71+IF(20&gt;=assumptions!$G$73,assumptions!$G$72,0))+assumptions!$G$74/12)+IF(20=E19,D19*assumptions!$G$75,0),0)</f>
        <v/>
      </c>
      <c r="AA19" s="17">
        <f>IF(AND(21&gt;=E19,OR(F19="",21&lt;=F19)),(D19*(1+assumptions!$G$76)^1/12*(1+assumptions!$G$70+assumptions!$G$71+IF(21&gt;=assumptions!$G$73,assumptions!$G$72,0))+assumptions!$G$74/12)+IF(21=E19,D19*assumptions!$G$75,0),0)</f>
        <v/>
      </c>
      <c r="AB19" s="17">
        <f>IF(AND(22&gt;=E19,OR(F19="",22&lt;=F19)),(D19*(1+assumptions!$G$76)^1/12*(1+assumptions!$G$70+assumptions!$G$71+IF(22&gt;=assumptions!$G$73,assumptions!$G$72,0))+assumptions!$G$74/12)+IF(22=E19,D19*assumptions!$G$75,0),0)</f>
        <v/>
      </c>
      <c r="AC19" s="17">
        <f>IF(AND(23&gt;=E19,OR(F19="",23&lt;=F19)),(D19*(1+assumptions!$G$76)^1/12*(1+assumptions!$G$70+assumptions!$G$71+IF(23&gt;=assumptions!$G$73,assumptions!$G$72,0))+assumptions!$G$74/12)+IF(23=E19,D19*assumptions!$G$75,0),0)</f>
        <v/>
      </c>
      <c r="AD19" s="17">
        <f>IF(AND(24&gt;=E19,OR(F19="",24&lt;=F19)),(D19*(1+assumptions!$G$76)^1/12*(1+assumptions!$G$70+assumptions!$G$71+IF(24&gt;=assumptions!$G$73,assumptions!$G$72,0))+assumptions!$G$74/12)+IF(24=E19,D19*assumptions!$G$75,0),0)</f>
        <v/>
      </c>
      <c r="AE19" s="17">
        <f>IF(AND(25&gt;=E19,OR(F19="",25&lt;=F19)),(D19*(1+assumptions!$G$76)^2/12*(1+assumptions!$G$70+assumptions!$G$71+IF(25&gt;=assumptions!$G$73,assumptions!$G$72,0))+assumptions!$G$74/12)+IF(25=E19,D19*assumptions!$G$75,0),0)</f>
        <v/>
      </c>
      <c r="AF19" s="17">
        <f>IF(AND(26&gt;=E19,OR(F19="",26&lt;=F19)),(D19*(1+assumptions!$G$76)^2/12*(1+assumptions!$G$70+assumptions!$G$71+IF(26&gt;=assumptions!$G$73,assumptions!$G$72,0))+assumptions!$G$74/12)+IF(26=E19,D19*assumptions!$G$75,0),0)</f>
        <v/>
      </c>
      <c r="AG19" s="17">
        <f>IF(AND(27&gt;=E19,OR(F19="",27&lt;=F19)),(D19*(1+assumptions!$G$76)^2/12*(1+assumptions!$G$70+assumptions!$G$71+IF(27&gt;=assumptions!$G$73,assumptions!$G$72,0))+assumptions!$G$74/12)+IF(27=E19,D19*assumptions!$G$75,0),0)</f>
        <v/>
      </c>
      <c r="AH19" s="17">
        <f>IF(AND(28&gt;=E19,OR(F19="",28&lt;=F19)),(D19*(1+assumptions!$G$76)^2/12*(1+assumptions!$G$70+assumptions!$G$71+IF(28&gt;=assumptions!$G$73,assumptions!$G$72,0))+assumptions!$G$74/12)+IF(28=E19,D19*assumptions!$G$75,0),0)</f>
        <v/>
      </c>
      <c r="AI19" s="17">
        <f>IF(AND(29&gt;=E19,OR(F19="",29&lt;=F19)),(D19*(1+assumptions!$G$76)^2/12*(1+assumptions!$G$70+assumptions!$G$71+IF(29&gt;=assumptions!$G$73,assumptions!$G$72,0))+assumptions!$G$74/12)+IF(29=E19,D19*assumptions!$G$75,0),0)</f>
        <v/>
      </c>
      <c r="AJ19" s="17">
        <f>IF(AND(30&gt;=E19,OR(F19="",30&lt;=F19)),(D19*(1+assumptions!$G$76)^2/12*(1+assumptions!$G$70+assumptions!$G$71+IF(30&gt;=assumptions!$G$73,assumptions!$G$72,0))+assumptions!$G$74/12)+IF(30=E19,D19*assumptions!$G$75,0),0)</f>
        <v/>
      </c>
      <c r="AK19" s="17">
        <f>IF(AND(31&gt;=E19,OR(F19="",31&lt;=F19)),(D19*(1+assumptions!$G$76)^2/12*(1+assumptions!$G$70+assumptions!$G$71+IF(31&gt;=assumptions!$G$73,assumptions!$G$72,0))+assumptions!$G$74/12)+IF(31=E19,D19*assumptions!$G$75,0),0)</f>
        <v/>
      </c>
      <c r="AL19" s="17">
        <f>IF(AND(32&gt;=E19,OR(F19="",32&lt;=F19)),(D19*(1+assumptions!$G$76)^2/12*(1+assumptions!$G$70+assumptions!$G$71+IF(32&gt;=assumptions!$G$73,assumptions!$G$72,0))+assumptions!$G$74/12)+IF(32=E19,D19*assumptions!$G$75,0),0)</f>
        <v/>
      </c>
      <c r="AM19" s="17">
        <f>IF(AND(33&gt;=E19,OR(F19="",33&lt;=F19)),(D19*(1+assumptions!$G$76)^2/12*(1+assumptions!$G$70+assumptions!$G$71+IF(33&gt;=assumptions!$G$73,assumptions!$G$72,0))+assumptions!$G$74/12)+IF(33=E19,D19*assumptions!$G$75,0),0)</f>
        <v/>
      </c>
      <c r="AN19" s="17">
        <f>IF(AND(34&gt;=E19,OR(F19="",34&lt;=F19)),(D19*(1+assumptions!$G$76)^2/12*(1+assumptions!$G$70+assumptions!$G$71+IF(34&gt;=assumptions!$G$73,assumptions!$G$72,0))+assumptions!$G$74/12)+IF(34=E19,D19*assumptions!$G$75,0),0)</f>
        <v/>
      </c>
      <c r="AO19" s="17">
        <f>IF(AND(35&gt;=E19,OR(F19="",35&lt;=F19)),(D19*(1+assumptions!$G$76)^2/12*(1+assumptions!$G$70+assumptions!$G$71+IF(35&gt;=assumptions!$G$73,assumptions!$G$72,0))+assumptions!$G$74/12)+IF(35=E19,D19*assumptions!$G$75,0),0)</f>
        <v/>
      </c>
      <c r="AP19" s="17">
        <f>IF(AND(36&gt;=E19,OR(F19="",36&lt;=F19)),(D19*(1+assumptions!$G$76)^2/12*(1+assumptions!$G$70+assumptions!$G$71+IF(36&gt;=assumptions!$G$73,assumptions!$G$72,0))+assumptions!$G$74/12)+IF(36=E19,D19*assumptions!$G$75,0),0)</f>
        <v/>
      </c>
      <c r="AQ19" s="17">
        <f>IF(AND(37&gt;=E19,OR(F19="",37&lt;=F19)),(D19*(1+assumptions!$G$76)^3/12*(1+assumptions!$G$70+assumptions!$G$71+IF(37&gt;=assumptions!$G$73,assumptions!$G$72,0))+assumptions!$G$74/12)+IF(37=E19,D19*assumptions!$G$75,0),0)</f>
        <v/>
      </c>
      <c r="AR19" s="17">
        <f>IF(AND(38&gt;=E19,OR(F19="",38&lt;=F19)),(D19*(1+assumptions!$G$76)^3/12*(1+assumptions!$G$70+assumptions!$G$71+IF(38&gt;=assumptions!$G$73,assumptions!$G$72,0))+assumptions!$G$74/12)+IF(38=E19,D19*assumptions!$G$75,0),0)</f>
        <v/>
      </c>
      <c r="AS19" s="17">
        <f>IF(AND(39&gt;=E19,OR(F19="",39&lt;=F19)),(D19*(1+assumptions!$G$76)^3/12*(1+assumptions!$G$70+assumptions!$G$71+IF(39&gt;=assumptions!$G$73,assumptions!$G$72,0))+assumptions!$G$74/12)+IF(39=E19,D19*assumptions!$G$75,0),0)</f>
        <v/>
      </c>
      <c r="AT19" s="17">
        <f>IF(AND(40&gt;=E19,OR(F19="",40&lt;=F19)),(D19*(1+assumptions!$G$76)^3/12*(1+assumptions!$G$70+assumptions!$G$71+IF(40&gt;=assumptions!$G$73,assumptions!$G$72,0))+assumptions!$G$74/12)+IF(40=E19,D19*assumptions!$G$75,0),0)</f>
        <v/>
      </c>
      <c r="AU19" s="17">
        <f>IF(AND(41&gt;=E19,OR(F19="",41&lt;=F19)),(D19*(1+assumptions!$G$76)^3/12*(1+assumptions!$G$70+assumptions!$G$71+IF(41&gt;=assumptions!$G$73,assumptions!$G$72,0))+assumptions!$G$74/12)+IF(41=E19,D19*assumptions!$G$75,0),0)</f>
        <v/>
      </c>
      <c r="AV19" s="17">
        <f>IF(AND(42&gt;=E19,OR(F19="",42&lt;=F19)),(D19*(1+assumptions!$G$76)^3/12*(1+assumptions!$G$70+assumptions!$G$71+IF(42&gt;=assumptions!$G$73,assumptions!$G$72,0))+assumptions!$G$74/12)+IF(42=E19,D19*assumptions!$G$75,0),0)</f>
        <v/>
      </c>
      <c r="AW19" s="17">
        <f>IF(AND(43&gt;=E19,OR(F19="",43&lt;=F19)),(D19*(1+assumptions!$G$76)^3/12*(1+assumptions!$G$70+assumptions!$G$71+IF(43&gt;=assumptions!$G$73,assumptions!$G$72,0))+assumptions!$G$74/12)+IF(43=E19,D19*assumptions!$G$75,0),0)</f>
        <v/>
      </c>
      <c r="AX19" s="17">
        <f>IF(AND(44&gt;=E19,OR(F19="",44&lt;=F19)),(D19*(1+assumptions!$G$76)^3/12*(1+assumptions!$G$70+assumptions!$G$71+IF(44&gt;=assumptions!$G$73,assumptions!$G$72,0))+assumptions!$G$74/12)+IF(44=E19,D19*assumptions!$G$75,0),0)</f>
        <v/>
      </c>
      <c r="AY19" s="17">
        <f>IF(AND(45&gt;=E19,OR(F19="",45&lt;=F19)),(D19*(1+assumptions!$G$76)^3/12*(1+assumptions!$G$70+assumptions!$G$71+IF(45&gt;=assumptions!$G$73,assumptions!$G$72,0))+assumptions!$G$74/12)+IF(45=E19,D19*assumptions!$G$75,0),0)</f>
        <v/>
      </c>
      <c r="AZ19" s="17">
        <f>IF(AND(46&gt;=E19,OR(F19="",46&lt;=F19)),(D19*(1+assumptions!$G$76)^3/12*(1+assumptions!$G$70+assumptions!$G$71+IF(46&gt;=assumptions!$G$73,assumptions!$G$72,0))+assumptions!$G$74/12)+IF(46=E19,D19*assumptions!$G$75,0),0)</f>
        <v/>
      </c>
      <c r="BA19" s="17">
        <f>IF(AND(47&gt;=E19,OR(F19="",47&lt;=F19)),(D19*(1+assumptions!$G$76)^3/12*(1+assumptions!$G$70+assumptions!$G$71+IF(47&gt;=assumptions!$G$73,assumptions!$G$72,0))+assumptions!$G$74/12)+IF(47=E19,D19*assumptions!$G$75,0),0)</f>
        <v/>
      </c>
      <c r="BB19" s="17">
        <f>IF(AND(48&gt;=E19,OR(F19="",48&lt;=F19)),(D19*(1+assumptions!$G$76)^3/12*(1+assumptions!$G$70+assumptions!$G$71+IF(48&gt;=assumptions!$G$73,assumptions!$G$72,0))+assumptions!$G$74/12)+IF(48=E19,D19*assumptions!$G$75,0),0)</f>
        <v/>
      </c>
      <c r="BC19" s="17">
        <f>IF(AND(49&gt;=E19,OR(F19="",49&lt;=F19)),(D19*(1+assumptions!$G$76)^4/12*(1+assumptions!$G$70+assumptions!$G$71+IF(49&gt;=assumptions!$G$73,assumptions!$G$72,0))+assumptions!$G$74/12)+IF(49=E19,D19*assumptions!$G$75,0),0)</f>
        <v/>
      </c>
      <c r="BD19" s="17">
        <f>IF(AND(50&gt;=E19,OR(F19="",50&lt;=F19)),(D19*(1+assumptions!$G$76)^4/12*(1+assumptions!$G$70+assumptions!$G$71+IF(50&gt;=assumptions!$G$73,assumptions!$G$72,0))+assumptions!$G$74/12)+IF(50=E19,D19*assumptions!$G$75,0),0)</f>
        <v/>
      </c>
      <c r="BE19" s="17">
        <f>IF(AND(51&gt;=E19,OR(F19="",51&lt;=F19)),(D19*(1+assumptions!$G$76)^4/12*(1+assumptions!$G$70+assumptions!$G$71+IF(51&gt;=assumptions!$G$73,assumptions!$G$72,0))+assumptions!$G$74/12)+IF(51=E19,D19*assumptions!$G$75,0),0)</f>
        <v/>
      </c>
      <c r="BF19" s="17">
        <f>IF(AND(52&gt;=E19,OR(F19="",52&lt;=F19)),(D19*(1+assumptions!$G$76)^4/12*(1+assumptions!$G$70+assumptions!$G$71+IF(52&gt;=assumptions!$G$73,assumptions!$G$72,0))+assumptions!$G$74/12)+IF(52=E19,D19*assumptions!$G$75,0),0)</f>
        <v/>
      </c>
      <c r="BG19" s="17">
        <f>IF(AND(53&gt;=E19,OR(F19="",53&lt;=F19)),(D19*(1+assumptions!$G$76)^4/12*(1+assumptions!$G$70+assumptions!$G$71+IF(53&gt;=assumptions!$G$73,assumptions!$G$72,0))+assumptions!$G$74/12)+IF(53=E19,D19*assumptions!$G$75,0),0)</f>
        <v/>
      </c>
      <c r="BH19" s="17">
        <f>IF(AND(54&gt;=E19,OR(F19="",54&lt;=F19)),(D19*(1+assumptions!$G$76)^4/12*(1+assumptions!$G$70+assumptions!$G$71+IF(54&gt;=assumptions!$G$73,assumptions!$G$72,0))+assumptions!$G$74/12)+IF(54=E19,D19*assumptions!$G$75,0),0)</f>
        <v/>
      </c>
      <c r="BI19" s="17">
        <f>IF(AND(55&gt;=E19,OR(F19="",55&lt;=F19)),(D19*(1+assumptions!$G$76)^4/12*(1+assumptions!$G$70+assumptions!$G$71+IF(55&gt;=assumptions!$G$73,assumptions!$G$72,0))+assumptions!$G$74/12)+IF(55=E19,D19*assumptions!$G$75,0),0)</f>
        <v/>
      </c>
      <c r="BJ19" s="17">
        <f>IF(AND(56&gt;=E19,OR(F19="",56&lt;=F19)),(D19*(1+assumptions!$G$76)^4/12*(1+assumptions!$G$70+assumptions!$G$71+IF(56&gt;=assumptions!$G$73,assumptions!$G$72,0))+assumptions!$G$74/12)+IF(56=E19,D19*assumptions!$G$75,0),0)</f>
        <v/>
      </c>
      <c r="BK19" s="17">
        <f>IF(AND(57&gt;=E19,OR(F19="",57&lt;=F19)),(D19*(1+assumptions!$G$76)^4/12*(1+assumptions!$G$70+assumptions!$G$71+IF(57&gt;=assumptions!$G$73,assumptions!$G$72,0))+assumptions!$G$74/12)+IF(57=E19,D19*assumptions!$G$75,0),0)</f>
        <v/>
      </c>
      <c r="BL19" s="17">
        <f>IF(AND(58&gt;=E19,OR(F19="",58&lt;=F19)),(D19*(1+assumptions!$G$76)^4/12*(1+assumptions!$G$70+assumptions!$G$71+IF(58&gt;=assumptions!$G$73,assumptions!$G$72,0))+assumptions!$G$74/12)+IF(58=E19,D19*assumptions!$G$75,0),0)</f>
        <v/>
      </c>
      <c r="BM19" s="17">
        <f>IF(AND(59&gt;=E19,OR(F19="",59&lt;=F19)),(D19*(1+assumptions!$G$76)^4/12*(1+assumptions!$G$70+assumptions!$G$71+IF(59&gt;=assumptions!$G$73,assumptions!$G$72,0))+assumptions!$G$74/12)+IF(59=E19,D19*assumptions!$G$75,0),0)</f>
        <v/>
      </c>
      <c r="BN19" s="17">
        <f>IF(AND(60&gt;=E19,OR(F19="",60&lt;=F19)),(D19*(1+assumptions!$G$76)^4/12*(1+assumptions!$G$70+assumptions!$G$71+IF(60&gt;=assumptions!$G$73,assumptions!$G$72,0))+assumptions!$G$74/12)+IF(60=E19,D19*assumptions!$G$75,0),0)</f>
        <v/>
      </c>
    </row>
    <row r="20">
      <c r="A20" s="5" t="n">
        <v>17</v>
      </c>
      <c r="B20" s="5" t="inlineStr">
        <is>
          <t>Senior product manager</t>
        </is>
      </c>
      <c r="C20" s="5" t="inlineStr">
        <is>
          <t>product</t>
        </is>
      </c>
      <c r="D20" s="15" t="n">
        <v>85000</v>
      </c>
      <c r="E20" s="32" t="n">
        <v>15</v>
      </c>
      <c r="F20" s="32" t="n"/>
      <c r="G20" s="17">
        <f>IF(AND(1&gt;=E20,OR(F20="",1&lt;=F20)),(D20*(1+assumptions!$G$76)^0/12*(1+assumptions!$G$70+assumptions!$G$71+IF(1&gt;=assumptions!$G$73,assumptions!$G$72,0))+assumptions!$G$74/12)+IF(1=E20,D20*assumptions!$G$75,0),0)</f>
        <v/>
      </c>
      <c r="H20" s="17">
        <f>IF(AND(2&gt;=E20,OR(F20="",2&lt;=F20)),(D20*(1+assumptions!$G$76)^0/12*(1+assumptions!$G$70+assumptions!$G$71+IF(2&gt;=assumptions!$G$73,assumptions!$G$72,0))+assumptions!$G$74/12)+IF(2=E20,D20*assumptions!$G$75,0),0)</f>
        <v/>
      </c>
      <c r="I20" s="17">
        <f>IF(AND(3&gt;=E20,OR(F20="",3&lt;=F20)),(D20*(1+assumptions!$G$76)^0/12*(1+assumptions!$G$70+assumptions!$G$71+IF(3&gt;=assumptions!$G$73,assumptions!$G$72,0))+assumptions!$G$74/12)+IF(3=E20,D20*assumptions!$G$75,0),0)</f>
        <v/>
      </c>
      <c r="J20" s="17">
        <f>IF(AND(4&gt;=E20,OR(F20="",4&lt;=F20)),(D20*(1+assumptions!$G$76)^0/12*(1+assumptions!$G$70+assumptions!$G$71+IF(4&gt;=assumptions!$G$73,assumptions!$G$72,0))+assumptions!$G$74/12)+IF(4=E20,D20*assumptions!$G$75,0),0)</f>
        <v/>
      </c>
      <c r="K20" s="17">
        <f>IF(AND(5&gt;=E20,OR(F20="",5&lt;=F20)),(D20*(1+assumptions!$G$76)^0/12*(1+assumptions!$G$70+assumptions!$G$71+IF(5&gt;=assumptions!$G$73,assumptions!$G$72,0))+assumptions!$G$74/12)+IF(5=E20,D20*assumptions!$G$75,0),0)</f>
        <v/>
      </c>
      <c r="L20" s="17">
        <f>IF(AND(6&gt;=E20,OR(F20="",6&lt;=F20)),(D20*(1+assumptions!$G$76)^0/12*(1+assumptions!$G$70+assumptions!$G$71+IF(6&gt;=assumptions!$G$73,assumptions!$G$72,0))+assumptions!$G$74/12)+IF(6=E20,D20*assumptions!$G$75,0),0)</f>
        <v/>
      </c>
      <c r="M20" s="17">
        <f>IF(AND(7&gt;=E20,OR(F20="",7&lt;=F20)),(D20*(1+assumptions!$G$76)^0/12*(1+assumptions!$G$70+assumptions!$G$71+IF(7&gt;=assumptions!$G$73,assumptions!$G$72,0))+assumptions!$G$74/12)+IF(7=E20,D20*assumptions!$G$75,0),0)</f>
        <v/>
      </c>
      <c r="N20" s="17">
        <f>IF(AND(8&gt;=E20,OR(F20="",8&lt;=F20)),(D20*(1+assumptions!$G$76)^0/12*(1+assumptions!$G$70+assumptions!$G$71+IF(8&gt;=assumptions!$G$73,assumptions!$G$72,0))+assumptions!$G$74/12)+IF(8=E20,D20*assumptions!$G$75,0),0)</f>
        <v/>
      </c>
      <c r="O20" s="17">
        <f>IF(AND(9&gt;=E20,OR(F20="",9&lt;=F20)),(D20*(1+assumptions!$G$76)^0/12*(1+assumptions!$G$70+assumptions!$G$71+IF(9&gt;=assumptions!$G$73,assumptions!$G$72,0))+assumptions!$G$74/12)+IF(9=E20,D20*assumptions!$G$75,0),0)</f>
        <v/>
      </c>
      <c r="P20" s="17">
        <f>IF(AND(10&gt;=E20,OR(F20="",10&lt;=F20)),(D20*(1+assumptions!$G$76)^0/12*(1+assumptions!$G$70+assumptions!$G$71+IF(10&gt;=assumptions!$G$73,assumptions!$G$72,0))+assumptions!$G$74/12)+IF(10=E20,D20*assumptions!$G$75,0),0)</f>
        <v/>
      </c>
      <c r="Q20" s="17">
        <f>IF(AND(11&gt;=E20,OR(F20="",11&lt;=F20)),(D20*(1+assumptions!$G$76)^0/12*(1+assumptions!$G$70+assumptions!$G$71+IF(11&gt;=assumptions!$G$73,assumptions!$G$72,0))+assumptions!$G$74/12)+IF(11=E20,D20*assumptions!$G$75,0),0)</f>
        <v/>
      </c>
      <c r="R20" s="17">
        <f>IF(AND(12&gt;=E20,OR(F20="",12&lt;=F20)),(D20*(1+assumptions!$G$76)^0/12*(1+assumptions!$G$70+assumptions!$G$71+IF(12&gt;=assumptions!$G$73,assumptions!$G$72,0))+assumptions!$G$74/12)+IF(12=E20,D20*assumptions!$G$75,0),0)</f>
        <v/>
      </c>
      <c r="S20" s="17">
        <f>IF(AND(13&gt;=E20,OR(F20="",13&lt;=F20)),(D20*(1+assumptions!$G$76)^1/12*(1+assumptions!$G$70+assumptions!$G$71+IF(13&gt;=assumptions!$G$73,assumptions!$G$72,0))+assumptions!$G$74/12)+IF(13=E20,D20*assumptions!$G$75,0),0)</f>
        <v/>
      </c>
      <c r="T20" s="17">
        <f>IF(AND(14&gt;=E20,OR(F20="",14&lt;=F20)),(D20*(1+assumptions!$G$76)^1/12*(1+assumptions!$G$70+assumptions!$G$71+IF(14&gt;=assumptions!$G$73,assumptions!$G$72,0))+assumptions!$G$74/12)+IF(14=E20,D20*assumptions!$G$75,0),0)</f>
        <v/>
      </c>
      <c r="U20" s="17">
        <f>IF(AND(15&gt;=E20,OR(F20="",15&lt;=F20)),(D20*(1+assumptions!$G$76)^1/12*(1+assumptions!$G$70+assumptions!$G$71+IF(15&gt;=assumptions!$G$73,assumptions!$G$72,0))+assumptions!$G$74/12)+IF(15=E20,D20*assumptions!$G$75,0),0)</f>
        <v/>
      </c>
      <c r="V20" s="17">
        <f>IF(AND(16&gt;=E20,OR(F20="",16&lt;=F20)),(D20*(1+assumptions!$G$76)^1/12*(1+assumptions!$G$70+assumptions!$G$71+IF(16&gt;=assumptions!$G$73,assumptions!$G$72,0))+assumptions!$G$74/12)+IF(16=E20,D20*assumptions!$G$75,0),0)</f>
        <v/>
      </c>
      <c r="W20" s="17">
        <f>IF(AND(17&gt;=E20,OR(F20="",17&lt;=F20)),(D20*(1+assumptions!$G$76)^1/12*(1+assumptions!$G$70+assumptions!$G$71+IF(17&gt;=assumptions!$G$73,assumptions!$G$72,0))+assumptions!$G$74/12)+IF(17=E20,D20*assumptions!$G$75,0),0)</f>
        <v/>
      </c>
      <c r="X20" s="17">
        <f>IF(AND(18&gt;=E20,OR(F20="",18&lt;=F20)),(D20*(1+assumptions!$G$76)^1/12*(1+assumptions!$G$70+assumptions!$G$71+IF(18&gt;=assumptions!$G$73,assumptions!$G$72,0))+assumptions!$G$74/12)+IF(18=E20,D20*assumptions!$G$75,0),0)</f>
        <v/>
      </c>
      <c r="Y20" s="17">
        <f>IF(AND(19&gt;=E20,OR(F20="",19&lt;=F20)),(D20*(1+assumptions!$G$76)^1/12*(1+assumptions!$G$70+assumptions!$G$71+IF(19&gt;=assumptions!$G$73,assumptions!$G$72,0))+assumptions!$G$74/12)+IF(19=E20,D20*assumptions!$G$75,0),0)</f>
        <v/>
      </c>
      <c r="Z20" s="17">
        <f>IF(AND(20&gt;=E20,OR(F20="",20&lt;=F20)),(D20*(1+assumptions!$G$76)^1/12*(1+assumptions!$G$70+assumptions!$G$71+IF(20&gt;=assumptions!$G$73,assumptions!$G$72,0))+assumptions!$G$74/12)+IF(20=E20,D20*assumptions!$G$75,0),0)</f>
        <v/>
      </c>
      <c r="AA20" s="17">
        <f>IF(AND(21&gt;=E20,OR(F20="",21&lt;=F20)),(D20*(1+assumptions!$G$76)^1/12*(1+assumptions!$G$70+assumptions!$G$71+IF(21&gt;=assumptions!$G$73,assumptions!$G$72,0))+assumptions!$G$74/12)+IF(21=E20,D20*assumptions!$G$75,0),0)</f>
        <v/>
      </c>
      <c r="AB20" s="17">
        <f>IF(AND(22&gt;=E20,OR(F20="",22&lt;=F20)),(D20*(1+assumptions!$G$76)^1/12*(1+assumptions!$G$70+assumptions!$G$71+IF(22&gt;=assumptions!$G$73,assumptions!$G$72,0))+assumptions!$G$74/12)+IF(22=E20,D20*assumptions!$G$75,0),0)</f>
        <v/>
      </c>
      <c r="AC20" s="17">
        <f>IF(AND(23&gt;=E20,OR(F20="",23&lt;=F20)),(D20*(1+assumptions!$G$76)^1/12*(1+assumptions!$G$70+assumptions!$G$71+IF(23&gt;=assumptions!$G$73,assumptions!$G$72,0))+assumptions!$G$74/12)+IF(23=E20,D20*assumptions!$G$75,0),0)</f>
        <v/>
      </c>
      <c r="AD20" s="17">
        <f>IF(AND(24&gt;=E20,OR(F20="",24&lt;=F20)),(D20*(1+assumptions!$G$76)^1/12*(1+assumptions!$G$70+assumptions!$G$71+IF(24&gt;=assumptions!$G$73,assumptions!$G$72,0))+assumptions!$G$74/12)+IF(24=E20,D20*assumptions!$G$75,0),0)</f>
        <v/>
      </c>
      <c r="AE20" s="17">
        <f>IF(AND(25&gt;=E20,OR(F20="",25&lt;=F20)),(D20*(1+assumptions!$G$76)^2/12*(1+assumptions!$G$70+assumptions!$G$71+IF(25&gt;=assumptions!$G$73,assumptions!$G$72,0))+assumptions!$G$74/12)+IF(25=E20,D20*assumptions!$G$75,0),0)</f>
        <v/>
      </c>
      <c r="AF20" s="17">
        <f>IF(AND(26&gt;=E20,OR(F20="",26&lt;=F20)),(D20*(1+assumptions!$G$76)^2/12*(1+assumptions!$G$70+assumptions!$G$71+IF(26&gt;=assumptions!$G$73,assumptions!$G$72,0))+assumptions!$G$74/12)+IF(26=E20,D20*assumptions!$G$75,0),0)</f>
        <v/>
      </c>
      <c r="AG20" s="17">
        <f>IF(AND(27&gt;=E20,OR(F20="",27&lt;=F20)),(D20*(1+assumptions!$G$76)^2/12*(1+assumptions!$G$70+assumptions!$G$71+IF(27&gt;=assumptions!$G$73,assumptions!$G$72,0))+assumptions!$G$74/12)+IF(27=E20,D20*assumptions!$G$75,0),0)</f>
        <v/>
      </c>
      <c r="AH20" s="17">
        <f>IF(AND(28&gt;=E20,OR(F20="",28&lt;=F20)),(D20*(1+assumptions!$G$76)^2/12*(1+assumptions!$G$70+assumptions!$G$71+IF(28&gt;=assumptions!$G$73,assumptions!$G$72,0))+assumptions!$G$74/12)+IF(28=E20,D20*assumptions!$G$75,0),0)</f>
        <v/>
      </c>
      <c r="AI20" s="17">
        <f>IF(AND(29&gt;=E20,OR(F20="",29&lt;=F20)),(D20*(1+assumptions!$G$76)^2/12*(1+assumptions!$G$70+assumptions!$G$71+IF(29&gt;=assumptions!$G$73,assumptions!$G$72,0))+assumptions!$G$74/12)+IF(29=E20,D20*assumptions!$G$75,0),0)</f>
        <v/>
      </c>
      <c r="AJ20" s="17">
        <f>IF(AND(30&gt;=E20,OR(F20="",30&lt;=F20)),(D20*(1+assumptions!$G$76)^2/12*(1+assumptions!$G$70+assumptions!$G$71+IF(30&gt;=assumptions!$G$73,assumptions!$G$72,0))+assumptions!$G$74/12)+IF(30=E20,D20*assumptions!$G$75,0),0)</f>
        <v/>
      </c>
      <c r="AK20" s="17">
        <f>IF(AND(31&gt;=E20,OR(F20="",31&lt;=F20)),(D20*(1+assumptions!$G$76)^2/12*(1+assumptions!$G$70+assumptions!$G$71+IF(31&gt;=assumptions!$G$73,assumptions!$G$72,0))+assumptions!$G$74/12)+IF(31=E20,D20*assumptions!$G$75,0),0)</f>
        <v/>
      </c>
      <c r="AL20" s="17">
        <f>IF(AND(32&gt;=E20,OR(F20="",32&lt;=F20)),(D20*(1+assumptions!$G$76)^2/12*(1+assumptions!$G$70+assumptions!$G$71+IF(32&gt;=assumptions!$G$73,assumptions!$G$72,0))+assumptions!$G$74/12)+IF(32=E20,D20*assumptions!$G$75,0),0)</f>
        <v/>
      </c>
      <c r="AM20" s="17">
        <f>IF(AND(33&gt;=E20,OR(F20="",33&lt;=F20)),(D20*(1+assumptions!$G$76)^2/12*(1+assumptions!$G$70+assumptions!$G$71+IF(33&gt;=assumptions!$G$73,assumptions!$G$72,0))+assumptions!$G$74/12)+IF(33=E20,D20*assumptions!$G$75,0),0)</f>
        <v/>
      </c>
      <c r="AN20" s="17">
        <f>IF(AND(34&gt;=E20,OR(F20="",34&lt;=F20)),(D20*(1+assumptions!$G$76)^2/12*(1+assumptions!$G$70+assumptions!$G$71+IF(34&gt;=assumptions!$G$73,assumptions!$G$72,0))+assumptions!$G$74/12)+IF(34=E20,D20*assumptions!$G$75,0),0)</f>
        <v/>
      </c>
      <c r="AO20" s="17">
        <f>IF(AND(35&gt;=E20,OR(F20="",35&lt;=F20)),(D20*(1+assumptions!$G$76)^2/12*(1+assumptions!$G$70+assumptions!$G$71+IF(35&gt;=assumptions!$G$73,assumptions!$G$72,0))+assumptions!$G$74/12)+IF(35=E20,D20*assumptions!$G$75,0),0)</f>
        <v/>
      </c>
      <c r="AP20" s="17">
        <f>IF(AND(36&gt;=E20,OR(F20="",36&lt;=F20)),(D20*(1+assumptions!$G$76)^2/12*(1+assumptions!$G$70+assumptions!$G$71+IF(36&gt;=assumptions!$G$73,assumptions!$G$72,0))+assumptions!$G$74/12)+IF(36=E20,D20*assumptions!$G$75,0),0)</f>
        <v/>
      </c>
      <c r="AQ20" s="17">
        <f>IF(AND(37&gt;=E20,OR(F20="",37&lt;=F20)),(D20*(1+assumptions!$G$76)^3/12*(1+assumptions!$G$70+assumptions!$G$71+IF(37&gt;=assumptions!$G$73,assumptions!$G$72,0))+assumptions!$G$74/12)+IF(37=E20,D20*assumptions!$G$75,0),0)</f>
        <v/>
      </c>
      <c r="AR20" s="17">
        <f>IF(AND(38&gt;=E20,OR(F20="",38&lt;=F20)),(D20*(1+assumptions!$G$76)^3/12*(1+assumptions!$G$70+assumptions!$G$71+IF(38&gt;=assumptions!$G$73,assumptions!$G$72,0))+assumptions!$G$74/12)+IF(38=E20,D20*assumptions!$G$75,0),0)</f>
        <v/>
      </c>
      <c r="AS20" s="17">
        <f>IF(AND(39&gt;=E20,OR(F20="",39&lt;=F20)),(D20*(1+assumptions!$G$76)^3/12*(1+assumptions!$G$70+assumptions!$G$71+IF(39&gt;=assumptions!$G$73,assumptions!$G$72,0))+assumptions!$G$74/12)+IF(39=E20,D20*assumptions!$G$75,0),0)</f>
        <v/>
      </c>
      <c r="AT20" s="17">
        <f>IF(AND(40&gt;=E20,OR(F20="",40&lt;=F20)),(D20*(1+assumptions!$G$76)^3/12*(1+assumptions!$G$70+assumptions!$G$71+IF(40&gt;=assumptions!$G$73,assumptions!$G$72,0))+assumptions!$G$74/12)+IF(40=E20,D20*assumptions!$G$75,0),0)</f>
        <v/>
      </c>
      <c r="AU20" s="17">
        <f>IF(AND(41&gt;=E20,OR(F20="",41&lt;=F20)),(D20*(1+assumptions!$G$76)^3/12*(1+assumptions!$G$70+assumptions!$G$71+IF(41&gt;=assumptions!$G$73,assumptions!$G$72,0))+assumptions!$G$74/12)+IF(41=E20,D20*assumptions!$G$75,0),0)</f>
        <v/>
      </c>
      <c r="AV20" s="17">
        <f>IF(AND(42&gt;=E20,OR(F20="",42&lt;=F20)),(D20*(1+assumptions!$G$76)^3/12*(1+assumptions!$G$70+assumptions!$G$71+IF(42&gt;=assumptions!$G$73,assumptions!$G$72,0))+assumptions!$G$74/12)+IF(42=E20,D20*assumptions!$G$75,0),0)</f>
        <v/>
      </c>
      <c r="AW20" s="17">
        <f>IF(AND(43&gt;=E20,OR(F20="",43&lt;=F20)),(D20*(1+assumptions!$G$76)^3/12*(1+assumptions!$G$70+assumptions!$G$71+IF(43&gt;=assumptions!$G$73,assumptions!$G$72,0))+assumptions!$G$74/12)+IF(43=E20,D20*assumptions!$G$75,0),0)</f>
        <v/>
      </c>
      <c r="AX20" s="17">
        <f>IF(AND(44&gt;=E20,OR(F20="",44&lt;=F20)),(D20*(1+assumptions!$G$76)^3/12*(1+assumptions!$G$70+assumptions!$G$71+IF(44&gt;=assumptions!$G$73,assumptions!$G$72,0))+assumptions!$G$74/12)+IF(44=E20,D20*assumptions!$G$75,0),0)</f>
        <v/>
      </c>
      <c r="AY20" s="17">
        <f>IF(AND(45&gt;=E20,OR(F20="",45&lt;=F20)),(D20*(1+assumptions!$G$76)^3/12*(1+assumptions!$G$70+assumptions!$G$71+IF(45&gt;=assumptions!$G$73,assumptions!$G$72,0))+assumptions!$G$74/12)+IF(45=E20,D20*assumptions!$G$75,0),0)</f>
        <v/>
      </c>
      <c r="AZ20" s="17">
        <f>IF(AND(46&gt;=E20,OR(F20="",46&lt;=F20)),(D20*(1+assumptions!$G$76)^3/12*(1+assumptions!$G$70+assumptions!$G$71+IF(46&gt;=assumptions!$G$73,assumptions!$G$72,0))+assumptions!$G$74/12)+IF(46=E20,D20*assumptions!$G$75,0),0)</f>
        <v/>
      </c>
      <c r="BA20" s="17">
        <f>IF(AND(47&gt;=E20,OR(F20="",47&lt;=F20)),(D20*(1+assumptions!$G$76)^3/12*(1+assumptions!$G$70+assumptions!$G$71+IF(47&gt;=assumptions!$G$73,assumptions!$G$72,0))+assumptions!$G$74/12)+IF(47=E20,D20*assumptions!$G$75,0),0)</f>
        <v/>
      </c>
      <c r="BB20" s="17">
        <f>IF(AND(48&gt;=E20,OR(F20="",48&lt;=F20)),(D20*(1+assumptions!$G$76)^3/12*(1+assumptions!$G$70+assumptions!$G$71+IF(48&gt;=assumptions!$G$73,assumptions!$G$72,0))+assumptions!$G$74/12)+IF(48=E20,D20*assumptions!$G$75,0),0)</f>
        <v/>
      </c>
      <c r="BC20" s="17">
        <f>IF(AND(49&gt;=E20,OR(F20="",49&lt;=F20)),(D20*(1+assumptions!$G$76)^4/12*(1+assumptions!$G$70+assumptions!$G$71+IF(49&gt;=assumptions!$G$73,assumptions!$G$72,0))+assumptions!$G$74/12)+IF(49=E20,D20*assumptions!$G$75,0),0)</f>
        <v/>
      </c>
      <c r="BD20" s="17">
        <f>IF(AND(50&gt;=E20,OR(F20="",50&lt;=F20)),(D20*(1+assumptions!$G$76)^4/12*(1+assumptions!$G$70+assumptions!$G$71+IF(50&gt;=assumptions!$G$73,assumptions!$G$72,0))+assumptions!$G$74/12)+IF(50=E20,D20*assumptions!$G$75,0),0)</f>
        <v/>
      </c>
      <c r="BE20" s="17">
        <f>IF(AND(51&gt;=E20,OR(F20="",51&lt;=F20)),(D20*(1+assumptions!$G$76)^4/12*(1+assumptions!$G$70+assumptions!$G$71+IF(51&gt;=assumptions!$G$73,assumptions!$G$72,0))+assumptions!$G$74/12)+IF(51=E20,D20*assumptions!$G$75,0),0)</f>
        <v/>
      </c>
      <c r="BF20" s="17">
        <f>IF(AND(52&gt;=E20,OR(F20="",52&lt;=F20)),(D20*(1+assumptions!$G$76)^4/12*(1+assumptions!$G$70+assumptions!$G$71+IF(52&gt;=assumptions!$G$73,assumptions!$G$72,0))+assumptions!$G$74/12)+IF(52=E20,D20*assumptions!$G$75,0),0)</f>
        <v/>
      </c>
      <c r="BG20" s="17">
        <f>IF(AND(53&gt;=E20,OR(F20="",53&lt;=F20)),(D20*(1+assumptions!$G$76)^4/12*(1+assumptions!$G$70+assumptions!$G$71+IF(53&gt;=assumptions!$G$73,assumptions!$G$72,0))+assumptions!$G$74/12)+IF(53=E20,D20*assumptions!$G$75,0),0)</f>
        <v/>
      </c>
      <c r="BH20" s="17">
        <f>IF(AND(54&gt;=E20,OR(F20="",54&lt;=F20)),(D20*(1+assumptions!$G$76)^4/12*(1+assumptions!$G$70+assumptions!$G$71+IF(54&gt;=assumptions!$G$73,assumptions!$G$72,0))+assumptions!$G$74/12)+IF(54=E20,D20*assumptions!$G$75,0),0)</f>
        <v/>
      </c>
      <c r="BI20" s="17">
        <f>IF(AND(55&gt;=E20,OR(F20="",55&lt;=F20)),(D20*(1+assumptions!$G$76)^4/12*(1+assumptions!$G$70+assumptions!$G$71+IF(55&gt;=assumptions!$G$73,assumptions!$G$72,0))+assumptions!$G$74/12)+IF(55=E20,D20*assumptions!$G$75,0),0)</f>
        <v/>
      </c>
      <c r="BJ20" s="17">
        <f>IF(AND(56&gt;=E20,OR(F20="",56&lt;=F20)),(D20*(1+assumptions!$G$76)^4/12*(1+assumptions!$G$70+assumptions!$G$71+IF(56&gt;=assumptions!$G$73,assumptions!$G$72,0))+assumptions!$G$74/12)+IF(56=E20,D20*assumptions!$G$75,0),0)</f>
        <v/>
      </c>
      <c r="BK20" s="17">
        <f>IF(AND(57&gt;=E20,OR(F20="",57&lt;=F20)),(D20*(1+assumptions!$G$76)^4/12*(1+assumptions!$G$70+assumptions!$G$71+IF(57&gt;=assumptions!$G$73,assumptions!$G$72,0))+assumptions!$G$74/12)+IF(57=E20,D20*assumptions!$G$75,0),0)</f>
        <v/>
      </c>
      <c r="BL20" s="17">
        <f>IF(AND(58&gt;=E20,OR(F20="",58&lt;=F20)),(D20*(1+assumptions!$G$76)^4/12*(1+assumptions!$G$70+assumptions!$G$71+IF(58&gt;=assumptions!$G$73,assumptions!$G$72,0))+assumptions!$G$74/12)+IF(58=E20,D20*assumptions!$G$75,0),0)</f>
        <v/>
      </c>
      <c r="BM20" s="17">
        <f>IF(AND(59&gt;=E20,OR(F20="",59&lt;=F20)),(D20*(1+assumptions!$G$76)^4/12*(1+assumptions!$G$70+assumptions!$G$71+IF(59&gt;=assumptions!$G$73,assumptions!$G$72,0))+assumptions!$G$74/12)+IF(59=E20,D20*assumptions!$G$75,0),0)</f>
        <v/>
      </c>
      <c r="BN20" s="17">
        <f>IF(AND(60&gt;=E20,OR(F20="",60&lt;=F20)),(D20*(1+assumptions!$G$76)^4/12*(1+assumptions!$G$70+assumptions!$G$71+IF(60&gt;=assumptions!$G$73,assumptions!$G$72,0))+assumptions!$G$74/12)+IF(60=E20,D20*assumptions!$G$75,0),0)</f>
        <v/>
      </c>
    </row>
    <row r="21">
      <c r="A21" s="5" t="n">
        <v>18</v>
      </c>
      <c r="B21" s="5" t="inlineStr">
        <is>
          <t>Compliance / legal ops</t>
        </is>
      </c>
      <c r="C21" s="5" t="inlineStr">
        <is>
          <t>ga</t>
        </is>
      </c>
      <c r="D21" s="15" t="n">
        <v>60000</v>
      </c>
      <c r="E21" s="32" t="n">
        <v>15</v>
      </c>
      <c r="F21" s="32" t="n"/>
      <c r="G21" s="17">
        <f>IF(AND(1&gt;=E21,OR(F21="",1&lt;=F21)),(D21*(1+assumptions!$G$76)^0/12*(1+assumptions!$G$70+assumptions!$G$71+IF(1&gt;=assumptions!$G$73,assumptions!$G$72,0))+assumptions!$G$74/12)+IF(1=E21,D21*assumptions!$G$75,0),0)</f>
        <v/>
      </c>
      <c r="H21" s="17">
        <f>IF(AND(2&gt;=E21,OR(F21="",2&lt;=F21)),(D21*(1+assumptions!$G$76)^0/12*(1+assumptions!$G$70+assumptions!$G$71+IF(2&gt;=assumptions!$G$73,assumptions!$G$72,0))+assumptions!$G$74/12)+IF(2=E21,D21*assumptions!$G$75,0),0)</f>
        <v/>
      </c>
      <c r="I21" s="17">
        <f>IF(AND(3&gt;=E21,OR(F21="",3&lt;=F21)),(D21*(1+assumptions!$G$76)^0/12*(1+assumptions!$G$70+assumptions!$G$71+IF(3&gt;=assumptions!$G$73,assumptions!$G$72,0))+assumptions!$G$74/12)+IF(3=E21,D21*assumptions!$G$75,0),0)</f>
        <v/>
      </c>
      <c r="J21" s="17">
        <f>IF(AND(4&gt;=E21,OR(F21="",4&lt;=F21)),(D21*(1+assumptions!$G$76)^0/12*(1+assumptions!$G$70+assumptions!$G$71+IF(4&gt;=assumptions!$G$73,assumptions!$G$72,0))+assumptions!$G$74/12)+IF(4=E21,D21*assumptions!$G$75,0),0)</f>
        <v/>
      </c>
      <c r="K21" s="17">
        <f>IF(AND(5&gt;=E21,OR(F21="",5&lt;=F21)),(D21*(1+assumptions!$G$76)^0/12*(1+assumptions!$G$70+assumptions!$G$71+IF(5&gt;=assumptions!$G$73,assumptions!$G$72,0))+assumptions!$G$74/12)+IF(5=E21,D21*assumptions!$G$75,0),0)</f>
        <v/>
      </c>
      <c r="L21" s="17">
        <f>IF(AND(6&gt;=E21,OR(F21="",6&lt;=F21)),(D21*(1+assumptions!$G$76)^0/12*(1+assumptions!$G$70+assumptions!$G$71+IF(6&gt;=assumptions!$G$73,assumptions!$G$72,0))+assumptions!$G$74/12)+IF(6=E21,D21*assumptions!$G$75,0),0)</f>
        <v/>
      </c>
      <c r="M21" s="17">
        <f>IF(AND(7&gt;=E21,OR(F21="",7&lt;=F21)),(D21*(1+assumptions!$G$76)^0/12*(1+assumptions!$G$70+assumptions!$G$71+IF(7&gt;=assumptions!$G$73,assumptions!$G$72,0))+assumptions!$G$74/12)+IF(7=E21,D21*assumptions!$G$75,0),0)</f>
        <v/>
      </c>
      <c r="N21" s="17">
        <f>IF(AND(8&gt;=E21,OR(F21="",8&lt;=F21)),(D21*(1+assumptions!$G$76)^0/12*(1+assumptions!$G$70+assumptions!$G$71+IF(8&gt;=assumptions!$G$73,assumptions!$G$72,0))+assumptions!$G$74/12)+IF(8=E21,D21*assumptions!$G$75,0),0)</f>
        <v/>
      </c>
      <c r="O21" s="17">
        <f>IF(AND(9&gt;=E21,OR(F21="",9&lt;=F21)),(D21*(1+assumptions!$G$76)^0/12*(1+assumptions!$G$70+assumptions!$G$71+IF(9&gt;=assumptions!$G$73,assumptions!$G$72,0))+assumptions!$G$74/12)+IF(9=E21,D21*assumptions!$G$75,0),0)</f>
        <v/>
      </c>
      <c r="P21" s="17">
        <f>IF(AND(10&gt;=E21,OR(F21="",10&lt;=F21)),(D21*(1+assumptions!$G$76)^0/12*(1+assumptions!$G$70+assumptions!$G$71+IF(10&gt;=assumptions!$G$73,assumptions!$G$72,0))+assumptions!$G$74/12)+IF(10=E21,D21*assumptions!$G$75,0),0)</f>
        <v/>
      </c>
      <c r="Q21" s="17">
        <f>IF(AND(11&gt;=E21,OR(F21="",11&lt;=F21)),(D21*(1+assumptions!$G$76)^0/12*(1+assumptions!$G$70+assumptions!$G$71+IF(11&gt;=assumptions!$G$73,assumptions!$G$72,0))+assumptions!$G$74/12)+IF(11=E21,D21*assumptions!$G$75,0),0)</f>
        <v/>
      </c>
      <c r="R21" s="17">
        <f>IF(AND(12&gt;=E21,OR(F21="",12&lt;=F21)),(D21*(1+assumptions!$G$76)^0/12*(1+assumptions!$G$70+assumptions!$G$71+IF(12&gt;=assumptions!$G$73,assumptions!$G$72,0))+assumptions!$G$74/12)+IF(12=E21,D21*assumptions!$G$75,0),0)</f>
        <v/>
      </c>
      <c r="S21" s="17">
        <f>IF(AND(13&gt;=E21,OR(F21="",13&lt;=F21)),(D21*(1+assumptions!$G$76)^1/12*(1+assumptions!$G$70+assumptions!$G$71+IF(13&gt;=assumptions!$G$73,assumptions!$G$72,0))+assumptions!$G$74/12)+IF(13=E21,D21*assumptions!$G$75,0),0)</f>
        <v/>
      </c>
      <c r="T21" s="17">
        <f>IF(AND(14&gt;=E21,OR(F21="",14&lt;=F21)),(D21*(1+assumptions!$G$76)^1/12*(1+assumptions!$G$70+assumptions!$G$71+IF(14&gt;=assumptions!$G$73,assumptions!$G$72,0))+assumptions!$G$74/12)+IF(14=E21,D21*assumptions!$G$75,0),0)</f>
        <v/>
      </c>
      <c r="U21" s="17">
        <f>IF(AND(15&gt;=E21,OR(F21="",15&lt;=F21)),(D21*(1+assumptions!$G$76)^1/12*(1+assumptions!$G$70+assumptions!$G$71+IF(15&gt;=assumptions!$G$73,assumptions!$G$72,0))+assumptions!$G$74/12)+IF(15=E21,D21*assumptions!$G$75,0),0)</f>
        <v/>
      </c>
      <c r="V21" s="17">
        <f>IF(AND(16&gt;=E21,OR(F21="",16&lt;=F21)),(D21*(1+assumptions!$G$76)^1/12*(1+assumptions!$G$70+assumptions!$G$71+IF(16&gt;=assumptions!$G$73,assumptions!$G$72,0))+assumptions!$G$74/12)+IF(16=E21,D21*assumptions!$G$75,0),0)</f>
        <v/>
      </c>
      <c r="W21" s="17">
        <f>IF(AND(17&gt;=E21,OR(F21="",17&lt;=F21)),(D21*(1+assumptions!$G$76)^1/12*(1+assumptions!$G$70+assumptions!$G$71+IF(17&gt;=assumptions!$G$73,assumptions!$G$72,0))+assumptions!$G$74/12)+IF(17=E21,D21*assumptions!$G$75,0),0)</f>
        <v/>
      </c>
      <c r="X21" s="17">
        <f>IF(AND(18&gt;=E21,OR(F21="",18&lt;=F21)),(D21*(1+assumptions!$G$76)^1/12*(1+assumptions!$G$70+assumptions!$G$71+IF(18&gt;=assumptions!$G$73,assumptions!$G$72,0))+assumptions!$G$74/12)+IF(18=E21,D21*assumptions!$G$75,0),0)</f>
        <v/>
      </c>
      <c r="Y21" s="17">
        <f>IF(AND(19&gt;=E21,OR(F21="",19&lt;=F21)),(D21*(1+assumptions!$G$76)^1/12*(1+assumptions!$G$70+assumptions!$G$71+IF(19&gt;=assumptions!$G$73,assumptions!$G$72,0))+assumptions!$G$74/12)+IF(19=E21,D21*assumptions!$G$75,0),0)</f>
        <v/>
      </c>
      <c r="Z21" s="17">
        <f>IF(AND(20&gt;=E21,OR(F21="",20&lt;=F21)),(D21*(1+assumptions!$G$76)^1/12*(1+assumptions!$G$70+assumptions!$G$71+IF(20&gt;=assumptions!$G$73,assumptions!$G$72,0))+assumptions!$G$74/12)+IF(20=E21,D21*assumptions!$G$75,0),0)</f>
        <v/>
      </c>
      <c r="AA21" s="17">
        <f>IF(AND(21&gt;=E21,OR(F21="",21&lt;=F21)),(D21*(1+assumptions!$G$76)^1/12*(1+assumptions!$G$70+assumptions!$G$71+IF(21&gt;=assumptions!$G$73,assumptions!$G$72,0))+assumptions!$G$74/12)+IF(21=E21,D21*assumptions!$G$75,0),0)</f>
        <v/>
      </c>
      <c r="AB21" s="17">
        <f>IF(AND(22&gt;=E21,OR(F21="",22&lt;=F21)),(D21*(1+assumptions!$G$76)^1/12*(1+assumptions!$G$70+assumptions!$G$71+IF(22&gt;=assumptions!$G$73,assumptions!$G$72,0))+assumptions!$G$74/12)+IF(22=E21,D21*assumptions!$G$75,0),0)</f>
        <v/>
      </c>
      <c r="AC21" s="17">
        <f>IF(AND(23&gt;=E21,OR(F21="",23&lt;=F21)),(D21*(1+assumptions!$G$76)^1/12*(1+assumptions!$G$70+assumptions!$G$71+IF(23&gt;=assumptions!$G$73,assumptions!$G$72,0))+assumptions!$G$74/12)+IF(23=E21,D21*assumptions!$G$75,0),0)</f>
        <v/>
      </c>
      <c r="AD21" s="17">
        <f>IF(AND(24&gt;=E21,OR(F21="",24&lt;=F21)),(D21*(1+assumptions!$G$76)^1/12*(1+assumptions!$G$70+assumptions!$G$71+IF(24&gt;=assumptions!$G$73,assumptions!$G$72,0))+assumptions!$G$74/12)+IF(24=E21,D21*assumptions!$G$75,0),0)</f>
        <v/>
      </c>
      <c r="AE21" s="17">
        <f>IF(AND(25&gt;=E21,OR(F21="",25&lt;=F21)),(D21*(1+assumptions!$G$76)^2/12*(1+assumptions!$G$70+assumptions!$G$71+IF(25&gt;=assumptions!$G$73,assumptions!$G$72,0))+assumptions!$G$74/12)+IF(25=E21,D21*assumptions!$G$75,0),0)</f>
        <v/>
      </c>
      <c r="AF21" s="17">
        <f>IF(AND(26&gt;=E21,OR(F21="",26&lt;=F21)),(D21*(1+assumptions!$G$76)^2/12*(1+assumptions!$G$70+assumptions!$G$71+IF(26&gt;=assumptions!$G$73,assumptions!$G$72,0))+assumptions!$G$74/12)+IF(26=E21,D21*assumptions!$G$75,0),0)</f>
        <v/>
      </c>
      <c r="AG21" s="17">
        <f>IF(AND(27&gt;=E21,OR(F21="",27&lt;=F21)),(D21*(1+assumptions!$G$76)^2/12*(1+assumptions!$G$70+assumptions!$G$71+IF(27&gt;=assumptions!$G$73,assumptions!$G$72,0))+assumptions!$G$74/12)+IF(27=E21,D21*assumptions!$G$75,0),0)</f>
        <v/>
      </c>
      <c r="AH21" s="17">
        <f>IF(AND(28&gt;=E21,OR(F21="",28&lt;=F21)),(D21*(1+assumptions!$G$76)^2/12*(1+assumptions!$G$70+assumptions!$G$71+IF(28&gt;=assumptions!$G$73,assumptions!$G$72,0))+assumptions!$G$74/12)+IF(28=E21,D21*assumptions!$G$75,0),0)</f>
        <v/>
      </c>
      <c r="AI21" s="17">
        <f>IF(AND(29&gt;=E21,OR(F21="",29&lt;=F21)),(D21*(1+assumptions!$G$76)^2/12*(1+assumptions!$G$70+assumptions!$G$71+IF(29&gt;=assumptions!$G$73,assumptions!$G$72,0))+assumptions!$G$74/12)+IF(29=E21,D21*assumptions!$G$75,0),0)</f>
        <v/>
      </c>
      <c r="AJ21" s="17">
        <f>IF(AND(30&gt;=E21,OR(F21="",30&lt;=F21)),(D21*(1+assumptions!$G$76)^2/12*(1+assumptions!$G$70+assumptions!$G$71+IF(30&gt;=assumptions!$G$73,assumptions!$G$72,0))+assumptions!$G$74/12)+IF(30=E21,D21*assumptions!$G$75,0),0)</f>
        <v/>
      </c>
      <c r="AK21" s="17">
        <f>IF(AND(31&gt;=E21,OR(F21="",31&lt;=F21)),(D21*(1+assumptions!$G$76)^2/12*(1+assumptions!$G$70+assumptions!$G$71+IF(31&gt;=assumptions!$G$73,assumptions!$G$72,0))+assumptions!$G$74/12)+IF(31=E21,D21*assumptions!$G$75,0),0)</f>
        <v/>
      </c>
      <c r="AL21" s="17">
        <f>IF(AND(32&gt;=E21,OR(F21="",32&lt;=F21)),(D21*(1+assumptions!$G$76)^2/12*(1+assumptions!$G$70+assumptions!$G$71+IF(32&gt;=assumptions!$G$73,assumptions!$G$72,0))+assumptions!$G$74/12)+IF(32=E21,D21*assumptions!$G$75,0),0)</f>
        <v/>
      </c>
      <c r="AM21" s="17">
        <f>IF(AND(33&gt;=E21,OR(F21="",33&lt;=F21)),(D21*(1+assumptions!$G$76)^2/12*(1+assumptions!$G$70+assumptions!$G$71+IF(33&gt;=assumptions!$G$73,assumptions!$G$72,0))+assumptions!$G$74/12)+IF(33=E21,D21*assumptions!$G$75,0),0)</f>
        <v/>
      </c>
      <c r="AN21" s="17">
        <f>IF(AND(34&gt;=E21,OR(F21="",34&lt;=F21)),(D21*(1+assumptions!$G$76)^2/12*(1+assumptions!$G$70+assumptions!$G$71+IF(34&gt;=assumptions!$G$73,assumptions!$G$72,0))+assumptions!$G$74/12)+IF(34=E21,D21*assumptions!$G$75,0),0)</f>
        <v/>
      </c>
      <c r="AO21" s="17">
        <f>IF(AND(35&gt;=E21,OR(F21="",35&lt;=F21)),(D21*(1+assumptions!$G$76)^2/12*(1+assumptions!$G$70+assumptions!$G$71+IF(35&gt;=assumptions!$G$73,assumptions!$G$72,0))+assumptions!$G$74/12)+IF(35=E21,D21*assumptions!$G$75,0),0)</f>
        <v/>
      </c>
      <c r="AP21" s="17">
        <f>IF(AND(36&gt;=E21,OR(F21="",36&lt;=F21)),(D21*(1+assumptions!$G$76)^2/12*(1+assumptions!$G$70+assumptions!$G$71+IF(36&gt;=assumptions!$G$73,assumptions!$G$72,0))+assumptions!$G$74/12)+IF(36=E21,D21*assumptions!$G$75,0),0)</f>
        <v/>
      </c>
      <c r="AQ21" s="17">
        <f>IF(AND(37&gt;=E21,OR(F21="",37&lt;=F21)),(D21*(1+assumptions!$G$76)^3/12*(1+assumptions!$G$70+assumptions!$G$71+IF(37&gt;=assumptions!$G$73,assumptions!$G$72,0))+assumptions!$G$74/12)+IF(37=E21,D21*assumptions!$G$75,0),0)</f>
        <v/>
      </c>
      <c r="AR21" s="17">
        <f>IF(AND(38&gt;=E21,OR(F21="",38&lt;=F21)),(D21*(1+assumptions!$G$76)^3/12*(1+assumptions!$G$70+assumptions!$G$71+IF(38&gt;=assumptions!$G$73,assumptions!$G$72,0))+assumptions!$G$74/12)+IF(38=E21,D21*assumptions!$G$75,0),0)</f>
        <v/>
      </c>
      <c r="AS21" s="17">
        <f>IF(AND(39&gt;=E21,OR(F21="",39&lt;=F21)),(D21*(1+assumptions!$G$76)^3/12*(1+assumptions!$G$70+assumptions!$G$71+IF(39&gt;=assumptions!$G$73,assumptions!$G$72,0))+assumptions!$G$74/12)+IF(39=E21,D21*assumptions!$G$75,0),0)</f>
        <v/>
      </c>
      <c r="AT21" s="17">
        <f>IF(AND(40&gt;=E21,OR(F21="",40&lt;=F21)),(D21*(1+assumptions!$G$76)^3/12*(1+assumptions!$G$70+assumptions!$G$71+IF(40&gt;=assumptions!$G$73,assumptions!$G$72,0))+assumptions!$G$74/12)+IF(40=E21,D21*assumptions!$G$75,0),0)</f>
        <v/>
      </c>
      <c r="AU21" s="17">
        <f>IF(AND(41&gt;=E21,OR(F21="",41&lt;=F21)),(D21*(1+assumptions!$G$76)^3/12*(1+assumptions!$G$70+assumptions!$G$71+IF(41&gt;=assumptions!$G$73,assumptions!$G$72,0))+assumptions!$G$74/12)+IF(41=E21,D21*assumptions!$G$75,0),0)</f>
        <v/>
      </c>
      <c r="AV21" s="17">
        <f>IF(AND(42&gt;=E21,OR(F21="",42&lt;=F21)),(D21*(1+assumptions!$G$76)^3/12*(1+assumptions!$G$70+assumptions!$G$71+IF(42&gt;=assumptions!$G$73,assumptions!$G$72,0))+assumptions!$G$74/12)+IF(42=E21,D21*assumptions!$G$75,0),0)</f>
        <v/>
      </c>
      <c r="AW21" s="17">
        <f>IF(AND(43&gt;=E21,OR(F21="",43&lt;=F21)),(D21*(1+assumptions!$G$76)^3/12*(1+assumptions!$G$70+assumptions!$G$71+IF(43&gt;=assumptions!$G$73,assumptions!$G$72,0))+assumptions!$G$74/12)+IF(43=E21,D21*assumptions!$G$75,0),0)</f>
        <v/>
      </c>
      <c r="AX21" s="17">
        <f>IF(AND(44&gt;=E21,OR(F21="",44&lt;=F21)),(D21*(1+assumptions!$G$76)^3/12*(1+assumptions!$G$70+assumptions!$G$71+IF(44&gt;=assumptions!$G$73,assumptions!$G$72,0))+assumptions!$G$74/12)+IF(44=E21,D21*assumptions!$G$75,0),0)</f>
        <v/>
      </c>
      <c r="AY21" s="17">
        <f>IF(AND(45&gt;=E21,OR(F21="",45&lt;=F21)),(D21*(1+assumptions!$G$76)^3/12*(1+assumptions!$G$70+assumptions!$G$71+IF(45&gt;=assumptions!$G$73,assumptions!$G$72,0))+assumptions!$G$74/12)+IF(45=E21,D21*assumptions!$G$75,0),0)</f>
        <v/>
      </c>
      <c r="AZ21" s="17">
        <f>IF(AND(46&gt;=E21,OR(F21="",46&lt;=F21)),(D21*(1+assumptions!$G$76)^3/12*(1+assumptions!$G$70+assumptions!$G$71+IF(46&gt;=assumptions!$G$73,assumptions!$G$72,0))+assumptions!$G$74/12)+IF(46=E21,D21*assumptions!$G$75,0),0)</f>
        <v/>
      </c>
      <c r="BA21" s="17">
        <f>IF(AND(47&gt;=E21,OR(F21="",47&lt;=F21)),(D21*(1+assumptions!$G$76)^3/12*(1+assumptions!$G$70+assumptions!$G$71+IF(47&gt;=assumptions!$G$73,assumptions!$G$72,0))+assumptions!$G$74/12)+IF(47=E21,D21*assumptions!$G$75,0),0)</f>
        <v/>
      </c>
      <c r="BB21" s="17">
        <f>IF(AND(48&gt;=E21,OR(F21="",48&lt;=F21)),(D21*(1+assumptions!$G$76)^3/12*(1+assumptions!$G$70+assumptions!$G$71+IF(48&gt;=assumptions!$G$73,assumptions!$G$72,0))+assumptions!$G$74/12)+IF(48=E21,D21*assumptions!$G$75,0),0)</f>
        <v/>
      </c>
      <c r="BC21" s="17">
        <f>IF(AND(49&gt;=E21,OR(F21="",49&lt;=F21)),(D21*(1+assumptions!$G$76)^4/12*(1+assumptions!$G$70+assumptions!$G$71+IF(49&gt;=assumptions!$G$73,assumptions!$G$72,0))+assumptions!$G$74/12)+IF(49=E21,D21*assumptions!$G$75,0),0)</f>
        <v/>
      </c>
      <c r="BD21" s="17">
        <f>IF(AND(50&gt;=E21,OR(F21="",50&lt;=F21)),(D21*(1+assumptions!$G$76)^4/12*(1+assumptions!$G$70+assumptions!$G$71+IF(50&gt;=assumptions!$G$73,assumptions!$G$72,0))+assumptions!$G$74/12)+IF(50=E21,D21*assumptions!$G$75,0),0)</f>
        <v/>
      </c>
      <c r="BE21" s="17">
        <f>IF(AND(51&gt;=E21,OR(F21="",51&lt;=F21)),(D21*(1+assumptions!$G$76)^4/12*(1+assumptions!$G$70+assumptions!$G$71+IF(51&gt;=assumptions!$G$73,assumptions!$G$72,0))+assumptions!$G$74/12)+IF(51=E21,D21*assumptions!$G$75,0),0)</f>
        <v/>
      </c>
      <c r="BF21" s="17">
        <f>IF(AND(52&gt;=E21,OR(F21="",52&lt;=F21)),(D21*(1+assumptions!$G$76)^4/12*(1+assumptions!$G$70+assumptions!$G$71+IF(52&gt;=assumptions!$G$73,assumptions!$G$72,0))+assumptions!$G$74/12)+IF(52=E21,D21*assumptions!$G$75,0),0)</f>
        <v/>
      </c>
      <c r="BG21" s="17">
        <f>IF(AND(53&gt;=E21,OR(F21="",53&lt;=F21)),(D21*(1+assumptions!$G$76)^4/12*(1+assumptions!$G$70+assumptions!$G$71+IF(53&gt;=assumptions!$G$73,assumptions!$G$72,0))+assumptions!$G$74/12)+IF(53=E21,D21*assumptions!$G$75,0),0)</f>
        <v/>
      </c>
      <c r="BH21" s="17">
        <f>IF(AND(54&gt;=E21,OR(F21="",54&lt;=F21)),(D21*(1+assumptions!$G$76)^4/12*(1+assumptions!$G$70+assumptions!$G$71+IF(54&gt;=assumptions!$G$73,assumptions!$G$72,0))+assumptions!$G$74/12)+IF(54=E21,D21*assumptions!$G$75,0),0)</f>
        <v/>
      </c>
      <c r="BI21" s="17">
        <f>IF(AND(55&gt;=E21,OR(F21="",55&lt;=F21)),(D21*(1+assumptions!$G$76)^4/12*(1+assumptions!$G$70+assumptions!$G$71+IF(55&gt;=assumptions!$G$73,assumptions!$G$72,0))+assumptions!$G$74/12)+IF(55=E21,D21*assumptions!$G$75,0),0)</f>
        <v/>
      </c>
      <c r="BJ21" s="17">
        <f>IF(AND(56&gt;=E21,OR(F21="",56&lt;=F21)),(D21*(1+assumptions!$G$76)^4/12*(1+assumptions!$G$70+assumptions!$G$71+IF(56&gt;=assumptions!$G$73,assumptions!$G$72,0))+assumptions!$G$74/12)+IF(56=E21,D21*assumptions!$G$75,0),0)</f>
        <v/>
      </c>
      <c r="BK21" s="17">
        <f>IF(AND(57&gt;=E21,OR(F21="",57&lt;=F21)),(D21*(1+assumptions!$G$76)^4/12*(1+assumptions!$G$70+assumptions!$G$71+IF(57&gt;=assumptions!$G$73,assumptions!$G$72,0))+assumptions!$G$74/12)+IF(57=E21,D21*assumptions!$G$75,0),0)</f>
        <v/>
      </c>
      <c r="BL21" s="17">
        <f>IF(AND(58&gt;=E21,OR(F21="",58&lt;=F21)),(D21*(1+assumptions!$G$76)^4/12*(1+assumptions!$G$70+assumptions!$G$71+IF(58&gt;=assumptions!$G$73,assumptions!$G$72,0))+assumptions!$G$74/12)+IF(58=E21,D21*assumptions!$G$75,0),0)</f>
        <v/>
      </c>
      <c r="BM21" s="17">
        <f>IF(AND(59&gt;=E21,OR(F21="",59&lt;=F21)),(D21*(1+assumptions!$G$76)^4/12*(1+assumptions!$G$70+assumptions!$G$71+IF(59&gt;=assumptions!$G$73,assumptions!$G$72,0))+assumptions!$G$74/12)+IF(59=E21,D21*assumptions!$G$75,0),0)</f>
        <v/>
      </c>
      <c r="BN21" s="17">
        <f>IF(AND(60&gt;=E21,OR(F21="",60&lt;=F21)),(D21*(1+assumptions!$G$76)^4/12*(1+assumptions!$G$70+assumptions!$G$71+IF(60&gt;=assumptions!$G$73,assumptions!$G$72,0))+assumptions!$G$74/12)+IF(60=E21,D21*assumptions!$G$75,0),0)</f>
        <v/>
      </c>
    </row>
    <row r="22">
      <c r="A22" s="5" t="n">
        <v>19</v>
      </c>
      <c r="B22" s="5" t="inlineStr">
        <is>
          <t>Senior engineer #3</t>
        </is>
      </c>
      <c r="C22" s="5" t="inlineStr">
        <is>
          <t>eng</t>
        </is>
      </c>
      <c r="D22" s="15" t="n">
        <v>95000</v>
      </c>
      <c r="E22" s="32" t="n">
        <v>20</v>
      </c>
      <c r="F22" s="32" t="n"/>
      <c r="G22" s="17">
        <f>IF(AND(1&gt;=E22,OR(F22="",1&lt;=F22)),(D22*(1+assumptions!$G$76)^0/12*(1+assumptions!$G$70+assumptions!$G$71+IF(1&gt;=assumptions!$G$73,assumptions!$G$72,0))+assumptions!$G$74/12)+IF(1=E22,D22*assumptions!$G$75,0),0)</f>
        <v/>
      </c>
      <c r="H22" s="17">
        <f>IF(AND(2&gt;=E22,OR(F22="",2&lt;=F22)),(D22*(1+assumptions!$G$76)^0/12*(1+assumptions!$G$70+assumptions!$G$71+IF(2&gt;=assumptions!$G$73,assumptions!$G$72,0))+assumptions!$G$74/12)+IF(2=E22,D22*assumptions!$G$75,0),0)</f>
        <v/>
      </c>
      <c r="I22" s="17">
        <f>IF(AND(3&gt;=E22,OR(F22="",3&lt;=F22)),(D22*(1+assumptions!$G$76)^0/12*(1+assumptions!$G$70+assumptions!$G$71+IF(3&gt;=assumptions!$G$73,assumptions!$G$72,0))+assumptions!$G$74/12)+IF(3=E22,D22*assumptions!$G$75,0),0)</f>
        <v/>
      </c>
      <c r="J22" s="17">
        <f>IF(AND(4&gt;=E22,OR(F22="",4&lt;=F22)),(D22*(1+assumptions!$G$76)^0/12*(1+assumptions!$G$70+assumptions!$G$71+IF(4&gt;=assumptions!$G$73,assumptions!$G$72,0))+assumptions!$G$74/12)+IF(4=E22,D22*assumptions!$G$75,0),0)</f>
        <v/>
      </c>
      <c r="K22" s="17">
        <f>IF(AND(5&gt;=E22,OR(F22="",5&lt;=F22)),(D22*(1+assumptions!$G$76)^0/12*(1+assumptions!$G$70+assumptions!$G$71+IF(5&gt;=assumptions!$G$73,assumptions!$G$72,0))+assumptions!$G$74/12)+IF(5=E22,D22*assumptions!$G$75,0),0)</f>
        <v/>
      </c>
      <c r="L22" s="17">
        <f>IF(AND(6&gt;=E22,OR(F22="",6&lt;=F22)),(D22*(1+assumptions!$G$76)^0/12*(1+assumptions!$G$70+assumptions!$G$71+IF(6&gt;=assumptions!$G$73,assumptions!$G$72,0))+assumptions!$G$74/12)+IF(6=E22,D22*assumptions!$G$75,0),0)</f>
        <v/>
      </c>
      <c r="M22" s="17">
        <f>IF(AND(7&gt;=E22,OR(F22="",7&lt;=F22)),(D22*(1+assumptions!$G$76)^0/12*(1+assumptions!$G$70+assumptions!$G$71+IF(7&gt;=assumptions!$G$73,assumptions!$G$72,0))+assumptions!$G$74/12)+IF(7=E22,D22*assumptions!$G$75,0),0)</f>
        <v/>
      </c>
      <c r="N22" s="17">
        <f>IF(AND(8&gt;=E22,OR(F22="",8&lt;=F22)),(D22*(1+assumptions!$G$76)^0/12*(1+assumptions!$G$70+assumptions!$G$71+IF(8&gt;=assumptions!$G$73,assumptions!$G$72,0))+assumptions!$G$74/12)+IF(8=E22,D22*assumptions!$G$75,0),0)</f>
        <v/>
      </c>
      <c r="O22" s="17">
        <f>IF(AND(9&gt;=E22,OR(F22="",9&lt;=F22)),(D22*(1+assumptions!$G$76)^0/12*(1+assumptions!$G$70+assumptions!$G$71+IF(9&gt;=assumptions!$G$73,assumptions!$G$72,0))+assumptions!$G$74/12)+IF(9=E22,D22*assumptions!$G$75,0),0)</f>
        <v/>
      </c>
      <c r="P22" s="17">
        <f>IF(AND(10&gt;=E22,OR(F22="",10&lt;=F22)),(D22*(1+assumptions!$G$76)^0/12*(1+assumptions!$G$70+assumptions!$G$71+IF(10&gt;=assumptions!$G$73,assumptions!$G$72,0))+assumptions!$G$74/12)+IF(10=E22,D22*assumptions!$G$75,0),0)</f>
        <v/>
      </c>
      <c r="Q22" s="17">
        <f>IF(AND(11&gt;=E22,OR(F22="",11&lt;=F22)),(D22*(1+assumptions!$G$76)^0/12*(1+assumptions!$G$70+assumptions!$G$71+IF(11&gt;=assumptions!$G$73,assumptions!$G$72,0))+assumptions!$G$74/12)+IF(11=E22,D22*assumptions!$G$75,0),0)</f>
        <v/>
      </c>
      <c r="R22" s="17">
        <f>IF(AND(12&gt;=E22,OR(F22="",12&lt;=F22)),(D22*(1+assumptions!$G$76)^0/12*(1+assumptions!$G$70+assumptions!$G$71+IF(12&gt;=assumptions!$G$73,assumptions!$G$72,0))+assumptions!$G$74/12)+IF(12=E22,D22*assumptions!$G$75,0),0)</f>
        <v/>
      </c>
      <c r="S22" s="17">
        <f>IF(AND(13&gt;=E22,OR(F22="",13&lt;=F22)),(D22*(1+assumptions!$G$76)^1/12*(1+assumptions!$G$70+assumptions!$G$71+IF(13&gt;=assumptions!$G$73,assumptions!$G$72,0))+assumptions!$G$74/12)+IF(13=E22,D22*assumptions!$G$75,0),0)</f>
        <v/>
      </c>
      <c r="T22" s="17">
        <f>IF(AND(14&gt;=E22,OR(F22="",14&lt;=F22)),(D22*(1+assumptions!$G$76)^1/12*(1+assumptions!$G$70+assumptions!$G$71+IF(14&gt;=assumptions!$G$73,assumptions!$G$72,0))+assumptions!$G$74/12)+IF(14=E22,D22*assumptions!$G$75,0),0)</f>
        <v/>
      </c>
      <c r="U22" s="17">
        <f>IF(AND(15&gt;=E22,OR(F22="",15&lt;=F22)),(D22*(1+assumptions!$G$76)^1/12*(1+assumptions!$G$70+assumptions!$G$71+IF(15&gt;=assumptions!$G$73,assumptions!$G$72,0))+assumptions!$G$74/12)+IF(15=E22,D22*assumptions!$G$75,0),0)</f>
        <v/>
      </c>
      <c r="V22" s="17">
        <f>IF(AND(16&gt;=E22,OR(F22="",16&lt;=F22)),(D22*(1+assumptions!$G$76)^1/12*(1+assumptions!$G$70+assumptions!$G$71+IF(16&gt;=assumptions!$G$73,assumptions!$G$72,0))+assumptions!$G$74/12)+IF(16=E22,D22*assumptions!$G$75,0),0)</f>
        <v/>
      </c>
      <c r="W22" s="17">
        <f>IF(AND(17&gt;=E22,OR(F22="",17&lt;=F22)),(D22*(1+assumptions!$G$76)^1/12*(1+assumptions!$G$70+assumptions!$G$71+IF(17&gt;=assumptions!$G$73,assumptions!$G$72,0))+assumptions!$G$74/12)+IF(17=E22,D22*assumptions!$G$75,0),0)</f>
        <v/>
      </c>
      <c r="X22" s="17">
        <f>IF(AND(18&gt;=E22,OR(F22="",18&lt;=F22)),(D22*(1+assumptions!$G$76)^1/12*(1+assumptions!$G$70+assumptions!$G$71+IF(18&gt;=assumptions!$G$73,assumptions!$G$72,0))+assumptions!$G$74/12)+IF(18=E22,D22*assumptions!$G$75,0),0)</f>
        <v/>
      </c>
      <c r="Y22" s="17">
        <f>IF(AND(19&gt;=E22,OR(F22="",19&lt;=F22)),(D22*(1+assumptions!$G$76)^1/12*(1+assumptions!$G$70+assumptions!$G$71+IF(19&gt;=assumptions!$G$73,assumptions!$G$72,0))+assumptions!$G$74/12)+IF(19=E22,D22*assumptions!$G$75,0),0)</f>
        <v/>
      </c>
      <c r="Z22" s="17">
        <f>IF(AND(20&gt;=E22,OR(F22="",20&lt;=F22)),(D22*(1+assumptions!$G$76)^1/12*(1+assumptions!$G$70+assumptions!$G$71+IF(20&gt;=assumptions!$G$73,assumptions!$G$72,0))+assumptions!$G$74/12)+IF(20=E22,D22*assumptions!$G$75,0),0)</f>
        <v/>
      </c>
      <c r="AA22" s="17">
        <f>IF(AND(21&gt;=E22,OR(F22="",21&lt;=F22)),(D22*(1+assumptions!$G$76)^1/12*(1+assumptions!$G$70+assumptions!$G$71+IF(21&gt;=assumptions!$G$73,assumptions!$G$72,0))+assumptions!$G$74/12)+IF(21=E22,D22*assumptions!$G$75,0),0)</f>
        <v/>
      </c>
      <c r="AB22" s="17">
        <f>IF(AND(22&gt;=E22,OR(F22="",22&lt;=F22)),(D22*(1+assumptions!$G$76)^1/12*(1+assumptions!$G$70+assumptions!$G$71+IF(22&gt;=assumptions!$G$73,assumptions!$G$72,0))+assumptions!$G$74/12)+IF(22=E22,D22*assumptions!$G$75,0),0)</f>
        <v/>
      </c>
      <c r="AC22" s="17">
        <f>IF(AND(23&gt;=E22,OR(F22="",23&lt;=F22)),(D22*(1+assumptions!$G$76)^1/12*(1+assumptions!$G$70+assumptions!$G$71+IF(23&gt;=assumptions!$G$73,assumptions!$G$72,0))+assumptions!$G$74/12)+IF(23=E22,D22*assumptions!$G$75,0),0)</f>
        <v/>
      </c>
      <c r="AD22" s="17">
        <f>IF(AND(24&gt;=E22,OR(F22="",24&lt;=F22)),(D22*(1+assumptions!$G$76)^1/12*(1+assumptions!$G$70+assumptions!$G$71+IF(24&gt;=assumptions!$G$73,assumptions!$G$72,0))+assumptions!$G$74/12)+IF(24=E22,D22*assumptions!$G$75,0),0)</f>
        <v/>
      </c>
      <c r="AE22" s="17">
        <f>IF(AND(25&gt;=E22,OR(F22="",25&lt;=F22)),(D22*(1+assumptions!$G$76)^2/12*(1+assumptions!$G$70+assumptions!$G$71+IF(25&gt;=assumptions!$G$73,assumptions!$G$72,0))+assumptions!$G$74/12)+IF(25=E22,D22*assumptions!$G$75,0),0)</f>
        <v/>
      </c>
      <c r="AF22" s="17">
        <f>IF(AND(26&gt;=E22,OR(F22="",26&lt;=F22)),(D22*(1+assumptions!$G$76)^2/12*(1+assumptions!$G$70+assumptions!$G$71+IF(26&gt;=assumptions!$G$73,assumptions!$G$72,0))+assumptions!$G$74/12)+IF(26=E22,D22*assumptions!$G$75,0),0)</f>
        <v/>
      </c>
      <c r="AG22" s="17">
        <f>IF(AND(27&gt;=E22,OR(F22="",27&lt;=F22)),(D22*(1+assumptions!$G$76)^2/12*(1+assumptions!$G$70+assumptions!$G$71+IF(27&gt;=assumptions!$G$73,assumptions!$G$72,0))+assumptions!$G$74/12)+IF(27=E22,D22*assumptions!$G$75,0),0)</f>
        <v/>
      </c>
      <c r="AH22" s="17">
        <f>IF(AND(28&gt;=E22,OR(F22="",28&lt;=F22)),(D22*(1+assumptions!$G$76)^2/12*(1+assumptions!$G$70+assumptions!$G$71+IF(28&gt;=assumptions!$G$73,assumptions!$G$72,0))+assumptions!$G$74/12)+IF(28=E22,D22*assumptions!$G$75,0),0)</f>
        <v/>
      </c>
      <c r="AI22" s="17">
        <f>IF(AND(29&gt;=E22,OR(F22="",29&lt;=F22)),(D22*(1+assumptions!$G$76)^2/12*(1+assumptions!$G$70+assumptions!$G$71+IF(29&gt;=assumptions!$G$73,assumptions!$G$72,0))+assumptions!$G$74/12)+IF(29=E22,D22*assumptions!$G$75,0),0)</f>
        <v/>
      </c>
      <c r="AJ22" s="17">
        <f>IF(AND(30&gt;=E22,OR(F22="",30&lt;=F22)),(D22*(1+assumptions!$G$76)^2/12*(1+assumptions!$G$70+assumptions!$G$71+IF(30&gt;=assumptions!$G$73,assumptions!$G$72,0))+assumptions!$G$74/12)+IF(30=E22,D22*assumptions!$G$75,0),0)</f>
        <v/>
      </c>
      <c r="AK22" s="17">
        <f>IF(AND(31&gt;=E22,OR(F22="",31&lt;=F22)),(D22*(1+assumptions!$G$76)^2/12*(1+assumptions!$G$70+assumptions!$G$71+IF(31&gt;=assumptions!$G$73,assumptions!$G$72,0))+assumptions!$G$74/12)+IF(31=E22,D22*assumptions!$G$75,0),0)</f>
        <v/>
      </c>
      <c r="AL22" s="17">
        <f>IF(AND(32&gt;=E22,OR(F22="",32&lt;=F22)),(D22*(1+assumptions!$G$76)^2/12*(1+assumptions!$G$70+assumptions!$G$71+IF(32&gt;=assumptions!$G$73,assumptions!$G$72,0))+assumptions!$G$74/12)+IF(32=E22,D22*assumptions!$G$75,0),0)</f>
        <v/>
      </c>
      <c r="AM22" s="17">
        <f>IF(AND(33&gt;=E22,OR(F22="",33&lt;=F22)),(D22*(1+assumptions!$G$76)^2/12*(1+assumptions!$G$70+assumptions!$G$71+IF(33&gt;=assumptions!$G$73,assumptions!$G$72,0))+assumptions!$G$74/12)+IF(33=E22,D22*assumptions!$G$75,0),0)</f>
        <v/>
      </c>
      <c r="AN22" s="17">
        <f>IF(AND(34&gt;=E22,OR(F22="",34&lt;=F22)),(D22*(1+assumptions!$G$76)^2/12*(1+assumptions!$G$70+assumptions!$G$71+IF(34&gt;=assumptions!$G$73,assumptions!$G$72,0))+assumptions!$G$74/12)+IF(34=E22,D22*assumptions!$G$75,0),0)</f>
        <v/>
      </c>
      <c r="AO22" s="17">
        <f>IF(AND(35&gt;=E22,OR(F22="",35&lt;=F22)),(D22*(1+assumptions!$G$76)^2/12*(1+assumptions!$G$70+assumptions!$G$71+IF(35&gt;=assumptions!$G$73,assumptions!$G$72,0))+assumptions!$G$74/12)+IF(35=E22,D22*assumptions!$G$75,0),0)</f>
        <v/>
      </c>
      <c r="AP22" s="17">
        <f>IF(AND(36&gt;=E22,OR(F22="",36&lt;=F22)),(D22*(1+assumptions!$G$76)^2/12*(1+assumptions!$G$70+assumptions!$G$71+IF(36&gt;=assumptions!$G$73,assumptions!$G$72,0))+assumptions!$G$74/12)+IF(36=E22,D22*assumptions!$G$75,0),0)</f>
        <v/>
      </c>
      <c r="AQ22" s="17">
        <f>IF(AND(37&gt;=E22,OR(F22="",37&lt;=F22)),(D22*(1+assumptions!$G$76)^3/12*(1+assumptions!$G$70+assumptions!$G$71+IF(37&gt;=assumptions!$G$73,assumptions!$G$72,0))+assumptions!$G$74/12)+IF(37=E22,D22*assumptions!$G$75,0),0)</f>
        <v/>
      </c>
      <c r="AR22" s="17">
        <f>IF(AND(38&gt;=E22,OR(F22="",38&lt;=F22)),(D22*(1+assumptions!$G$76)^3/12*(1+assumptions!$G$70+assumptions!$G$71+IF(38&gt;=assumptions!$G$73,assumptions!$G$72,0))+assumptions!$G$74/12)+IF(38=E22,D22*assumptions!$G$75,0),0)</f>
        <v/>
      </c>
      <c r="AS22" s="17">
        <f>IF(AND(39&gt;=E22,OR(F22="",39&lt;=F22)),(D22*(1+assumptions!$G$76)^3/12*(1+assumptions!$G$70+assumptions!$G$71+IF(39&gt;=assumptions!$G$73,assumptions!$G$72,0))+assumptions!$G$74/12)+IF(39=E22,D22*assumptions!$G$75,0),0)</f>
        <v/>
      </c>
      <c r="AT22" s="17">
        <f>IF(AND(40&gt;=E22,OR(F22="",40&lt;=F22)),(D22*(1+assumptions!$G$76)^3/12*(1+assumptions!$G$70+assumptions!$G$71+IF(40&gt;=assumptions!$G$73,assumptions!$G$72,0))+assumptions!$G$74/12)+IF(40=E22,D22*assumptions!$G$75,0),0)</f>
        <v/>
      </c>
      <c r="AU22" s="17">
        <f>IF(AND(41&gt;=E22,OR(F22="",41&lt;=F22)),(D22*(1+assumptions!$G$76)^3/12*(1+assumptions!$G$70+assumptions!$G$71+IF(41&gt;=assumptions!$G$73,assumptions!$G$72,0))+assumptions!$G$74/12)+IF(41=E22,D22*assumptions!$G$75,0),0)</f>
        <v/>
      </c>
      <c r="AV22" s="17">
        <f>IF(AND(42&gt;=E22,OR(F22="",42&lt;=F22)),(D22*(1+assumptions!$G$76)^3/12*(1+assumptions!$G$70+assumptions!$G$71+IF(42&gt;=assumptions!$G$73,assumptions!$G$72,0))+assumptions!$G$74/12)+IF(42=E22,D22*assumptions!$G$75,0),0)</f>
        <v/>
      </c>
      <c r="AW22" s="17">
        <f>IF(AND(43&gt;=E22,OR(F22="",43&lt;=F22)),(D22*(1+assumptions!$G$76)^3/12*(1+assumptions!$G$70+assumptions!$G$71+IF(43&gt;=assumptions!$G$73,assumptions!$G$72,0))+assumptions!$G$74/12)+IF(43=E22,D22*assumptions!$G$75,0),0)</f>
        <v/>
      </c>
      <c r="AX22" s="17">
        <f>IF(AND(44&gt;=E22,OR(F22="",44&lt;=F22)),(D22*(1+assumptions!$G$76)^3/12*(1+assumptions!$G$70+assumptions!$G$71+IF(44&gt;=assumptions!$G$73,assumptions!$G$72,0))+assumptions!$G$74/12)+IF(44=E22,D22*assumptions!$G$75,0),0)</f>
        <v/>
      </c>
      <c r="AY22" s="17">
        <f>IF(AND(45&gt;=E22,OR(F22="",45&lt;=F22)),(D22*(1+assumptions!$G$76)^3/12*(1+assumptions!$G$70+assumptions!$G$71+IF(45&gt;=assumptions!$G$73,assumptions!$G$72,0))+assumptions!$G$74/12)+IF(45=E22,D22*assumptions!$G$75,0),0)</f>
        <v/>
      </c>
      <c r="AZ22" s="17">
        <f>IF(AND(46&gt;=E22,OR(F22="",46&lt;=F22)),(D22*(1+assumptions!$G$76)^3/12*(1+assumptions!$G$70+assumptions!$G$71+IF(46&gt;=assumptions!$G$73,assumptions!$G$72,0))+assumptions!$G$74/12)+IF(46=E22,D22*assumptions!$G$75,0),0)</f>
        <v/>
      </c>
      <c r="BA22" s="17">
        <f>IF(AND(47&gt;=E22,OR(F22="",47&lt;=F22)),(D22*(1+assumptions!$G$76)^3/12*(1+assumptions!$G$70+assumptions!$G$71+IF(47&gt;=assumptions!$G$73,assumptions!$G$72,0))+assumptions!$G$74/12)+IF(47=E22,D22*assumptions!$G$75,0),0)</f>
        <v/>
      </c>
      <c r="BB22" s="17">
        <f>IF(AND(48&gt;=E22,OR(F22="",48&lt;=F22)),(D22*(1+assumptions!$G$76)^3/12*(1+assumptions!$G$70+assumptions!$G$71+IF(48&gt;=assumptions!$G$73,assumptions!$G$72,0))+assumptions!$G$74/12)+IF(48=E22,D22*assumptions!$G$75,0),0)</f>
        <v/>
      </c>
      <c r="BC22" s="17">
        <f>IF(AND(49&gt;=E22,OR(F22="",49&lt;=F22)),(D22*(1+assumptions!$G$76)^4/12*(1+assumptions!$G$70+assumptions!$G$71+IF(49&gt;=assumptions!$G$73,assumptions!$G$72,0))+assumptions!$G$74/12)+IF(49=E22,D22*assumptions!$G$75,0),0)</f>
        <v/>
      </c>
      <c r="BD22" s="17">
        <f>IF(AND(50&gt;=E22,OR(F22="",50&lt;=F22)),(D22*(1+assumptions!$G$76)^4/12*(1+assumptions!$G$70+assumptions!$G$71+IF(50&gt;=assumptions!$G$73,assumptions!$G$72,0))+assumptions!$G$74/12)+IF(50=E22,D22*assumptions!$G$75,0),0)</f>
        <v/>
      </c>
      <c r="BE22" s="17">
        <f>IF(AND(51&gt;=E22,OR(F22="",51&lt;=F22)),(D22*(1+assumptions!$G$76)^4/12*(1+assumptions!$G$70+assumptions!$G$71+IF(51&gt;=assumptions!$G$73,assumptions!$G$72,0))+assumptions!$G$74/12)+IF(51=E22,D22*assumptions!$G$75,0),0)</f>
        <v/>
      </c>
      <c r="BF22" s="17">
        <f>IF(AND(52&gt;=E22,OR(F22="",52&lt;=F22)),(D22*(1+assumptions!$G$76)^4/12*(1+assumptions!$G$70+assumptions!$G$71+IF(52&gt;=assumptions!$G$73,assumptions!$G$72,0))+assumptions!$G$74/12)+IF(52=E22,D22*assumptions!$G$75,0),0)</f>
        <v/>
      </c>
      <c r="BG22" s="17">
        <f>IF(AND(53&gt;=E22,OR(F22="",53&lt;=F22)),(D22*(1+assumptions!$G$76)^4/12*(1+assumptions!$G$70+assumptions!$G$71+IF(53&gt;=assumptions!$G$73,assumptions!$G$72,0))+assumptions!$G$74/12)+IF(53=E22,D22*assumptions!$G$75,0),0)</f>
        <v/>
      </c>
      <c r="BH22" s="17">
        <f>IF(AND(54&gt;=E22,OR(F22="",54&lt;=F22)),(D22*(1+assumptions!$G$76)^4/12*(1+assumptions!$G$70+assumptions!$G$71+IF(54&gt;=assumptions!$G$73,assumptions!$G$72,0))+assumptions!$G$74/12)+IF(54=E22,D22*assumptions!$G$75,0),0)</f>
        <v/>
      </c>
      <c r="BI22" s="17">
        <f>IF(AND(55&gt;=E22,OR(F22="",55&lt;=F22)),(D22*(1+assumptions!$G$76)^4/12*(1+assumptions!$G$70+assumptions!$G$71+IF(55&gt;=assumptions!$G$73,assumptions!$G$72,0))+assumptions!$G$74/12)+IF(55=E22,D22*assumptions!$G$75,0),0)</f>
        <v/>
      </c>
      <c r="BJ22" s="17">
        <f>IF(AND(56&gt;=E22,OR(F22="",56&lt;=F22)),(D22*(1+assumptions!$G$76)^4/12*(1+assumptions!$G$70+assumptions!$G$71+IF(56&gt;=assumptions!$G$73,assumptions!$G$72,0))+assumptions!$G$74/12)+IF(56=E22,D22*assumptions!$G$75,0),0)</f>
        <v/>
      </c>
      <c r="BK22" s="17">
        <f>IF(AND(57&gt;=E22,OR(F22="",57&lt;=F22)),(D22*(1+assumptions!$G$76)^4/12*(1+assumptions!$G$70+assumptions!$G$71+IF(57&gt;=assumptions!$G$73,assumptions!$G$72,0))+assumptions!$G$74/12)+IF(57=E22,D22*assumptions!$G$75,0),0)</f>
        <v/>
      </c>
      <c r="BL22" s="17">
        <f>IF(AND(58&gt;=E22,OR(F22="",58&lt;=F22)),(D22*(1+assumptions!$G$76)^4/12*(1+assumptions!$G$70+assumptions!$G$71+IF(58&gt;=assumptions!$G$73,assumptions!$G$72,0))+assumptions!$G$74/12)+IF(58=E22,D22*assumptions!$G$75,0),0)</f>
        <v/>
      </c>
      <c r="BM22" s="17">
        <f>IF(AND(59&gt;=E22,OR(F22="",59&lt;=F22)),(D22*(1+assumptions!$G$76)^4/12*(1+assumptions!$G$70+assumptions!$G$71+IF(59&gt;=assumptions!$G$73,assumptions!$G$72,0))+assumptions!$G$74/12)+IF(59=E22,D22*assumptions!$G$75,0),0)</f>
        <v/>
      </c>
      <c r="BN22" s="17">
        <f>IF(AND(60&gt;=E22,OR(F22="",60&lt;=F22)),(D22*(1+assumptions!$G$76)^4/12*(1+assumptions!$G$70+assumptions!$G$71+IF(60&gt;=assumptions!$G$73,assumptions!$G$72,0))+assumptions!$G$74/12)+IF(60=E22,D22*assumptions!$G$75,0),0)</f>
        <v/>
      </c>
    </row>
    <row r="23">
      <c r="A23" s="5" t="n">
        <v>20</v>
      </c>
      <c r="B23" s="5" t="inlineStr">
        <is>
          <t>Designer #2</t>
        </is>
      </c>
      <c r="C23" s="5" t="inlineStr">
        <is>
          <t>design</t>
        </is>
      </c>
      <c r="D23" s="15" t="n">
        <v>75000</v>
      </c>
      <c r="E23" s="32" t="n">
        <v>22</v>
      </c>
      <c r="F23" s="32" t="n"/>
      <c r="G23" s="17">
        <f>IF(AND(1&gt;=E23,OR(F23="",1&lt;=F23)),(D23*(1+assumptions!$G$76)^0/12*(1+assumptions!$G$70+assumptions!$G$71+IF(1&gt;=assumptions!$G$73,assumptions!$G$72,0))+assumptions!$G$74/12)+IF(1=E23,D23*assumptions!$G$75,0),0)</f>
        <v/>
      </c>
      <c r="H23" s="17">
        <f>IF(AND(2&gt;=E23,OR(F23="",2&lt;=F23)),(D23*(1+assumptions!$G$76)^0/12*(1+assumptions!$G$70+assumptions!$G$71+IF(2&gt;=assumptions!$G$73,assumptions!$G$72,0))+assumptions!$G$74/12)+IF(2=E23,D23*assumptions!$G$75,0),0)</f>
        <v/>
      </c>
      <c r="I23" s="17">
        <f>IF(AND(3&gt;=E23,OR(F23="",3&lt;=F23)),(D23*(1+assumptions!$G$76)^0/12*(1+assumptions!$G$70+assumptions!$G$71+IF(3&gt;=assumptions!$G$73,assumptions!$G$72,0))+assumptions!$G$74/12)+IF(3=E23,D23*assumptions!$G$75,0),0)</f>
        <v/>
      </c>
      <c r="J23" s="17">
        <f>IF(AND(4&gt;=E23,OR(F23="",4&lt;=F23)),(D23*(1+assumptions!$G$76)^0/12*(1+assumptions!$G$70+assumptions!$G$71+IF(4&gt;=assumptions!$G$73,assumptions!$G$72,0))+assumptions!$G$74/12)+IF(4=E23,D23*assumptions!$G$75,0),0)</f>
        <v/>
      </c>
      <c r="K23" s="17">
        <f>IF(AND(5&gt;=E23,OR(F23="",5&lt;=F23)),(D23*(1+assumptions!$G$76)^0/12*(1+assumptions!$G$70+assumptions!$G$71+IF(5&gt;=assumptions!$G$73,assumptions!$G$72,0))+assumptions!$G$74/12)+IF(5=E23,D23*assumptions!$G$75,0),0)</f>
        <v/>
      </c>
      <c r="L23" s="17">
        <f>IF(AND(6&gt;=E23,OR(F23="",6&lt;=F23)),(D23*(1+assumptions!$G$76)^0/12*(1+assumptions!$G$70+assumptions!$G$71+IF(6&gt;=assumptions!$G$73,assumptions!$G$72,0))+assumptions!$G$74/12)+IF(6=E23,D23*assumptions!$G$75,0),0)</f>
        <v/>
      </c>
      <c r="M23" s="17">
        <f>IF(AND(7&gt;=E23,OR(F23="",7&lt;=F23)),(D23*(1+assumptions!$G$76)^0/12*(1+assumptions!$G$70+assumptions!$G$71+IF(7&gt;=assumptions!$G$73,assumptions!$G$72,0))+assumptions!$G$74/12)+IF(7=E23,D23*assumptions!$G$75,0),0)</f>
        <v/>
      </c>
      <c r="N23" s="17">
        <f>IF(AND(8&gt;=E23,OR(F23="",8&lt;=F23)),(D23*(1+assumptions!$G$76)^0/12*(1+assumptions!$G$70+assumptions!$G$71+IF(8&gt;=assumptions!$G$73,assumptions!$G$72,0))+assumptions!$G$74/12)+IF(8=E23,D23*assumptions!$G$75,0),0)</f>
        <v/>
      </c>
      <c r="O23" s="17">
        <f>IF(AND(9&gt;=E23,OR(F23="",9&lt;=F23)),(D23*(1+assumptions!$G$76)^0/12*(1+assumptions!$G$70+assumptions!$G$71+IF(9&gt;=assumptions!$G$73,assumptions!$G$72,0))+assumptions!$G$74/12)+IF(9=E23,D23*assumptions!$G$75,0),0)</f>
        <v/>
      </c>
      <c r="P23" s="17">
        <f>IF(AND(10&gt;=E23,OR(F23="",10&lt;=F23)),(D23*(1+assumptions!$G$76)^0/12*(1+assumptions!$G$70+assumptions!$G$71+IF(10&gt;=assumptions!$G$73,assumptions!$G$72,0))+assumptions!$G$74/12)+IF(10=E23,D23*assumptions!$G$75,0),0)</f>
        <v/>
      </c>
      <c r="Q23" s="17">
        <f>IF(AND(11&gt;=E23,OR(F23="",11&lt;=F23)),(D23*(1+assumptions!$G$76)^0/12*(1+assumptions!$G$70+assumptions!$G$71+IF(11&gt;=assumptions!$G$73,assumptions!$G$72,0))+assumptions!$G$74/12)+IF(11=E23,D23*assumptions!$G$75,0),0)</f>
        <v/>
      </c>
      <c r="R23" s="17">
        <f>IF(AND(12&gt;=E23,OR(F23="",12&lt;=F23)),(D23*(1+assumptions!$G$76)^0/12*(1+assumptions!$G$70+assumptions!$G$71+IF(12&gt;=assumptions!$G$73,assumptions!$G$72,0))+assumptions!$G$74/12)+IF(12=E23,D23*assumptions!$G$75,0),0)</f>
        <v/>
      </c>
      <c r="S23" s="17">
        <f>IF(AND(13&gt;=E23,OR(F23="",13&lt;=F23)),(D23*(1+assumptions!$G$76)^1/12*(1+assumptions!$G$70+assumptions!$G$71+IF(13&gt;=assumptions!$G$73,assumptions!$G$72,0))+assumptions!$G$74/12)+IF(13=E23,D23*assumptions!$G$75,0),0)</f>
        <v/>
      </c>
      <c r="T23" s="17">
        <f>IF(AND(14&gt;=E23,OR(F23="",14&lt;=F23)),(D23*(1+assumptions!$G$76)^1/12*(1+assumptions!$G$70+assumptions!$G$71+IF(14&gt;=assumptions!$G$73,assumptions!$G$72,0))+assumptions!$G$74/12)+IF(14=E23,D23*assumptions!$G$75,0),0)</f>
        <v/>
      </c>
      <c r="U23" s="17">
        <f>IF(AND(15&gt;=E23,OR(F23="",15&lt;=F23)),(D23*(1+assumptions!$G$76)^1/12*(1+assumptions!$G$70+assumptions!$G$71+IF(15&gt;=assumptions!$G$73,assumptions!$G$72,0))+assumptions!$G$74/12)+IF(15=E23,D23*assumptions!$G$75,0),0)</f>
        <v/>
      </c>
      <c r="V23" s="17">
        <f>IF(AND(16&gt;=E23,OR(F23="",16&lt;=F23)),(D23*(1+assumptions!$G$76)^1/12*(1+assumptions!$G$70+assumptions!$G$71+IF(16&gt;=assumptions!$G$73,assumptions!$G$72,0))+assumptions!$G$74/12)+IF(16=E23,D23*assumptions!$G$75,0),0)</f>
        <v/>
      </c>
      <c r="W23" s="17">
        <f>IF(AND(17&gt;=E23,OR(F23="",17&lt;=F23)),(D23*(1+assumptions!$G$76)^1/12*(1+assumptions!$G$70+assumptions!$G$71+IF(17&gt;=assumptions!$G$73,assumptions!$G$72,0))+assumptions!$G$74/12)+IF(17=E23,D23*assumptions!$G$75,0),0)</f>
        <v/>
      </c>
      <c r="X23" s="17">
        <f>IF(AND(18&gt;=E23,OR(F23="",18&lt;=F23)),(D23*(1+assumptions!$G$76)^1/12*(1+assumptions!$G$70+assumptions!$G$71+IF(18&gt;=assumptions!$G$73,assumptions!$G$72,0))+assumptions!$G$74/12)+IF(18=E23,D23*assumptions!$G$75,0),0)</f>
        <v/>
      </c>
      <c r="Y23" s="17">
        <f>IF(AND(19&gt;=E23,OR(F23="",19&lt;=F23)),(D23*(1+assumptions!$G$76)^1/12*(1+assumptions!$G$70+assumptions!$G$71+IF(19&gt;=assumptions!$G$73,assumptions!$G$72,0))+assumptions!$G$74/12)+IF(19=E23,D23*assumptions!$G$75,0),0)</f>
        <v/>
      </c>
      <c r="Z23" s="17">
        <f>IF(AND(20&gt;=E23,OR(F23="",20&lt;=F23)),(D23*(1+assumptions!$G$76)^1/12*(1+assumptions!$G$70+assumptions!$G$71+IF(20&gt;=assumptions!$G$73,assumptions!$G$72,0))+assumptions!$G$74/12)+IF(20=E23,D23*assumptions!$G$75,0),0)</f>
        <v/>
      </c>
      <c r="AA23" s="17">
        <f>IF(AND(21&gt;=E23,OR(F23="",21&lt;=F23)),(D23*(1+assumptions!$G$76)^1/12*(1+assumptions!$G$70+assumptions!$G$71+IF(21&gt;=assumptions!$G$73,assumptions!$G$72,0))+assumptions!$G$74/12)+IF(21=E23,D23*assumptions!$G$75,0),0)</f>
        <v/>
      </c>
      <c r="AB23" s="17">
        <f>IF(AND(22&gt;=E23,OR(F23="",22&lt;=F23)),(D23*(1+assumptions!$G$76)^1/12*(1+assumptions!$G$70+assumptions!$G$71+IF(22&gt;=assumptions!$G$73,assumptions!$G$72,0))+assumptions!$G$74/12)+IF(22=E23,D23*assumptions!$G$75,0),0)</f>
        <v/>
      </c>
      <c r="AC23" s="17">
        <f>IF(AND(23&gt;=E23,OR(F23="",23&lt;=F23)),(D23*(1+assumptions!$G$76)^1/12*(1+assumptions!$G$70+assumptions!$G$71+IF(23&gt;=assumptions!$G$73,assumptions!$G$72,0))+assumptions!$G$74/12)+IF(23=E23,D23*assumptions!$G$75,0),0)</f>
        <v/>
      </c>
      <c r="AD23" s="17">
        <f>IF(AND(24&gt;=E23,OR(F23="",24&lt;=F23)),(D23*(1+assumptions!$G$76)^1/12*(1+assumptions!$G$70+assumptions!$G$71+IF(24&gt;=assumptions!$G$73,assumptions!$G$72,0))+assumptions!$G$74/12)+IF(24=E23,D23*assumptions!$G$75,0),0)</f>
        <v/>
      </c>
      <c r="AE23" s="17">
        <f>IF(AND(25&gt;=E23,OR(F23="",25&lt;=F23)),(D23*(1+assumptions!$G$76)^2/12*(1+assumptions!$G$70+assumptions!$G$71+IF(25&gt;=assumptions!$G$73,assumptions!$G$72,0))+assumptions!$G$74/12)+IF(25=E23,D23*assumptions!$G$75,0),0)</f>
        <v/>
      </c>
      <c r="AF23" s="17">
        <f>IF(AND(26&gt;=E23,OR(F23="",26&lt;=F23)),(D23*(1+assumptions!$G$76)^2/12*(1+assumptions!$G$70+assumptions!$G$71+IF(26&gt;=assumptions!$G$73,assumptions!$G$72,0))+assumptions!$G$74/12)+IF(26=E23,D23*assumptions!$G$75,0),0)</f>
        <v/>
      </c>
      <c r="AG23" s="17">
        <f>IF(AND(27&gt;=E23,OR(F23="",27&lt;=F23)),(D23*(1+assumptions!$G$76)^2/12*(1+assumptions!$G$70+assumptions!$G$71+IF(27&gt;=assumptions!$G$73,assumptions!$G$72,0))+assumptions!$G$74/12)+IF(27=E23,D23*assumptions!$G$75,0),0)</f>
        <v/>
      </c>
      <c r="AH23" s="17">
        <f>IF(AND(28&gt;=E23,OR(F23="",28&lt;=F23)),(D23*(1+assumptions!$G$76)^2/12*(1+assumptions!$G$70+assumptions!$G$71+IF(28&gt;=assumptions!$G$73,assumptions!$G$72,0))+assumptions!$G$74/12)+IF(28=E23,D23*assumptions!$G$75,0),0)</f>
        <v/>
      </c>
      <c r="AI23" s="17">
        <f>IF(AND(29&gt;=E23,OR(F23="",29&lt;=F23)),(D23*(1+assumptions!$G$76)^2/12*(1+assumptions!$G$70+assumptions!$G$71+IF(29&gt;=assumptions!$G$73,assumptions!$G$72,0))+assumptions!$G$74/12)+IF(29=E23,D23*assumptions!$G$75,0),0)</f>
        <v/>
      </c>
      <c r="AJ23" s="17">
        <f>IF(AND(30&gt;=E23,OR(F23="",30&lt;=F23)),(D23*(1+assumptions!$G$76)^2/12*(1+assumptions!$G$70+assumptions!$G$71+IF(30&gt;=assumptions!$G$73,assumptions!$G$72,0))+assumptions!$G$74/12)+IF(30=E23,D23*assumptions!$G$75,0),0)</f>
        <v/>
      </c>
      <c r="AK23" s="17">
        <f>IF(AND(31&gt;=E23,OR(F23="",31&lt;=F23)),(D23*(1+assumptions!$G$76)^2/12*(1+assumptions!$G$70+assumptions!$G$71+IF(31&gt;=assumptions!$G$73,assumptions!$G$72,0))+assumptions!$G$74/12)+IF(31=E23,D23*assumptions!$G$75,0),0)</f>
        <v/>
      </c>
      <c r="AL23" s="17">
        <f>IF(AND(32&gt;=E23,OR(F23="",32&lt;=F23)),(D23*(1+assumptions!$G$76)^2/12*(1+assumptions!$G$70+assumptions!$G$71+IF(32&gt;=assumptions!$G$73,assumptions!$G$72,0))+assumptions!$G$74/12)+IF(32=E23,D23*assumptions!$G$75,0),0)</f>
        <v/>
      </c>
      <c r="AM23" s="17">
        <f>IF(AND(33&gt;=E23,OR(F23="",33&lt;=F23)),(D23*(1+assumptions!$G$76)^2/12*(1+assumptions!$G$70+assumptions!$G$71+IF(33&gt;=assumptions!$G$73,assumptions!$G$72,0))+assumptions!$G$74/12)+IF(33=E23,D23*assumptions!$G$75,0),0)</f>
        <v/>
      </c>
      <c r="AN23" s="17">
        <f>IF(AND(34&gt;=E23,OR(F23="",34&lt;=F23)),(D23*(1+assumptions!$G$76)^2/12*(1+assumptions!$G$70+assumptions!$G$71+IF(34&gt;=assumptions!$G$73,assumptions!$G$72,0))+assumptions!$G$74/12)+IF(34=E23,D23*assumptions!$G$75,0),0)</f>
        <v/>
      </c>
      <c r="AO23" s="17">
        <f>IF(AND(35&gt;=E23,OR(F23="",35&lt;=F23)),(D23*(1+assumptions!$G$76)^2/12*(1+assumptions!$G$70+assumptions!$G$71+IF(35&gt;=assumptions!$G$73,assumptions!$G$72,0))+assumptions!$G$74/12)+IF(35=E23,D23*assumptions!$G$75,0),0)</f>
        <v/>
      </c>
      <c r="AP23" s="17">
        <f>IF(AND(36&gt;=E23,OR(F23="",36&lt;=F23)),(D23*(1+assumptions!$G$76)^2/12*(1+assumptions!$G$70+assumptions!$G$71+IF(36&gt;=assumptions!$G$73,assumptions!$G$72,0))+assumptions!$G$74/12)+IF(36=E23,D23*assumptions!$G$75,0),0)</f>
        <v/>
      </c>
      <c r="AQ23" s="17">
        <f>IF(AND(37&gt;=E23,OR(F23="",37&lt;=F23)),(D23*(1+assumptions!$G$76)^3/12*(1+assumptions!$G$70+assumptions!$G$71+IF(37&gt;=assumptions!$G$73,assumptions!$G$72,0))+assumptions!$G$74/12)+IF(37=E23,D23*assumptions!$G$75,0),0)</f>
        <v/>
      </c>
      <c r="AR23" s="17">
        <f>IF(AND(38&gt;=E23,OR(F23="",38&lt;=F23)),(D23*(1+assumptions!$G$76)^3/12*(1+assumptions!$G$70+assumptions!$G$71+IF(38&gt;=assumptions!$G$73,assumptions!$G$72,0))+assumptions!$G$74/12)+IF(38=E23,D23*assumptions!$G$75,0),0)</f>
        <v/>
      </c>
      <c r="AS23" s="17">
        <f>IF(AND(39&gt;=E23,OR(F23="",39&lt;=F23)),(D23*(1+assumptions!$G$76)^3/12*(1+assumptions!$G$70+assumptions!$G$71+IF(39&gt;=assumptions!$G$73,assumptions!$G$72,0))+assumptions!$G$74/12)+IF(39=E23,D23*assumptions!$G$75,0),0)</f>
        <v/>
      </c>
      <c r="AT23" s="17">
        <f>IF(AND(40&gt;=E23,OR(F23="",40&lt;=F23)),(D23*(1+assumptions!$G$76)^3/12*(1+assumptions!$G$70+assumptions!$G$71+IF(40&gt;=assumptions!$G$73,assumptions!$G$72,0))+assumptions!$G$74/12)+IF(40=E23,D23*assumptions!$G$75,0),0)</f>
        <v/>
      </c>
      <c r="AU23" s="17">
        <f>IF(AND(41&gt;=E23,OR(F23="",41&lt;=F23)),(D23*(1+assumptions!$G$76)^3/12*(1+assumptions!$G$70+assumptions!$G$71+IF(41&gt;=assumptions!$G$73,assumptions!$G$72,0))+assumptions!$G$74/12)+IF(41=E23,D23*assumptions!$G$75,0),0)</f>
        <v/>
      </c>
      <c r="AV23" s="17">
        <f>IF(AND(42&gt;=E23,OR(F23="",42&lt;=F23)),(D23*(1+assumptions!$G$76)^3/12*(1+assumptions!$G$70+assumptions!$G$71+IF(42&gt;=assumptions!$G$73,assumptions!$G$72,0))+assumptions!$G$74/12)+IF(42=E23,D23*assumptions!$G$75,0),0)</f>
        <v/>
      </c>
      <c r="AW23" s="17">
        <f>IF(AND(43&gt;=E23,OR(F23="",43&lt;=F23)),(D23*(1+assumptions!$G$76)^3/12*(1+assumptions!$G$70+assumptions!$G$71+IF(43&gt;=assumptions!$G$73,assumptions!$G$72,0))+assumptions!$G$74/12)+IF(43=E23,D23*assumptions!$G$75,0),0)</f>
        <v/>
      </c>
      <c r="AX23" s="17">
        <f>IF(AND(44&gt;=E23,OR(F23="",44&lt;=F23)),(D23*(1+assumptions!$G$76)^3/12*(1+assumptions!$G$70+assumptions!$G$71+IF(44&gt;=assumptions!$G$73,assumptions!$G$72,0))+assumptions!$G$74/12)+IF(44=E23,D23*assumptions!$G$75,0),0)</f>
        <v/>
      </c>
      <c r="AY23" s="17">
        <f>IF(AND(45&gt;=E23,OR(F23="",45&lt;=F23)),(D23*(1+assumptions!$G$76)^3/12*(1+assumptions!$G$70+assumptions!$G$71+IF(45&gt;=assumptions!$G$73,assumptions!$G$72,0))+assumptions!$G$74/12)+IF(45=E23,D23*assumptions!$G$75,0),0)</f>
        <v/>
      </c>
      <c r="AZ23" s="17">
        <f>IF(AND(46&gt;=E23,OR(F23="",46&lt;=F23)),(D23*(1+assumptions!$G$76)^3/12*(1+assumptions!$G$70+assumptions!$G$71+IF(46&gt;=assumptions!$G$73,assumptions!$G$72,0))+assumptions!$G$74/12)+IF(46=E23,D23*assumptions!$G$75,0),0)</f>
        <v/>
      </c>
      <c r="BA23" s="17">
        <f>IF(AND(47&gt;=E23,OR(F23="",47&lt;=F23)),(D23*(1+assumptions!$G$76)^3/12*(1+assumptions!$G$70+assumptions!$G$71+IF(47&gt;=assumptions!$G$73,assumptions!$G$72,0))+assumptions!$G$74/12)+IF(47=E23,D23*assumptions!$G$75,0),0)</f>
        <v/>
      </c>
      <c r="BB23" s="17">
        <f>IF(AND(48&gt;=E23,OR(F23="",48&lt;=F23)),(D23*(1+assumptions!$G$76)^3/12*(1+assumptions!$G$70+assumptions!$G$71+IF(48&gt;=assumptions!$G$73,assumptions!$G$72,0))+assumptions!$G$74/12)+IF(48=E23,D23*assumptions!$G$75,0),0)</f>
        <v/>
      </c>
      <c r="BC23" s="17">
        <f>IF(AND(49&gt;=E23,OR(F23="",49&lt;=F23)),(D23*(1+assumptions!$G$76)^4/12*(1+assumptions!$G$70+assumptions!$G$71+IF(49&gt;=assumptions!$G$73,assumptions!$G$72,0))+assumptions!$G$74/12)+IF(49=E23,D23*assumptions!$G$75,0),0)</f>
        <v/>
      </c>
      <c r="BD23" s="17">
        <f>IF(AND(50&gt;=E23,OR(F23="",50&lt;=F23)),(D23*(1+assumptions!$G$76)^4/12*(1+assumptions!$G$70+assumptions!$G$71+IF(50&gt;=assumptions!$G$73,assumptions!$G$72,0))+assumptions!$G$74/12)+IF(50=E23,D23*assumptions!$G$75,0),0)</f>
        <v/>
      </c>
      <c r="BE23" s="17">
        <f>IF(AND(51&gt;=E23,OR(F23="",51&lt;=F23)),(D23*(1+assumptions!$G$76)^4/12*(1+assumptions!$G$70+assumptions!$G$71+IF(51&gt;=assumptions!$G$73,assumptions!$G$72,0))+assumptions!$G$74/12)+IF(51=E23,D23*assumptions!$G$75,0),0)</f>
        <v/>
      </c>
      <c r="BF23" s="17">
        <f>IF(AND(52&gt;=E23,OR(F23="",52&lt;=F23)),(D23*(1+assumptions!$G$76)^4/12*(1+assumptions!$G$70+assumptions!$G$71+IF(52&gt;=assumptions!$G$73,assumptions!$G$72,0))+assumptions!$G$74/12)+IF(52=E23,D23*assumptions!$G$75,0),0)</f>
        <v/>
      </c>
      <c r="BG23" s="17">
        <f>IF(AND(53&gt;=E23,OR(F23="",53&lt;=F23)),(D23*(1+assumptions!$G$76)^4/12*(1+assumptions!$G$70+assumptions!$G$71+IF(53&gt;=assumptions!$G$73,assumptions!$G$72,0))+assumptions!$G$74/12)+IF(53=E23,D23*assumptions!$G$75,0),0)</f>
        <v/>
      </c>
      <c r="BH23" s="17">
        <f>IF(AND(54&gt;=E23,OR(F23="",54&lt;=F23)),(D23*(1+assumptions!$G$76)^4/12*(1+assumptions!$G$70+assumptions!$G$71+IF(54&gt;=assumptions!$G$73,assumptions!$G$72,0))+assumptions!$G$74/12)+IF(54=E23,D23*assumptions!$G$75,0),0)</f>
        <v/>
      </c>
      <c r="BI23" s="17">
        <f>IF(AND(55&gt;=E23,OR(F23="",55&lt;=F23)),(D23*(1+assumptions!$G$76)^4/12*(1+assumptions!$G$70+assumptions!$G$71+IF(55&gt;=assumptions!$G$73,assumptions!$G$72,0))+assumptions!$G$74/12)+IF(55=E23,D23*assumptions!$G$75,0),0)</f>
        <v/>
      </c>
      <c r="BJ23" s="17">
        <f>IF(AND(56&gt;=E23,OR(F23="",56&lt;=F23)),(D23*(1+assumptions!$G$76)^4/12*(1+assumptions!$G$70+assumptions!$G$71+IF(56&gt;=assumptions!$G$73,assumptions!$G$72,0))+assumptions!$G$74/12)+IF(56=E23,D23*assumptions!$G$75,0),0)</f>
        <v/>
      </c>
      <c r="BK23" s="17">
        <f>IF(AND(57&gt;=E23,OR(F23="",57&lt;=F23)),(D23*(1+assumptions!$G$76)^4/12*(1+assumptions!$G$70+assumptions!$G$71+IF(57&gt;=assumptions!$G$73,assumptions!$G$72,0))+assumptions!$G$74/12)+IF(57=E23,D23*assumptions!$G$75,0),0)</f>
        <v/>
      </c>
      <c r="BL23" s="17">
        <f>IF(AND(58&gt;=E23,OR(F23="",58&lt;=F23)),(D23*(1+assumptions!$G$76)^4/12*(1+assumptions!$G$70+assumptions!$G$71+IF(58&gt;=assumptions!$G$73,assumptions!$G$72,0))+assumptions!$G$74/12)+IF(58=E23,D23*assumptions!$G$75,0),0)</f>
        <v/>
      </c>
      <c r="BM23" s="17">
        <f>IF(AND(59&gt;=E23,OR(F23="",59&lt;=F23)),(D23*(1+assumptions!$G$76)^4/12*(1+assumptions!$G$70+assumptions!$G$71+IF(59&gt;=assumptions!$G$73,assumptions!$G$72,0))+assumptions!$G$74/12)+IF(59=E23,D23*assumptions!$G$75,0),0)</f>
        <v/>
      </c>
      <c r="BN23" s="17">
        <f>IF(AND(60&gt;=E23,OR(F23="",60&lt;=F23)),(D23*(1+assumptions!$G$76)^4/12*(1+assumptions!$G$70+assumptions!$G$71+IF(60&gt;=assumptions!$G$73,assumptions!$G$72,0))+assumptions!$G$74/12)+IF(60=E23,D23*assumptions!$G$75,0),0)</f>
        <v/>
      </c>
    </row>
    <row r="24">
      <c r="A24" s="5" t="n">
        <v>21</v>
      </c>
      <c r="B24" s="5" t="inlineStr">
        <is>
          <t>Head of Marketing</t>
        </is>
      </c>
      <c r="C24" s="5" t="inlineStr">
        <is>
          <t>growth</t>
        </is>
      </c>
      <c r="D24" s="15" t="n">
        <v>95000</v>
      </c>
      <c r="E24" s="32" t="n">
        <v>24</v>
      </c>
      <c r="F24" s="32" t="n"/>
      <c r="G24" s="17">
        <f>IF(AND(1&gt;=E24,OR(F24="",1&lt;=F24)),(D24*(1+assumptions!$G$76)^0/12*(1+assumptions!$G$70+assumptions!$G$71+IF(1&gt;=assumptions!$G$73,assumptions!$G$72,0))+assumptions!$G$74/12)+IF(1=E24,D24*assumptions!$G$75,0),0)</f>
        <v/>
      </c>
      <c r="H24" s="17">
        <f>IF(AND(2&gt;=E24,OR(F24="",2&lt;=F24)),(D24*(1+assumptions!$G$76)^0/12*(1+assumptions!$G$70+assumptions!$G$71+IF(2&gt;=assumptions!$G$73,assumptions!$G$72,0))+assumptions!$G$74/12)+IF(2=E24,D24*assumptions!$G$75,0),0)</f>
        <v/>
      </c>
      <c r="I24" s="17">
        <f>IF(AND(3&gt;=E24,OR(F24="",3&lt;=F24)),(D24*(1+assumptions!$G$76)^0/12*(1+assumptions!$G$70+assumptions!$G$71+IF(3&gt;=assumptions!$G$73,assumptions!$G$72,0))+assumptions!$G$74/12)+IF(3=E24,D24*assumptions!$G$75,0),0)</f>
        <v/>
      </c>
      <c r="J24" s="17">
        <f>IF(AND(4&gt;=E24,OR(F24="",4&lt;=F24)),(D24*(1+assumptions!$G$76)^0/12*(1+assumptions!$G$70+assumptions!$G$71+IF(4&gt;=assumptions!$G$73,assumptions!$G$72,0))+assumptions!$G$74/12)+IF(4=E24,D24*assumptions!$G$75,0),0)</f>
        <v/>
      </c>
      <c r="K24" s="17">
        <f>IF(AND(5&gt;=E24,OR(F24="",5&lt;=F24)),(D24*(1+assumptions!$G$76)^0/12*(1+assumptions!$G$70+assumptions!$G$71+IF(5&gt;=assumptions!$G$73,assumptions!$G$72,0))+assumptions!$G$74/12)+IF(5=E24,D24*assumptions!$G$75,0),0)</f>
        <v/>
      </c>
      <c r="L24" s="17">
        <f>IF(AND(6&gt;=E24,OR(F24="",6&lt;=F24)),(D24*(1+assumptions!$G$76)^0/12*(1+assumptions!$G$70+assumptions!$G$71+IF(6&gt;=assumptions!$G$73,assumptions!$G$72,0))+assumptions!$G$74/12)+IF(6=E24,D24*assumptions!$G$75,0),0)</f>
        <v/>
      </c>
      <c r="M24" s="17">
        <f>IF(AND(7&gt;=E24,OR(F24="",7&lt;=F24)),(D24*(1+assumptions!$G$76)^0/12*(1+assumptions!$G$70+assumptions!$G$71+IF(7&gt;=assumptions!$G$73,assumptions!$G$72,0))+assumptions!$G$74/12)+IF(7=E24,D24*assumptions!$G$75,0),0)</f>
        <v/>
      </c>
      <c r="N24" s="17">
        <f>IF(AND(8&gt;=E24,OR(F24="",8&lt;=F24)),(D24*(1+assumptions!$G$76)^0/12*(1+assumptions!$G$70+assumptions!$G$71+IF(8&gt;=assumptions!$G$73,assumptions!$G$72,0))+assumptions!$G$74/12)+IF(8=E24,D24*assumptions!$G$75,0),0)</f>
        <v/>
      </c>
      <c r="O24" s="17">
        <f>IF(AND(9&gt;=E24,OR(F24="",9&lt;=F24)),(D24*(1+assumptions!$G$76)^0/12*(1+assumptions!$G$70+assumptions!$G$71+IF(9&gt;=assumptions!$G$73,assumptions!$G$72,0))+assumptions!$G$74/12)+IF(9=E24,D24*assumptions!$G$75,0),0)</f>
        <v/>
      </c>
      <c r="P24" s="17">
        <f>IF(AND(10&gt;=E24,OR(F24="",10&lt;=F24)),(D24*(1+assumptions!$G$76)^0/12*(1+assumptions!$G$70+assumptions!$G$71+IF(10&gt;=assumptions!$G$73,assumptions!$G$72,0))+assumptions!$G$74/12)+IF(10=E24,D24*assumptions!$G$75,0),0)</f>
        <v/>
      </c>
      <c r="Q24" s="17">
        <f>IF(AND(11&gt;=E24,OR(F24="",11&lt;=F24)),(D24*(1+assumptions!$G$76)^0/12*(1+assumptions!$G$70+assumptions!$G$71+IF(11&gt;=assumptions!$G$73,assumptions!$G$72,0))+assumptions!$G$74/12)+IF(11=E24,D24*assumptions!$G$75,0),0)</f>
        <v/>
      </c>
      <c r="R24" s="17">
        <f>IF(AND(12&gt;=E24,OR(F24="",12&lt;=F24)),(D24*(1+assumptions!$G$76)^0/12*(1+assumptions!$G$70+assumptions!$G$71+IF(12&gt;=assumptions!$G$73,assumptions!$G$72,0))+assumptions!$G$74/12)+IF(12=E24,D24*assumptions!$G$75,0),0)</f>
        <v/>
      </c>
      <c r="S24" s="17">
        <f>IF(AND(13&gt;=E24,OR(F24="",13&lt;=F24)),(D24*(1+assumptions!$G$76)^1/12*(1+assumptions!$G$70+assumptions!$G$71+IF(13&gt;=assumptions!$G$73,assumptions!$G$72,0))+assumptions!$G$74/12)+IF(13=E24,D24*assumptions!$G$75,0),0)</f>
        <v/>
      </c>
      <c r="T24" s="17">
        <f>IF(AND(14&gt;=E24,OR(F24="",14&lt;=F24)),(D24*(1+assumptions!$G$76)^1/12*(1+assumptions!$G$70+assumptions!$G$71+IF(14&gt;=assumptions!$G$73,assumptions!$G$72,0))+assumptions!$G$74/12)+IF(14=E24,D24*assumptions!$G$75,0),0)</f>
        <v/>
      </c>
      <c r="U24" s="17">
        <f>IF(AND(15&gt;=E24,OR(F24="",15&lt;=F24)),(D24*(1+assumptions!$G$76)^1/12*(1+assumptions!$G$70+assumptions!$G$71+IF(15&gt;=assumptions!$G$73,assumptions!$G$72,0))+assumptions!$G$74/12)+IF(15=E24,D24*assumptions!$G$75,0),0)</f>
        <v/>
      </c>
      <c r="V24" s="17">
        <f>IF(AND(16&gt;=E24,OR(F24="",16&lt;=F24)),(D24*(1+assumptions!$G$76)^1/12*(1+assumptions!$G$70+assumptions!$G$71+IF(16&gt;=assumptions!$G$73,assumptions!$G$72,0))+assumptions!$G$74/12)+IF(16=E24,D24*assumptions!$G$75,0),0)</f>
        <v/>
      </c>
      <c r="W24" s="17">
        <f>IF(AND(17&gt;=E24,OR(F24="",17&lt;=F24)),(D24*(1+assumptions!$G$76)^1/12*(1+assumptions!$G$70+assumptions!$G$71+IF(17&gt;=assumptions!$G$73,assumptions!$G$72,0))+assumptions!$G$74/12)+IF(17=E24,D24*assumptions!$G$75,0),0)</f>
        <v/>
      </c>
      <c r="X24" s="17">
        <f>IF(AND(18&gt;=E24,OR(F24="",18&lt;=F24)),(D24*(1+assumptions!$G$76)^1/12*(1+assumptions!$G$70+assumptions!$G$71+IF(18&gt;=assumptions!$G$73,assumptions!$G$72,0))+assumptions!$G$74/12)+IF(18=E24,D24*assumptions!$G$75,0),0)</f>
        <v/>
      </c>
      <c r="Y24" s="17">
        <f>IF(AND(19&gt;=E24,OR(F24="",19&lt;=F24)),(D24*(1+assumptions!$G$76)^1/12*(1+assumptions!$G$70+assumptions!$G$71+IF(19&gt;=assumptions!$G$73,assumptions!$G$72,0))+assumptions!$G$74/12)+IF(19=E24,D24*assumptions!$G$75,0),0)</f>
        <v/>
      </c>
      <c r="Z24" s="17">
        <f>IF(AND(20&gt;=E24,OR(F24="",20&lt;=F24)),(D24*(1+assumptions!$G$76)^1/12*(1+assumptions!$G$70+assumptions!$G$71+IF(20&gt;=assumptions!$G$73,assumptions!$G$72,0))+assumptions!$G$74/12)+IF(20=E24,D24*assumptions!$G$75,0),0)</f>
        <v/>
      </c>
      <c r="AA24" s="17">
        <f>IF(AND(21&gt;=E24,OR(F24="",21&lt;=F24)),(D24*(1+assumptions!$G$76)^1/12*(1+assumptions!$G$70+assumptions!$G$71+IF(21&gt;=assumptions!$G$73,assumptions!$G$72,0))+assumptions!$G$74/12)+IF(21=E24,D24*assumptions!$G$75,0),0)</f>
        <v/>
      </c>
      <c r="AB24" s="17">
        <f>IF(AND(22&gt;=E24,OR(F24="",22&lt;=F24)),(D24*(1+assumptions!$G$76)^1/12*(1+assumptions!$G$70+assumptions!$G$71+IF(22&gt;=assumptions!$G$73,assumptions!$G$72,0))+assumptions!$G$74/12)+IF(22=E24,D24*assumptions!$G$75,0),0)</f>
        <v/>
      </c>
      <c r="AC24" s="17">
        <f>IF(AND(23&gt;=E24,OR(F24="",23&lt;=F24)),(D24*(1+assumptions!$G$76)^1/12*(1+assumptions!$G$70+assumptions!$G$71+IF(23&gt;=assumptions!$G$73,assumptions!$G$72,0))+assumptions!$G$74/12)+IF(23=E24,D24*assumptions!$G$75,0),0)</f>
        <v/>
      </c>
      <c r="AD24" s="17">
        <f>IF(AND(24&gt;=E24,OR(F24="",24&lt;=F24)),(D24*(1+assumptions!$G$76)^1/12*(1+assumptions!$G$70+assumptions!$G$71+IF(24&gt;=assumptions!$G$73,assumptions!$G$72,0))+assumptions!$G$74/12)+IF(24=E24,D24*assumptions!$G$75,0),0)</f>
        <v/>
      </c>
      <c r="AE24" s="17">
        <f>IF(AND(25&gt;=E24,OR(F24="",25&lt;=F24)),(D24*(1+assumptions!$G$76)^2/12*(1+assumptions!$G$70+assumptions!$G$71+IF(25&gt;=assumptions!$G$73,assumptions!$G$72,0))+assumptions!$G$74/12)+IF(25=E24,D24*assumptions!$G$75,0),0)</f>
        <v/>
      </c>
      <c r="AF24" s="17">
        <f>IF(AND(26&gt;=E24,OR(F24="",26&lt;=F24)),(D24*(1+assumptions!$G$76)^2/12*(1+assumptions!$G$70+assumptions!$G$71+IF(26&gt;=assumptions!$G$73,assumptions!$G$72,0))+assumptions!$G$74/12)+IF(26=E24,D24*assumptions!$G$75,0),0)</f>
        <v/>
      </c>
      <c r="AG24" s="17">
        <f>IF(AND(27&gt;=E24,OR(F24="",27&lt;=F24)),(D24*(1+assumptions!$G$76)^2/12*(1+assumptions!$G$70+assumptions!$G$71+IF(27&gt;=assumptions!$G$73,assumptions!$G$72,0))+assumptions!$G$74/12)+IF(27=E24,D24*assumptions!$G$75,0),0)</f>
        <v/>
      </c>
      <c r="AH24" s="17">
        <f>IF(AND(28&gt;=E24,OR(F24="",28&lt;=F24)),(D24*(1+assumptions!$G$76)^2/12*(1+assumptions!$G$70+assumptions!$G$71+IF(28&gt;=assumptions!$G$73,assumptions!$G$72,0))+assumptions!$G$74/12)+IF(28=E24,D24*assumptions!$G$75,0),0)</f>
        <v/>
      </c>
      <c r="AI24" s="17">
        <f>IF(AND(29&gt;=E24,OR(F24="",29&lt;=F24)),(D24*(1+assumptions!$G$76)^2/12*(1+assumptions!$G$70+assumptions!$G$71+IF(29&gt;=assumptions!$G$73,assumptions!$G$72,0))+assumptions!$G$74/12)+IF(29=E24,D24*assumptions!$G$75,0),0)</f>
        <v/>
      </c>
      <c r="AJ24" s="17">
        <f>IF(AND(30&gt;=E24,OR(F24="",30&lt;=F24)),(D24*(1+assumptions!$G$76)^2/12*(1+assumptions!$G$70+assumptions!$G$71+IF(30&gt;=assumptions!$G$73,assumptions!$G$72,0))+assumptions!$G$74/12)+IF(30=E24,D24*assumptions!$G$75,0),0)</f>
        <v/>
      </c>
      <c r="AK24" s="17">
        <f>IF(AND(31&gt;=E24,OR(F24="",31&lt;=F24)),(D24*(1+assumptions!$G$76)^2/12*(1+assumptions!$G$70+assumptions!$G$71+IF(31&gt;=assumptions!$G$73,assumptions!$G$72,0))+assumptions!$G$74/12)+IF(31=E24,D24*assumptions!$G$75,0),0)</f>
        <v/>
      </c>
      <c r="AL24" s="17">
        <f>IF(AND(32&gt;=E24,OR(F24="",32&lt;=F24)),(D24*(1+assumptions!$G$76)^2/12*(1+assumptions!$G$70+assumptions!$G$71+IF(32&gt;=assumptions!$G$73,assumptions!$G$72,0))+assumptions!$G$74/12)+IF(32=E24,D24*assumptions!$G$75,0),0)</f>
        <v/>
      </c>
      <c r="AM24" s="17">
        <f>IF(AND(33&gt;=E24,OR(F24="",33&lt;=F24)),(D24*(1+assumptions!$G$76)^2/12*(1+assumptions!$G$70+assumptions!$G$71+IF(33&gt;=assumptions!$G$73,assumptions!$G$72,0))+assumptions!$G$74/12)+IF(33=E24,D24*assumptions!$G$75,0),0)</f>
        <v/>
      </c>
      <c r="AN24" s="17">
        <f>IF(AND(34&gt;=E24,OR(F24="",34&lt;=F24)),(D24*(1+assumptions!$G$76)^2/12*(1+assumptions!$G$70+assumptions!$G$71+IF(34&gt;=assumptions!$G$73,assumptions!$G$72,0))+assumptions!$G$74/12)+IF(34=E24,D24*assumptions!$G$75,0),0)</f>
        <v/>
      </c>
      <c r="AO24" s="17">
        <f>IF(AND(35&gt;=E24,OR(F24="",35&lt;=F24)),(D24*(1+assumptions!$G$76)^2/12*(1+assumptions!$G$70+assumptions!$G$71+IF(35&gt;=assumptions!$G$73,assumptions!$G$72,0))+assumptions!$G$74/12)+IF(35=E24,D24*assumptions!$G$75,0),0)</f>
        <v/>
      </c>
      <c r="AP24" s="17">
        <f>IF(AND(36&gt;=E24,OR(F24="",36&lt;=F24)),(D24*(1+assumptions!$G$76)^2/12*(1+assumptions!$G$70+assumptions!$G$71+IF(36&gt;=assumptions!$G$73,assumptions!$G$72,0))+assumptions!$G$74/12)+IF(36=E24,D24*assumptions!$G$75,0),0)</f>
        <v/>
      </c>
      <c r="AQ24" s="17">
        <f>IF(AND(37&gt;=E24,OR(F24="",37&lt;=F24)),(D24*(1+assumptions!$G$76)^3/12*(1+assumptions!$G$70+assumptions!$G$71+IF(37&gt;=assumptions!$G$73,assumptions!$G$72,0))+assumptions!$G$74/12)+IF(37=E24,D24*assumptions!$G$75,0),0)</f>
        <v/>
      </c>
      <c r="AR24" s="17">
        <f>IF(AND(38&gt;=E24,OR(F24="",38&lt;=F24)),(D24*(1+assumptions!$G$76)^3/12*(1+assumptions!$G$70+assumptions!$G$71+IF(38&gt;=assumptions!$G$73,assumptions!$G$72,0))+assumptions!$G$74/12)+IF(38=E24,D24*assumptions!$G$75,0),0)</f>
        <v/>
      </c>
      <c r="AS24" s="17">
        <f>IF(AND(39&gt;=E24,OR(F24="",39&lt;=F24)),(D24*(1+assumptions!$G$76)^3/12*(1+assumptions!$G$70+assumptions!$G$71+IF(39&gt;=assumptions!$G$73,assumptions!$G$72,0))+assumptions!$G$74/12)+IF(39=E24,D24*assumptions!$G$75,0),0)</f>
        <v/>
      </c>
      <c r="AT24" s="17">
        <f>IF(AND(40&gt;=E24,OR(F24="",40&lt;=F24)),(D24*(1+assumptions!$G$76)^3/12*(1+assumptions!$G$70+assumptions!$G$71+IF(40&gt;=assumptions!$G$73,assumptions!$G$72,0))+assumptions!$G$74/12)+IF(40=E24,D24*assumptions!$G$75,0),0)</f>
        <v/>
      </c>
      <c r="AU24" s="17">
        <f>IF(AND(41&gt;=E24,OR(F24="",41&lt;=F24)),(D24*(1+assumptions!$G$76)^3/12*(1+assumptions!$G$70+assumptions!$G$71+IF(41&gt;=assumptions!$G$73,assumptions!$G$72,0))+assumptions!$G$74/12)+IF(41=E24,D24*assumptions!$G$75,0),0)</f>
        <v/>
      </c>
      <c r="AV24" s="17">
        <f>IF(AND(42&gt;=E24,OR(F24="",42&lt;=F24)),(D24*(1+assumptions!$G$76)^3/12*(1+assumptions!$G$70+assumptions!$G$71+IF(42&gt;=assumptions!$G$73,assumptions!$G$72,0))+assumptions!$G$74/12)+IF(42=E24,D24*assumptions!$G$75,0),0)</f>
        <v/>
      </c>
      <c r="AW24" s="17">
        <f>IF(AND(43&gt;=E24,OR(F24="",43&lt;=F24)),(D24*(1+assumptions!$G$76)^3/12*(1+assumptions!$G$70+assumptions!$G$71+IF(43&gt;=assumptions!$G$73,assumptions!$G$72,0))+assumptions!$G$74/12)+IF(43=E24,D24*assumptions!$G$75,0),0)</f>
        <v/>
      </c>
      <c r="AX24" s="17">
        <f>IF(AND(44&gt;=E24,OR(F24="",44&lt;=F24)),(D24*(1+assumptions!$G$76)^3/12*(1+assumptions!$G$70+assumptions!$G$71+IF(44&gt;=assumptions!$G$73,assumptions!$G$72,0))+assumptions!$G$74/12)+IF(44=E24,D24*assumptions!$G$75,0),0)</f>
        <v/>
      </c>
      <c r="AY24" s="17">
        <f>IF(AND(45&gt;=E24,OR(F24="",45&lt;=F24)),(D24*(1+assumptions!$G$76)^3/12*(1+assumptions!$G$70+assumptions!$G$71+IF(45&gt;=assumptions!$G$73,assumptions!$G$72,0))+assumptions!$G$74/12)+IF(45=E24,D24*assumptions!$G$75,0),0)</f>
        <v/>
      </c>
      <c r="AZ24" s="17">
        <f>IF(AND(46&gt;=E24,OR(F24="",46&lt;=F24)),(D24*(1+assumptions!$G$76)^3/12*(1+assumptions!$G$70+assumptions!$G$71+IF(46&gt;=assumptions!$G$73,assumptions!$G$72,0))+assumptions!$G$74/12)+IF(46=E24,D24*assumptions!$G$75,0),0)</f>
        <v/>
      </c>
      <c r="BA24" s="17">
        <f>IF(AND(47&gt;=E24,OR(F24="",47&lt;=F24)),(D24*(1+assumptions!$G$76)^3/12*(1+assumptions!$G$70+assumptions!$G$71+IF(47&gt;=assumptions!$G$73,assumptions!$G$72,0))+assumptions!$G$74/12)+IF(47=E24,D24*assumptions!$G$75,0),0)</f>
        <v/>
      </c>
      <c r="BB24" s="17">
        <f>IF(AND(48&gt;=E24,OR(F24="",48&lt;=F24)),(D24*(1+assumptions!$G$76)^3/12*(1+assumptions!$G$70+assumptions!$G$71+IF(48&gt;=assumptions!$G$73,assumptions!$G$72,0))+assumptions!$G$74/12)+IF(48=E24,D24*assumptions!$G$75,0),0)</f>
        <v/>
      </c>
      <c r="BC24" s="17">
        <f>IF(AND(49&gt;=E24,OR(F24="",49&lt;=F24)),(D24*(1+assumptions!$G$76)^4/12*(1+assumptions!$G$70+assumptions!$G$71+IF(49&gt;=assumptions!$G$73,assumptions!$G$72,0))+assumptions!$G$74/12)+IF(49=E24,D24*assumptions!$G$75,0),0)</f>
        <v/>
      </c>
      <c r="BD24" s="17">
        <f>IF(AND(50&gt;=E24,OR(F24="",50&lt;=F24)),(D24*(1+assumptions!$G$76)^4/12*(1+assumptions!$G$70+assumptions!$G$71+IF(50&gt;=assumptions!$G$73,assumptions!$G$72,0))+assumptions!$G$74/12)+IF(50=E24,D24*assumptions!$G$75,0),0)</f>
        <v/>
      </c>
      <c r="BE24" s="17">
        <f>IF(AND(51&gt;=E24,OR(F24="",51&lt;=F24)),(D24*(1+assumptions!$G$76)^4/12*(1+assumptions!$G$70+assumptions!$G$71+IF(51&gt;=assumptions!$G$73,assumptions!$G$72,0))+assumptions!$G$74/12)+IF(51=E24,D24*assumptions!$G$75,0),0)</f>
        <v/>
      </c>
      <c r="BF24" s="17">
        <f>IF(AND(52&gt;=E24,OR(F24="",52&lt;=F24)),(D24*(1+assumptions!$G$76)^4/12*(1+assumptions!$G$70+assumptions!$G$71+IF(52&gt;=assumptions!$G$73,assumptions!$G$72,0))+assumptions!$G$74/12)+IF(52=E24,D24*assumptions!$G$75,0),0)</f>
        <v/>
      </c>
      <c r="BG24" s="17">
        <f>IF(AND(53&gt;=E24,OR(F24="",53&lt;=F24)),(D24*(1+assumptions!$G$76)^4/12*(1+assumptions!$G$70+assumptions!$G$71+IF(53&gt;=assumptions!$G$73,assumptions!$G$72,0))+assumptions!$G$74/12)+IF(53=E24,D24*assumptions!$G$75,0),0)</f>
        <v/>
      </c>
      <c r="BH24" s="17">
        <f>IF(AND(54&gt;=E24,OR(F24="",54&lt;=F24)),(D24*(1+assumptions!$G$76)^4/12*(1+assumptions!$G$70+assumptions!$G$71+IF(54&gt;=assumptions!$G$73,assumptions!$G$72,0))+assumptions!$G$74/12)+IF(54=E24,D24*assumptions!$G$75,0),0)</f>
        <v/>
      </c>
      <c r="BI24" s="17">
        <f>IF(AND(55&gt;=E24,OR(F24="",55&lt;=F24)),(D24*(1+assumptions!$G$76)^4/12*(1+assumptions!$G$70+assumptions!$G$71+IF(55&gt;=assumptions!$G$73,assumptions!$G$72,0))+assumptions!$G$74/12)+IF(55=E24,D24*assumptions!$G$75,0),0)</f>
        <v/>
      </c>
      <c r="BJ24" s="17">
        <f>IF(AND(56&gt;=E24,OR(F24="",56&lt;=F24)),(D24*(1+assumptions!$G$76)^4/12*(1+assumptions!$G$70+assumptions!$G$71+IF(56&gt;=assumptions!$G$73,assumptions!$G$72,0))+assumptions!$G$74/12)+IF(56=E24,D24*assumptions!$G$75,0),0)</f>
        <v/>
      </c>
      <c r="BK24" s="17">
        <f>IF(AND(57&gt;=E24,OR(F24="",57&lt;=F24)),(D24*(1+assumptions!$G$76)^4/12*(1+assumptions!$G$70+assumptions!$G$71+IF(57&gt;=assumptions!$G$73,assumptions!$G$72,0))+assumptions!$G$74/12)+IF(57=E24,D24*assumptions!$G$75,0),0)</f>
        <v/>
      </c>
      <c r="BL24" s="17">
        <f>IF(AND(58&gt;=E24,OR(F24="",58&lt;=F24)),(D24*(1+assumptions!$G$76)^4/12*(1+assumptions!$G$70+assumptions!$G$71+IF(58&gt;=assumptions!$G$73,assumptions!$G$72,0))+assumptions!$G$74/12)+IF(58=E24,D24*assumptions!$G$75,0),0)</f>
        <v/>
      </c>
      <c r="BM24" s="17">
        <f>IF(AND(59&gt;=E24,OR(F24="",59&lt;=F24)),(D24*(1+assumptions!$G$76)^4/12*(1+assumptions!$G$70+assumptions!$G$71+IF(59&gt;=assumptions!$G$73,assumptions!$G$72,0))+assumptions!$G$74/12)+IF(59=E24,D24*assumptions!$G$75,0),0)</f>
        <v/>
      </c>
      <c r="BN24" s="17">
        <f>IF(AND(60&gt;=E24,OR(F24="",60&lt;=F24)),(D24*(1+assumptions!$G$76)^4/12*(1+assumptions!$G$70+assumptions!$G$71+IF(60&gt;=assumptions!$G$73,assumptions!$G$72,0))+assumptions!$G$74/12)+IF(60=E24,D24*assumptions!$G$75,0),0)</f>
        <v/>
      </c>
    </row>
    <row r="25">
      <c r="A25" s="5" t="n">
        <v>22</v>
      </c>
      <c r="B25" s="5" t="inlineStr">
        <is>
          <t>Engineering manager</t>
        </is>
      </c>
      <c r="C25" s="5" t="inlineStr">
        <is>
          <t>eng</t>
        </is>
      </c>
      <c r="D25" s="15" t="n">
        <v>110000</v>
      </c>
      <c r="E25" s="32" t="n">
        <v>26</v>
      </c>
      <c r="F25" s="32" t="n"/>
      <c r="G25" s="17">
        <f>IF(AND(1&gt;=E25,OR(F25="",1&lt;=F25)),(D25*(1+assumptions!$G$76)^0/12*(1+assumptions!$G$70+assumptions!$G$71+IF(1&gt;=assumptions!$G$73,assumptions!$G$72,0))+assumptions!$G$74/12)+IF(1=E25,D25*assumptions!$G$75,0),0)</f>
        <v/>
      </c>
      <c r="H25" s="17">
        <f>IF(AND(2&gt;=E25,OR(F25="",2&lt;=F25)),(D25*(1+assumptions!$G$76)^0/12*(1+assumptions!$G$70+assumptions!$G$71+IF(2&gt;=assumptions!$G$73,assumptions!$G$72,0))+assumptions!$G$74/12)+IF(2=E25,D25*assumptions!$G$75,0),0)</f>
        <v/>
      </c>
      <c r="I25" s="17">
        <f>IF(AND(3&gt;=E25,OR(F25="",3&lt;=F25)),(D25*(1+assumptions!$G$76)^0/12*(1+assumptions!$G$70+assumptions!$G$71+IF(3&gt;=assumptions!$G$73,assumptions!$G$72,0))+assumptions!$G$74/12)+IF(3=E25,D25*assumptions!$G$75,0),0)</f>
        <v/>
      </c>
      <c r="J25" s="17">
        <f>IF(AND(4&gt;=E25,OR(F25="",4&lt;=F25)),(D25*(1+assumptions!$G$76)^0/12*(1+assumptions!$G$70+assumptions!$G$71+IF(4&gt;=assumptions!$G$73,assumptions!$G$72,0))+assumptions!$G$74/12)+IF(4=E25,D25*assumptions!$G$75,0),0)</f>
        <v/>
      </c>
      <c r="K25" s="17">
        <f>IF(AND(5&gt;=E25,OR(F25="",5&lt;=F25)),(D25*(1+assumptions!$G$76)^0/12*(1+assumptions!$G$70+assumptions!$G$71+IF(5&gt;=assumptions!$G$73,assumptions!$G$72,0))+assumptions!$G$74/12)+IF(5=E25,D25*assumptions!$G$75,0),0)</f>
        <v/>
      </c>
      <c r="L25" s="17">
        <f>IF(AND(6&gt;=E25,OR(F25="",6&lt;=F25)),(D25*(1+assumptions!$G$76)^0/12*(1+assumptions!$G$70+assumptions!$G$71+IF(6&gt;=assumptions!$G$73,assumptions!$G$72,0))+assumptions!$G$74/12)+IF(6=E25,D25*assumptions!$G$75,0),0)</f>
        <v/>
      </c>
      <c r="M25" s="17">
        <f>IF(AND(7&gt;=E25,OR(F25="",7&lt;=F25)),(D25*(1+assumptions!$G$76)^0/12*(1+assumptions!$G$70+assumptions!$G$71+IF(7&gt;=assumptions!$G$73,assumptions!$G$72,0))+assumptions!$G$74/12)+IF(7=E25,D25*assumptions!$G$75,0),0)</f>
        <v/>
      </c>
      <c r="N25" s="17">
        <f>IF(AND(8&gt;=E25,OR(F25="",8&lt;=F25)),(D25*(1+assumptions!$G$76)^0/12*(1+assumptions!$G$70+assumptions!$G$71+IF(8&gt;=assumptions!$G$73,assumptions!$G$72,0))+assumptions!$G$74/12)+IF(8=E25,D25*assumptions!$G$75,0),0)</f>
        <v/>
      </c>
      <c r="O25" s="17">
        <f>IF(AND(9&gt;=E25,OR(F25="",9&lt;=F25)),(D25*(1+assumptions!$G$76)^0/12*(1+assumptions!$G$70+assumptions!$G$71+IF(9&gt;=assumptions!$G$73,assumptions!$G$72,0))+assumptions!$G$74/12)+IF(9=E25,D25*assumptions!$G$75,0),0)</f>
        <v/>
      </c>
      <c r="P25" s="17">
        <f>IF(AND(10&gt;=E25,OR(F25="",10&lt;=F25)),(D25*(1+assumptions!$G$76)^0/12*(1+assumptions!$G$70+assumptions!$G$71+IF(10&gt;=assumptions!$G$73,assumptions!$G$72,0))+assumptions!$G$74/12)+IF(10=E25,D25*assumptions!$G$75,0),0)</f>
        <v/>
      </c>
      <c r="Q25" s="17">
        <f>IF(AND(11&gt;=E25,OR(F25="",11&lt;=F25)),(D25*(1+assumptions!$G$76)^0/12*(1+assumptions!$G$70+assumptions!$G$71+IF(11&gt;=assumptions!$G$73,assumptions!$G$72,0))+assumptions!$G$74/12)+IF(11=E25,D25*assumptions!$G$75,0),0)</f>
        <v/>
      </c>
      <c r="R25" s="17">
        <f>IF(AND(12&gt;=E25,OR(F25="",12&lt;=F25)),(D25*(1+assumptions!$G$76)^0/12*(1+assumptions!$G$70+assumptions!$G$71+IF(12&gt;=assumptions!$G$73,assumptions!$G$72,0))+assumptions!$G$74/12)+IF(12=E25,D25*assumptions!$G$75,0),0)</f>
        <v/>
      </c>
      <c r="S25" s="17">
        <f>IF(AND(13&gt;=E25,OR(F25="",13&lt;=F25)),(D25*(1+assumptions!$G$76)^1/12*(1+assumptions!$G$70+assumptions!$G$71+IF(13&gt;=assumptions!$G$73,assumptions!$G$72,0))+assumptions!$G$74/12)+IF(13=E25,D25*assumptions!$G$75,0),0)</f>
        <v/>
      </c>
      <c r="T25" s="17">
        <f>IF(AND(14&gt;=E25,OR(F25="",14&lt;=F25)),(D25*(1+assumptions!$G$76)^1/12*(1+assumptions!$G$70+assumptions!$G$71+IF(14&gt;=assumptions!$G$73,assumptions!$G$72,0))+assumptions!$G$74/12)+IF(14=E25,D25*assumptions!$G$75,0),0)</f>
        <v/>
      </c>
      <c r="U25" s="17">
        <f>IF(AND(15&gt;=E25,OR(F25="",15&lt;=F25)),(D25*(1+assumptions!$G$76)^1/12*(1+assumptions!$G$70+assumptions!$G$71+IF(15&gt;=assumptions!$G$73,assumptions!$G$72,0))+assumptions!$G$74/12)+IF(15=E25,D25*assumptions!$G$75,0),0)</f>
        <v/>
      </c>
      <c r="V25" s="17">
        <f>IF(AND(16&gt;=E25,OR(F25="",16&lt;=F25)),(D25*(1+assumptions!$G$76)^1/12*(1+assumptions!$G$70+assumptions!$G$71+IF(16&gt;=assumptions!$G$73,assumptions!$G$72,0))+assumptions!$G$74/12)+IF(16=E25,D25*assumptions!$G$75,0),0)</f>
        <v/>
      </c>
      <c r="W25" s="17">
        <f>IF(AND(17&gt;=E25,OR(F25="",17&lt;=F25)),(D25*(1+assumptions!$G$76)^1/12*(1+assumptions!$G$70+assumptions!$G$71+IF(17&gt;=assumptions!$G$73,assumptions!$G$72,0))+assumptions!$G$74/12)+IF(17=E25,D25*assumptions!$G$75,0),0)</f>
        <v/>
      </c>
      <c r="X25" s="17">
        <f>IF(AND(18&gt;=E25,OR(F25="",18&lt;=F25)),(D25*(1+assumptions!$G$76)^1/12*(1+assumptions!$G$70+assumptions!$G$71+IF(18&gt;=assumptions!$G$73,assumptions!$G$72,0))+assumptions!$G$74/12)+IF(18=E25,D25*assumptions!$G$75,0),0)</f>
        <v/>
      </c>
      <c r="Y25" s="17">
        <f>IF(AND(19&gt;=E25,OR(F25="",19&lt;=F25)),(D25*(1+assumptions!$G$76)^1/12*(1+assumptions!$G$70+assumptions!$G$71+IF(19&gt;=assumptions!$G$73,assumptions!$G$72,0))+assumptions!$G$74/12)+IF(19=E25,D25*assumptions!$G$75,0),0)</f>
        <v/>
      </c>
      <c r="Z25" s="17">
        <f>IF(AND(20&gt;=E25,OR(F25="",20&lt;=F25)),(D25*(1+assumptions!$G$76)^1/12*(1+assumptions!$G$70+assumptions!$G$71+IF(20&gt;=assumptions!$G$73,assumptions!$G$72,0))+assumptions!$G$74/12)+IF(20=E25,D25*assumptions!$G$75,0),0)</f>
        <v/>
      </c>
      <c r="AA25" s="17">
        <f>IF(AND(21&gt;=E25,OR(F25="",21&lt;=F25)),(D25*(1+assumptions!$G$76)^1/12*(1+assumptions!$G$70+assumptions!$G$71+IF(21&gt;=assumptions!$G$73,assumptions!$G$72,0))+assumptions!$G$74/12)+IF(21=E25,D25*assumptions!$G$75,0),0)</f>
        <v/>
      </c>
      <c r="AB25" s="17">
        <f>IF(AND(22&gt;=E25,OR(F25="",22&lt;=F25)),(D25*(1+assumptions!$G$76)^1/12*(1+assumptions!$G$70+assumptions!$G$71+IF(22&gt;=assumptions!$G$73,assumptions!$G$72,0))+assumptions!$G$74/12)+IF(22=E25,D25*assumptions!$G$75,0),0)</f>
        <v/>
      </c>
      <c r="AC25" s="17">
        <f>IF(AND(23&gt;=E25,OR(F25="",23&lt;=F25)),(D25*(1+assumptions!$G$76)^1/12*(1+assumptions!$G$70+assumptions!$G$71+IF(23&gt;=assumptions!$G$73,assumptions!$G$72,0))+assumptions!$G$74/12)+IF(23=E25,D25*assumptions!$G$75,0),0)</f>
        <v/>
      </c>
      <c r="AD25" s="17">
        <f>IF(AND(24&gt;=E25,OR(F25="",24&lt;=F25)),(D25*(1+assumptions!$G$76)^1/12*(1+assumptions!$G$70+assumptions!$G$71+IF(24&gt;=assumptions!$G$73,assumptions!$G$72,0))+assumptions!$G$74/12)+IF(24=E25,D25*assumptions!$G$75,0),0)</f>
        <v/>
      </c>
      <c r="AE25" s="17">
        <f>IF(AND(25&gt;=E25,OR(F25="",25&lt;=F25)),(D25*(1+assumptions!$G$76)^2/12*(1+assumptions!$G$70+assumptions!$G$71+IF(25&gt;=assumptions!$G$73,assumptions!$G$72,0))+assumptions!$G$74/12)+IF(25=E25,D25*assumptions!$G$75,0),0)</f>
        <v/>
      </c>
      <c r="AF25" s="17">
        <f>IF(AND(26&gt;=E25,OR(F25="",26&lt;=F25)),(D25*(1+assumptions!$G$76)^2/12*(1+assumptions!$G$70+assumptions!$G$71+IF(26&gt;=assumptions!$G$73,assumptions!$G$72,0))+assumptions!$G$74/12)+IF(26=E25,D25*assumptions!$G$75,0),0)</f>
        <v/>
      </c>
      <c r="AG25" s="17">
        <f>IF(AND(27&gt;=E25,OR(F25="",27&lt;=F25)),(D25*(1+assumptions!$G$76)^2/12*(1+assumptions!$G$70+assumptions!$G$71+IF(27&gt;=assumptions!$G$73,assumptions!$G$72,0))+assumptions!$G$74/12)+IF(27=E25,D25*assumptions!$G$75,0),0)</f>
        <v/>
      </c>
      <c r="AH25" s="17">
        <f>IF(AND(28&gt;=E25,OR(F25="",28&lt;=F25)),(D25*(1+assumptions!$G$76)^2/12*(1+assumptions!$G$70+assumptions!$G$71+IF(28&gt;=assumptions!$G$73,assumptions!$G$72,0))+assumptions!$G$74/12)+IF(28=E25,D25*assumptions!$G$75,0),0)</f>
        <v/>
      </c>
      <c r="AI25" s="17">
        <f>IF(AND(29&gt;=E25,OR(F25="",29&lt;=F25)),(D25*(1+assumptions!$G$76)^2/12*(1+assumptions!$G$70+assumptions!$G$71+IF(29&gt;=assumptions!$G$73,assumptions!$G$72,0))+assumptions!$G$74/12)+IF(29=E25,D25*assumptions!$G$75,0),0)</f>
        <v/>
      </c>
      <c r="AJ25" s="17">
        <f>IF(AND(30&gt;=E25,OR(F25="",30&lt;=F25)),(D25*(1+assumptions!$G$76)^2/12*(1+assumptions!$G$70+assumptions!$G$71+IF(30&gt;=assumptions!$G$73,assumptions!$G$72,0))+assumptions!$G$74/12)+IF(30=E25,D25*assumptions!$G$75,0),0)</f>
        <v/>
      </c>
      <c r="AK25" s="17">
        <f>IF(AND(31&gt;=E25,OR(F25="",31&lt;=F25)),(D25*(1+assumptions!$G$76)^2/12*(1+assumptions!$G$70+assumptions!$G$71+IF(31&gt;=assumptions!$G$73,assumptions!$G$72,0))+assumptions!$G$74/12)+IF(31=E25,D25*assumptions!$G$75,0),0)</f>
        <v/>
      </c>
      <c r="AL25" s="17">
        <f>IF(AND(32&gt;=E25,OR(F25="",32&lt;=F25)),(D25*(1+assumptions!$G$76)^2/12*(1+assumptions!$G$70+assumptions!$G$71+IF(32&gt;=assumptions!$G$73,assumptions!$G$72,0))+assumptions!$G$74/12)+IF(32=E25,D25*assumptions!$G$75,0),0)</f>
        <v/>
      </c>
      <c r="AM25" s="17">
        <f>IF(AND(33&gt;=E25,OR(F25="",33&lt;=F25)),(D25*(1+assumptions!$G$76)^2/12*(1+assumptions!$G$70+assumptions!$G$71+IF(33&gt;=assumptions!$G$73,assumptions!$G$72,0))+assumptions!$G$74/12)+IF(33=E25,D25*assumptions!$G$75,0),0)</f>
        <v/>
      </c>
      <c r="AN25" s="17">
        <f>IF(AND(34&gt;=E25,OR(F25="",34&lt;=F25)),(D25*(1+assumptions!$G$76)^2/12*(1+assumptions!$G$70+assumptions!$G$71+IF(34&gt;=assumptions!$G$73,assumptions!$G$72,0))+assumptions!$G$74/12)+IF(34=E25,D25*assumptions!$G$75,0),0)</f>
        <v/>
      </c>
      <c r="AO25" s="17">
        <f>IF(AND(35&gt;=E25,OR(F25="",35&lt;=F25)),(D25*(1+assumptions!$G$76)^2/12*(1+assumptions!$G$70+assumptions!$G$71+IF(35&gt;=assumptions!$G$73,assumptions!$G$72,0))+assumptions!$G$74/12)+IF(35=E25,D25*assumptions!$G$75,0),0)</f>
        <v/>
      </c>
      <c r="AP25" s="17">
        <f>IF(AND(36&gt;=E25,OR(F25="",36&lt;=F25)),(D25*(1+assumptions!$G$76)^2/12*(1+assumptions!$G$70+assumptions!$G$71+IF(36&gt;=assumptions!$G$73,assumptions!$G$72,0))+assumptions!$G$74/12)+IF(36=E25,D25*assumptions!$G$75,0),0)</f>
        <v/>
      </c>
      <c r="AQ25" s="17">
        <f>IF(AND(37&gt;=E25,OR(F25="",37&lt;=F25)),(D25*(1+assumptions!$G$76)^3/12*(1+assumptions!$G$70+assumptions!$G$71+IF(37&gt;=assumptions!$G$73,assumptions!$G$72,0))+assumptions!$G$74/12)+IF(37=E25,D25*assumptions!$G$75,0),0)</f>
        <v/>
      </c>
      <c r="AR25" s="17">
        <f>IF(AND(38&gt;=E25,OR(F25="",38&lt;=F25)),(D25*(1+assumptions!$G$76)^3/12*(1+assumptions!$G$70+assumptions!$G$71+IF(38&gt;=assumptions!$G$73,assumptions!$G$72,0))+assumptions!$G$74/12)+IF(38=E25,D25*assumptions!$G$75,0),0)</f>
        <v/>
      </c>
      <c r="AS25" s="17">
        <f>IF(AND(39&gt;=E25,OR(F25="",39&lt;=F25)),(D25*(1+assumptions!$G$76)^3/12*(1+assumptions!$G$70+assumptions!$G$71+IF(39&gt;=assumptions!$G$73,assumptions!$G$72,0))+assumptions!$G$74/12)+IF(39=E25,D25*assumptions!$G$75,0),0)</f>
        <v/>
      </c>
      <c r="AT25" s="17">
        <f>IF(AND(40&gt;=E25,OR(F25="",40&lt;=F25)),(D25*(1+assumptions!$G$76)^3/12*(1+assumptions!$G$70+assumptions!$G$71+IF(40&gt;=assumptions!$G$73,assumptions!$G$72,0))+assumptions!$G$74/12)+IF(40=E25,D25*assumptions!$G$75,0),0)</f>
        <v/>
      </c>
      <c r="AU25" s="17">
        <f>IF(AND(41&gt;=E25,OR(F25="",41&lt;=F25)),(D25*(1+assumptions!$G$76)^3/12*(1+assumptions!$G$70+assumptions!$G$71+IF(41&gt;=assumptions!$G$73,assumptions!$G$72,0))+assumptions!$G$74/12)+IF(41=E25,D25*assumptions!$G$75,0),0)</f>
        <v/>
      </c>
      <c r="AV25" s="17">
        <f>IF(AND(42&gt;=E25,OR(F25="",42&lt;=F25)),(D25*(1+assumptions!$G$76)^3/12*(1+assumptions!$G$70+assumptions!$G$71+IF(42&gt;=assumptions!$G$73,assumptions!$G$72,0))+assumptions!$G$74/12)+IF(42=E25,D25*assumptions!$G$75,0),0)</f>
        <v/>
      </c>
      <c r="AW25" s="17">
        <f>IF(AND(43&gt;=E25,OR(F25="",43&lt;=F25)),(D25*(1+assumptions!$G$76)^3/12*(1+assumptions!$G$70+assumptions!$G$71+IF(43&gt;=assumptions!$G$73,assumptions!$G$72,0))+assumptions!$G$74/12)+IF(43=E25,D25*assumptions!$G$75,0),0)</f>
        <v/>
      </c>
      <c r="AX25" s="17">
        <f>IF(AND(44&gt;=E25,OR(F25="",44&lt;=F25)),(D25*(1+assumptions!$G$76)^3/12*(1+assumptions!$G$70+assumptions!$G$71+IF(44&gt;=assumptions!$G$73,assumptions!$G$72,0))+assumptions!$G$74/12)+IF(44=E25,D25*assumptions!$G$75,0),0)</f>
        <v/>
      </c>
      <c r="AY25" s="17">
        <f>IF(AND(45&gt;=E25,OR(F25="",45&lt;=F25)),(D25*(1+assumptions!$G$76)^3/12*(1+assumptions!$G$70+assumptions!$G$71+IF(45&gt;=assumptions!$G$73,assumptions!$G$72,0))+assumptions!$G$74/12)+IF(45=E25,D25*assumptions!$G$75,0),0)</f>
        <v/>
      </c>
      <c r="AZ25" s="17">
        <f>IF(AND(46&gt;=E25,OR(F25="",46&lt;=F25)),(D25*(1+assumptions!$G$76)^3/12*(1+assumptions!$G$70+assumptions!$G$71+IF(46&gt;=assumptions!$G$73,assumptions!$G$72,0))+assumptions!$G$74/12)+IF(46=E25,D25*assumptions!$G$75,0),0)</f>
        <v/>
      </c>
      <c r="BA25" s="17">
        <f>IF(AND(47&gt;=E25,OR(F25="",47&lt;=F25)),(D25*(1+assumptions!$G$76)^3/12*(1+assumptions!$G$70+assumptions!$G$71+IF(47&gt;=assumptions!$G$73,assumptions!$G$72,0))+assumptions!$G$74/12)+IF(47=E25,D25*assumptions!$G$75,0),0)</f>
        <v/>
      </c>
      <c r="BB25" s="17">
        <f>IF(AND(48&gt;=E25,OR(F25="",48&lt;=F25)),(D25*(1+assumptions!$G$76)^3/12*(1+assumptions!$G$70+assumptions!$G$71+IF(48&gt;=assumptions!$G$73,assumptions!$G$72,0))+assumptions!$G$74/12)+IF(48=E25,D25*assumptions!$G$75,0),0)</f>
        <v/>
      </c>
      <c r="BC25" s="17">
        <f>IF(AND(49&gt;=E25,OR(F25="",49&lt;=F25)),(D25*(1+assumptions!$G$76)^4/12*(1+assumptions!$G$70+assumptions!$G$71+IF(49&gt;=assumptions!$G$73,assumptions!$G$72,0))+assumptions!$G$74/12)+IF(49=E25,D25*assumptions!$G$75,0),0)</f>
        <v/>
      </c>
      <c r="BD25" s="17">
        <f>IF(AND(50&gt;=E25,OR(F25="",50&lt;=F25)),(D25*(1+assumptions!$G$76)^4/12*(1+assumptions!$G$70+assumptions!$G$71+IF(50&gt;=assumptions!$G$73,assumptions!$G$72,0))+assumptions!$G$74/12)+IF(50=E25,D25*assumptions!$G$75,0),0)</f>
        <v/>
      </c>
      <c r="BE25" s="17">
        <f>IF(AND(51&gt;=E25,OR(F25="",51&lt;=F25)),(D25*(1+assumptions!$G$76)^4/12*(1+assumptions!$G$70+assumptions!$G$71+IF(51&gt;=assumptions!$G$73,assumptions!$G$72,0))+assumptions!$G$74/12)+IF(51=E25,D25*assumptions!$G$75,0),0)</f>
        <v/>
      </c>
      <c r="BF25" s="17">
        <f>IF(AND(52&gt;=E25,OR(F25="",52&lt;=F25)),(D25*(1+assumptions!$G$76)^4/12*(1+assumptions!$G$70+assumptions!$G$71+IF(52&gt;=assumptions!$G$73,assumptions!$G$72,0))+assumptions!$G$74/12)+IF(52=E25,D25*assumptions!$G$75,0),0)</f>
        <v/>
      </c>
      <c r="BG25" s="17">
        <f>IF(AND(53&gt;=E25,OR(F25="",53&lt;=F25)),(D25*(1+assumptions!$G$76)^4/12*(1+assumptions!$G$70+assumptions!$G$71+IF(53&gt;=assumptions!$G$73,assumptions!$G$72,0))+assumptions!$G$74/12)+IF(53=E25,D25*assumptions!$G$75,0),0)</f>
        <v/>
      </c>
      <c r="BH25" s="17">
        <f>IF(AND(54&gt;=E25,OR(F25="",54&lt;=F25)),(D25*(1+assumptions!$G$76)^4/12*(1+assumptions!$G$70+assumptions!$G$71+IF(54&gt;=assumptions!$G$73,assumptions!$G$72,0))+assumptions!$G$74/12)+IF(54=E25,D25*assumptions!$G$75,0),0)</f>
        <v/>
      </c>
      <c r="BI25" s="17">
        <f>IF(AND(55&gt;=E25,OR(F25="",55&lt;=F25)),(D25*(1+assumptions!$G$76)^4/12*(1+assumptions!$G$70+assumptions!$G$71+IF(55&gt;=assumptions!$G$73,assumptions!$G$72,0))+assumptions!$G$74/12)+IF(55=E25,D25*assumptions!$G$75,0),0)</f>
        <v/>
      </c>
      <c r="BJ25" s="17">
        <f>IF(AND(56&gt;=E25,OR(F25="",56&lt;=F25)),(D25*(1+assumptions!$G$76)^4/12*(1+assumptions!$G$70+assumptions!$G$71+IF(56&gt;=assumptions!$G$73,assumptions!$G$72,0))+assumptions!$G$74/12)+IF(56=E25,D25*assumptions!$G$75,0),0)</f>
        <v/>
      </c>
      <c r="BK25" s="17">
        <f>IF(AND(57&gt;=E25,OR(F25="",57&lt;=F25)),(D25*(1+assumptions!$G$76)^4/12*(1+assumptions!$G$70+assumptions!$G$71+IF(57&gt;=assumptions!$G$73,assumptions!$G$72,0))+assumptions!$G$74/12)+IF(57=E25,D25*assumptions!$G$75,0),0)</f>
        <v/>
      </c>
      <c r="BL25" s="17">
        <f>IF(AND(58&gt;=E25,OR(F25="",58&lt;=F25)),(D25*(1+assumptions!$G$76)^4/12*(1+assumptions!$G$70+assumptions!$G$71+IF(58&gt;=assumptions!$G$73,assumptions!$G$72,0))+assumptions!$G$74/12)+IF(58=E25,D25*assumptions!$G$75,0),0)</f>
        <v/>
      </c>
      <c r="BM25" s="17">
        <f>IF(AND(59&gt;=E25,OR(F25="",59&lt;=F25)),(D25*(1+assumptions!$G$76)^4/12*(1+assumptions!$G$70+assumptions!$G$71+IF(59&gt;=assumptions!$G$73,assumptions!$G$72,0))+assumptions!$G$74/12)+IF(59=E25,D25*assumptions!$G$75,0),0)</f>
        <v/>
      </c>
      <c r="BN25" s="17">
        <f>IF(AND(60&gt;=E25,OR(F25="",60&lt;=F25)),(D25*(1+assumptions!$G$76)^4/12*(1+assumptions!$G$70+assumptions!$G$71+IF(60&gt;=assumptions!$G$73,assumptions!$G$72,0))+assumptions!$G$74/12)+IF(60=E25,D25*assumptions!$G$75,0),0)</f>
        <v/>
      </c>
    </row>
    <row r="26">
      <c r="A26" s="5" t="n">
        <v>23</v>
      </c>
      <c r="B26" s="5" t="inlineStr">
        <is>
          <t>Data analyst</t>
        </is>
      </c>
      <c r="C26" s="5" t="inlineStr">
        <is>
          <t>eng</t>
        </is>
      </c>
      <c r="D26" s="15" t="n">
        <v>65000</v>
      </c>
      <c r="E26" s="32" t="n">
        <v>28</v>
      </c>
      <c r="F26" s="32" t="n"/>
      <c r="G26" s="17">
        <f>IF(AND(1&gt;=E26,OR(F26="",1&lt;=F26)),(D26*(1+assumptions!$G$76)^0/12*(1+assumptions!$G$70+assumptions!$G$71+IF(1&gt;=assumptions!$G$73,assumptions!$G$72,0))+assumptions!$G$74/12)+IF(1=E26,D26*assumptions!$G$75,0),0)</f>
        <v/>
      </c>
      <c r="H26" s="17">
        <f>IF(AND(2&gt;=E26,OR(F26="",2&lt;=F26)),(D26*(1+assumptions!$G$76)^0/12*(1+assumptions!$G$70+assumptions!$G$71+IF(2&gt;=assumptions!$G$73,assumptions!$G$72,0))+assumptions!$G$74/12)+IF(2=E26,D26*assumptions!$G$75,0),0)</f>
        <v/>
      </c>
      <c r="I26" s="17">
        <f>IF(AND(3&gt;=E26,OR(F26="",3&lt;=F26)),(D26*(1+assumptions!$G$76)^0/12*(1+assumptions!$G$70+assumptions!$G$71+IF(3&gt;=assumptions!$G$73,assumptions!$G$72,0))+assumptions!$G$74/12)+IF(3=E26,D26*assumptions!$G$75,0),0)</f>
        <v/>
      </c>
      <c r="J26" s="17">
        <f>IF(AND(4&gt;=E26,OR(F26="",4&lt;=F26)),(D26*(1+assumptions!$G$76)^0/12*(1+assumptions!$G$70+assumptions!$G$71+IF(4&gt;=assumptions!$G$73,assumptions!$G$72,0))+assumptions!$G$74/12)+IF(4=E26,D26*assumptions!$G$75,0),0)</f>
        <v/>
      </c>
      <c r="K26" s="17">
        <f>IF(AND(5&gt;=E26,OR(F26="",5&lt;=F26)),(D26*(1+assumptions!$G$76)^0/12*(1+assumptions!$G$70+assumptions!$G$71+IF(5&gt;=assumptions!$G$73,assumptions!$G$72,0))+assumptions!$G$74/12)+IF(5=E26,D26*assumptions!$G$75,0),0)</f>
        <v/>
      </c>
      <c r="L26" s="17">
        <f>IF(AND(6&gt;=E26,OR(F26="",6&lt;=F26)),(D26*(1+assumptions!$G$76)^0/12*(1+assumptions!$G$70+assumptions!$G$71+IF(6&gt;=assumptions!$G$73,assumptions!$G$72,0))+assumptions!$G$74/12)+IF(6=E26,D26*assumptions!$G$75,0),0)</f>
        <v/>
      </c>
      <c r="M26" s="17">
        <f>IF(AND(7&gt;=E26,OR(F26="",7&lt;=F26)),(D26*(1+assumptions!$G$76)^0/12*(1+assumptions!$G$70+assumptions!$G$71+IF(7&gt;=assumptions!$G$73,assumptions!$G$72,0))+assumptions!$G$74/12)+IF(7=E26,D26*assumptions!$G$75,0),0)</f>
        <v/>
      </c>
      <c r="N26" s="17">
        <f>IF(AND(8&gt;=E26,OR(F26="",8&lt;=F26)),(D26*(1+assumptions!$G$76)^0/12*(1+assumptions!$G$70+assumptions!$G$71+IF(8&gt;=assumptions!$G$73,assumptions!$G$72,0))+assumptions!$G$74/12)+IF(8=E26,D26*assumptions!$G$75,0),0)</f>
        <v/>
      </c>
      <c r="O26" s="17">
        <f>IF(AND(9&gt;=E26,OR(F26="",9&lt;=F26)),(D26*(1+assumptions!$G$76)^0/12*(1+assumptions!$G$70+assumptions!$G$71+IF(9&gt;=assumptions!$G$73,assumptions!$G$72,0))+assumptions!$G$74/12)+IF(9=E26,D26*assumptions!$G$75,0),0)</f>
        <v/>
      </c>
      <c r="P26" s="17">
        <f>IF(AND(10&gt;=E26,OR(F26="",10&lt;=F26)),(D26*(1+assumptions!$G$76)^0/12*(1+assumptions!$G$70+assumptions!$G$71+IF(10&gt;=assumptions!$G$73,assumptions!$G$72,0))+assumptions!$G$74/12)+IF(10=E26,D26*assumptions!$G$75,0),0)</f>
        <v/>
      </c>
      <c r="Q26" s="17">
        <f>IF(AND(11&gt;=E26,OR(F26="",11&lt;=F26)),(D26*(1+assumptions!$G$76)^0/12*(1+assumptions!$G$70+assumptions!$G$71+IF(11&gt;=assumptions!$G$73,assumptions!$G$72,0))+assumptions!$G$74/12)+IF(11=E26,D26*assumptions!$G$75,0),0)</f>
        <v/>
      </c>
      <c r="R26" s="17">
        <f>IF(AND(12&gt;=E26,OR(F26="",12&lt;=F26)),(D26*(1+assumptions!$G$76)^0/12*(1+assumptions!$G$70+assumptions!$G$71+IF(12&gt;=assumptions!$G$73,assumptions!$G$72,0))+assumptions!$G$74/12)+IF(12=E26,D26*assumptions!$G$75,0),0)</f>
        <v/>
      </c>
      <c r="S26" s="17">
        <f>IF(AND(13&gt;=E26,OR(F26="",13&lt;=F26)),(D26*(1+assumptions!$G$76)^1/12*(1+assumptions!$G$70+assumptions!$G$71+IF(13&gt;=assumptions!$G$73,assumptions!$G$72,0))+assumptions!$G$74/12)+IF(13=E26,D26*assumptions!$G$75,0),0)</f>
        <v/>
      </c>
      <c r="T26" s="17">
        <f>IF(AND(14&gt;=E26,OR(F26="",14&lt;=F26)),(D26*(1+assumptions!$G$76)^1/12*(1+assumptions!$G$70+assumptions!$G$71+IF(14&gt;=assumptions!$G$73,assumptions!$G$72,0))+assumptions!$G$74/12)+IF(14=E26,D26*assumptions!$G$75,0),0)</f>
        <v/>
      </c>
      <c r="U26" s="17">
        <f>IF(AND(15&gt;=E26,OR(F26="",15&lt;=F26)),(D26*(1+assumptions!$G$76)^1/12*(1+assumptions!$G$70+assumptions!$G$71+IF(15&gt;=assumptions!$G$73,assumptions!$G$72,0))+assumptions!$G$74/12)+IF(15=E26,D26*assumptions!$G$75,0),0)</f>
        <v/>
      </c>
      <c r="V26" s="17">
        <f>IF(AND(16&gt;=E26,OR(F26="",16&lt;=F26)),(D26*(1+assumptions!$G$76)^1/12*(1+assumptions!$G$70+assumptions!$G$71+IF(16&gt;=assumptions!$G$73,assumptions!$G$72,0))+assumptions!$G$74/12)+IF(16=E26,D26*assumptions!$G$75,0),0)</f>
        <v/>
      </c>
      <c r="W26" s="17">
        <f>IF(AND(17&gt;=E26,OR(F26="",17&lt;=F26)),(D26*(1+assumptions!$G$76)^1/12*(1+assumptions!$G$70+assumptions!$G$71+IF(17&gt;=assumptions!$G$73,assumptions!$G$72,0))+assumptions!$G$74/12)+IF(17=E26,D26*assumptions!$G$75,0),0)</f>
        <v/>
      </c>
      <c r="X26" s="17">
        <f>IF(AND(18&gt;=E26,OR(F26="",18&lt;=F26)),(D26*(1+assumptions!$G$76)^1/12*(1+assumptions!$G$70+assumptions!$G$71+IF(18&gt;=assumptions!$G$73,assumptions!$G$72,0))+assumptions!$G$74/12)+IF(18=E26,D26*assumptions!$G$75,0),0)</f>
        <v/>
      </c>
      <c r="Y26" s="17">
        <f>IF(AND(19&gt;=E26,OR(F26="",19&lt;=F26)),(D26*(1+assumptions!$G$76)^1/12*(1+assumptions!$G$70+assumptions!$G$71+IF(19&gt;=assumptions!$G$73,assumptions!$G$72,0))+assumptions!$G$74/12)+IF(19=E26,D26*assumptions!$G$75,0),0)</f>
        <v/>
      </c>
      <c r="Z26" s="17">
        <f>IF(AND(20&gt;=E26,OR(F26="",20&lt;=F26)),(D26*(1+assumptions!$G$76)^1/12*(1+assumptions!$G$70+assumptions!$G$71+IF(20&gt;=assumptions!$G$73,assumptions!$G$72,0))+assumptions!$G$74/12)+IF(20=E26,D26*assumptions!$G$75,0),0)</f>
        <v/>
      </c>
      <c r="AA26" s="17">
        <f>IF(AND(21&gt;=E26,OR(F26="",21&lt;=F26)),(D26*(1+assumptions!$G$76)^1/12*(1+assumptions!$G$70+assumptions!$G$71+IF(21&gt;=assumptions!$G$73,assumptions!$G$72,0))+assumptions!$G$74/12)+IF(21=E26,D26*assumptions!$G$75,0),0)</f>
        <v/>
      </c>
      <c r="AB26" s="17">
        <f>IF(AND(22&gt;=E26,OR(F26="",22&lt;=F26)),(D26*(1+assumptions!$G$76)^1/12*(1+assumptions!$G$70+assumptions!$G$71+IF(22&gt;=assumptions!$G$73,assumptions!$G$72,0))+assumptions!$G$74/12)+IF(22=E26,D26*assumptions!$G$75,0),0)</f>
        <v/>
      </c>
      <c r="AC26" s="17">
        <f>IF(AND(23&gt;=E26,OR(F26="",23&lt;=F26)),(D26*(1+assumptions!$G$76)^1/12*(1+assumptions!$G$70+assumptions!$G$71+IF(23&gt;=assumptions!$G$73,assumptions!$G$72,0))+assumptions!$G$74/12)+IF(23=E26,D26*assumptions!$G$75,0),0)</f>
        <v/>
      </c>
      <c r="AD26" s="17">
        <f>IF(AND(24&gt;=E26,OR(F26="",24&lt;=F26)),(D26*(1+assumptions!$G$76)^1/12*(1+assumptions!$G$70+assumptions!$G$71+IF(24&gt;=assumptions!$G$73,assumptions!$G$72,0))+assumptions!$G$74/12)+IF(24=E26,D26*assumptions!$G$75,0),0)</f>
        <v/>
      </c>
      <c r="AE26" s="17">
        <f>IF(AND(25&gt;=E26,OR(F26="",25&lt;=F26)),(D26*(1+assumptions!$G$76)^2/12*(1+assumptions!$G$70+assumptions!$G$71+IF(25&gt;=assumptions!$G$73,assumptions!$G$72,0))+assumptions!$G$74/12)+IF(25=E26,D26*assumptions!$G$75,0),0)</f>
        <v/>
      </c>
      <c r="AF26" s="17">
        <f>IF(AND(26&gt;=E26,OR(F26="",26&lt;=F26)),(D26*(1+assumptions!$G$76)^2/12*(1+assumptions!$G$70+assumptions!$G$71+IF(26&gt;=assumptions!$G$73,assumptions!$G$72,0))+assumptions!$G$74/12)+IF(26=E26,D26*assumptions!$G$75,0),0)</f>
        <v/>
      </c>
      <c r="AG26" s="17">
        <f>IF(AND(27&gt;=E26,OR(F26="",27&lt;=F26)),(D26*(1+assumptions!$G$76)^2/12*(1+assumptions!$G$70+assumptions!$G$71+IF(27&gt;=assumptions!$G$73,assumptions!$G$72,0))+assumptions!$G$74/12)+IF(27=E26,D26*assumptions!$G$75,0),0)</f>
        <v/>
      </c>
      <c r="AH26" s="17">
        <f>IF(AND(28&gt;=E26,OR(F26="",28&lt;=F26)),(D26*(1+assumptions!$G$76)^2/12*(1+assumptions!$G$70+assumptions!$G$71+IF(28&gt;=assumptions!$G$73,assumptions!$G$72,0))+assumptions!$G$74/12)+IF(28=E26,D26*assumptions!$G$75,0),0)</f>
        <v/>
      </c>
      <c r="AI26" s="17">
        <f>IF(AND(29&gt;=E26,OR(F26="",29&lt;=F26)),(D26*(1+assumptions!$G$76)^2/12*(1+assumptions!$G$70+assumptions!$G$71+IF(29&gt;=assumptions!$G$73,assumptions!$G$72,0))+assumptions!$G$74/12)+IF(29=E26,D26*assumptions!$G$75,0),0)</f>
        <v/>
      </c>
      <c r="AJ26" s="17">
        <f>IF(AND(30&gt;=E26,OR(F26="",30&lt;=F26)),(D26*(1+assumptions!$G$76)^2/12*(1+assumptions!$G$70+assumptions!$G$71+IF(30&gt;=assumptions!$G$73,assumptions!$G$72,0))+assumptions!$G$74/12)+IF(30=E26,D26*assumptions!$G$75,0),0)</f>
        <v/>
      </c>
      <c r="AK26" s="17">
        <f>IF(AND(31&gt;=E26,OR(F26="",31&lt;=F26)),(D26*(1+assumptions!$G$76)^2/12*(1+assumptions!$G$70+assumptions!$G$71+IF(31&gt;=assumptions!$G$73,assumptions!$G$72,0))+assumptions!$G$74/12)+IF(31=E26,D26*assumptions!$G$75,0),0)</f>
        <v/>
      </c>
      <c r="AL26" s="17">
        <f>IF(AND(32&gt;=E26,OR(F26="",32&lt;=F26)),(D26*(1+assumptions!$G$76)^2/12*(1+assumptions!$G$70+assumptions!$G$71+IF(32&gt;=assumptions!$G$73,assumptions!$G$72,0))+assumptions!$G$74/12)+IF(32=E26,D26*assumptions!$G$75,0),0)</f>
        <v/>
      </c>
      <c r="AM26" s="17">
        <f>IF(AND(33&gt;=E26,OR(F26="",33&lt;=F26)),(D26*(1+assumptions!$G$76)^2/12*(1+assumptions!$G$70+assumptions!$G$71+IF(33&gt;=assumptions!$G$73,assumptions!$G$72,0))+assumptions!$G$74/12)+IF(33=E26,D26*assumptions!$G$75,0),0)</f>
        <v/>
      </c>
      <c r="AN26" s="17">
        <f>IF(AND(34&gt;=E26,OR(F26="",34&lt;=F26)),(D26*(1+assumptions!$G$76)^2/12*(1+assumptions!$G$70+assumptions!$G$71+IF(34&gt;=assumptions!$G$73,assumptions!$G$72,0))+assumptions!$G$74/12)+IF(34=E26,D26*assumptions!$G$75,0),0)</f>
        <v/>
      </c>
      <c r="AO26" s="17">
        <f>IF(AND(35&gt;=E26,OR(F26="",35&lt;=F26)),(D26*(1+assumptions!$G$76)^2/12*(1+assumptions!$G$70+assumptions!$G$71+IF(35&gt;=assumptions!$G$73,assumptions!$G$72,0))+assumptions!$G$74/12)+IF(35=E26,D26*assumptions!$G$75,0),0)</f>
        <v/>
      </c>
      <c r="AP26" s="17">
        <f>IF(AND(36&gt;=E26,OR(F26="",36&lt;=F26)),(D26*(1+assumptions!$G$76)^2/12*(1+assumptions!$G$70+assumptions!$G$71+IF(36&gt;=assumptions!$G$73,assumptions!$G$72,0))+assumptions!$G$74/12)+IF(36=E26,D26*assumptions!$G$75,0),0)</f>
        <v/>
      </c>
      <c r="AQ26" s="17">
        <f>IF(AND(37&gt;=E26,OR(F26="",37&lt;=F26)),(D26*(1+assumptions!$G$76)^3/12*(1+assumptions!$G$70+assumptions!$G$71+IF(37&gt;=assumptions!$G$73,assumptions!$G$72,0))+assumptions!$G$74/12)+IF(37=E26,D26*assumptions!$G$75,0),0)</f>
        <v/>
      </c>
      <c r="AR26" s="17">
        <f>IF(AND(38&gt;=E26,OR(F26="",38&lt;=F26)),(D26*(1+assumptions!$G$76)^3/12*(1+assumptions!$G$70+assumptions!$G$71+IF(38&gt;=assumptions!$G$73,assumptions!$G$72,0))+assumptions!$G$74/12)+IF(38=E26,D26*assumptions!$G$75,0),0)</f>
        <v/>
      </c>
      <c r="AS26" s="17">
        <f>IF(AND(39&gt;=E26,OR(F26="",39&lt;=F26)),(D26*(1+assumptions!$G$76)^3/12*(1+assumptions!$G$70+assumptions!$G$71+IF(39&gt;=assumptions!$G$73,assumptions!$G$72,0))+assumptions!$G$74/12)+IF(39=E26,D26*assumptions!$G$75,0),0)</f>
        <v/>
      </c>
      <c r="AT26" s="17">
        <f>IF(AND(40&gt;=E26,OR(F26="",40&lt;=F26)),(D26*(1+assumptions!$G$76)^3/12*(1+assumptions!$G$70+assumptions!$G$71+IF(40&gt;=assumptions!$G$73,assumptions!$G$72,0))+assumptions!$G$74/12)+IF(40=E26,D26*assumptions!$G$75,0),0)</f>
        <v/>
      </c>
      <c r="AU26" s="17">
        <f>IF(AND(41&gt;=E26,OR(F26="",41&lt;=F26)),(D26*(1+assumptions!$G$76)^3/12*(1+assumptions!$G$70+assumptions!$G$71+IF(41&gt;=assumptions!$G$73,assumptions!$G$72,0))+assumptions!$G$74/12)+IF(41=E26,D26*assumptions!$G$75,0),0)</f>
        <v/>
      </c>
      <c r="AV26" s="17">
        <f>IF(AND(42&gt;=E26,OR(F26="",42&lt;=F26)),(D26*(1+assumptions!$G$76)^3/12*(1+assumptions!$G$70+assumptions!$G$71+IF(42&gt;=assumptions!$G$73,assumptions!$G$72,0))+assumptions!$G$74/12)+IF(42=E26,D26*assumptions!$G$75,0),0)</f>
        <v/>
      </c>
      <c r="AW26" s="17">
        <f>IF(AND(43&gt;=E26,OR(F26="",43&lt;=F26)),(D26*(1+assumptions!$G$76)^3/12*(1+assumptions!$G$70+assumptions!$G$71+IF(43&gt;=assumptions!$G$73,assumptions!$G$72,0))+assumptions!$G$74/12)+IF(43=E26,D26*assumptions!$G$75,0),0)</f>
        <v/>
      </c>
      <c r="AX26" s="17">
        <f>IF(AND(44&gt;=E26,OR(F26="",44&lt;=F26)),(D26*(1+assumptions!$G$76)^3/12*(1+assumptions!$G$70+assumptions!$G$71+IF(44&gt;=assumptions!$G$73,assumptions!$G$72,0))+assumptions!$G$74/12)+IF(44=E26,D26*assumptions!$G$75,0),0)</f>
        <v/>
      </c>
      <c r="AY26" s="17">
        <f>IF(AND(45&gt;=E26,OR(F26="",45&lt;=F26)),(D26*(1+assumptions!$G$76)^3/12*(1+assumptions!$G$70+assumptions!$G$71+IF(45&gt;=assumptions!$G$73,assumptions!$G$72,0))+assumptions!$G$74/12)+IF(45=E26,D26*assumptions!$G$75,0),0)</f>
        <v/>
      </c>
      <c r="AZ26" s="17">
        <f>IF(AND(46&gt;=E26,OR(F26="",46&lt;=F26)),(D26*(1+assumptions!$G$76)^3/12*(1+assumptions!$G$70+assumptions!$G$71+IF(46&gt;=assumptions!$G$73,assumptions!$G$72,0))+assumptions!$G$74/12)+IF(46=E26,D26*assumptions!$G$75,0),0)</f>
        <v/>
      </c>
      <c r="BA26" s="17">
        <f>IF(AND(47&gt;=E26,OR(F26="",47&lt;=F26)),(D26*(1+assumptions!$G$76)^3/12*(1+assumptions!$G$70+assumptions!$G$71+IF(47&gt;=assumptions!$G$73,assumptions!$G$72,0))+assumptions!$G$74/12)+IF(47=E26,D26*assumptions!$G$75,0),0)</f>
        <v/>
      </c>
      <c r="BB26" s="17">
        <f>IF(AND(48&gt;=E26,OR(F26="",48&lt;=F26)),(D26*(1+assumptions!$G$76)^3/12*(1+assumptions!$G$70+assumptions!$G$71+IF(48&gt;=assumptions!$G$73,assumptions!$G$72,0))+assumptions!$G$74/12)+IF(48=E26,D26*assumptions!$G$75,0),0)</f>
        <v/>
      </c>
      <c r="BC26" s="17">
        <f>IF(AND(49&gt;=E26,OR(F26="",49&lt;=F26)),(D26*(1+assumptions!$G$76)^4/12*(1+assumptions!$G$70+assumptions!$G$71+IF(49&gt;=assumptions!$G$73,assumptions!$G$72,0))+assumptions!$G$74/12)+IF(49=E26,D26*assumptions!$G$75,0),0)</f>
        <v/>
      </c>
      <c r="BD26" s="17">
        <f>IF(AND(50&gt;=E26,OR(F26="",50&lt;=F26)),(D26*(1+assumptions!$G$76)^4/12*(1+assumptions!$G$70+assumptions!$G$71+IF(50&gt;=assumptions!$G$73,assumptions!$G$72,0))+assumptions!$G$74/12)+IF(50=E26,D26*assumptions!$G$75,0),0)</f>
        <v/>
      </c>
      <c r="BE26" s="17">
        <f>IF(AND(51&gt;=E26,OR(F26="",51&lt;=F26)),(D26*(1+assumptions!$G$76)^4/12*(1+assumptions!$G$70+assumptions!$G$71+IF(51&gt;=assumptions!$G$73,assumptions!$G$72,0))+assumptions!$G$74/12)+IF(51=E26,D26*assumptions!$G$75,0),0)</f>
        <v/>
      </c>
      <c r="BF26" s="17">
        <f>IF(AND(52&gt;=E26,OR(F26="",52&lt;=F26)),(D26*(1+assumptions!$G$76)^4/12*(1+assumptions!$G$70+assumptions!$G$71+IF(52&gt;=assumptions!$G$73,assumptions!$G$72,0))+assumptions!$G$74/12)+IF(52=E26,D26*assumptions!$G$75,0),0)</f>
        <v/>
      </c>
      <c r="BG26" s="17">
        <f>IF(AND(53&gt;=E26,OR(F26="",53&lt;=F26)),(D26*(1+assumptions!$G$76)^4/12*(1+assumptions!$G$70+assumptions!$G$71+IF(53&gt;=assumptions!$G$73,assumptions!$G$72,0))+assumptions!$G$74/12)+IF(53=E26,D26*assumptions!$G$75,0),0)</f>
        <v/>
      </c>
      <c r="BH26" s="17">
        <f>IF(AND(54&gt;=E26,OR(F26="",54&lt;=F26)),(D26*(1+assumptions!$G$76)^4/12*(1+assumptions!$G$70+assumptions!$G$71+IF(54&gt;=assumptions!$G$73,assumptions!$G$72,0))+assumptions!$G$74/12)+IF(54=E26,D26*assumptions!$G$75,0),0)</f>
        <v/>
      </c>
      <c r="BI26" s="17">
        <f>IF(AND(55&gt;=E26,OR(F26="",55&lt;=F26)),(D26*(1+assumptions!$G$76)^4/12*(1+assumptions!$G$70+assumptions!$G$71+IF(55&gt;=assumptions!$G$73,assumptions!$G$72,0))+assumptions!$G$74/12)+IF(55=E26,D26*assumptions!$G$75,0),0)</f>
        <v/>
      </c>
      <c r="BJ26" s="17">
        <f>IF(AND(56&gt;=E26,OR(F26="",56&lt;=F26)),(D26*(1+assumptions!$G$76)^4/12*(1+assumptions!$G$70+assumptions!$G$71+IF(56&gt;=assumptions!$G$73,assumptions!$G$72,0))+assumptions!$G$74/12)+IF(56=E26,D26*assumptions!$G$75,0),0)</f>
        <v/>
      </c>
      <c r="BK26" s="17">
        <f>IF(AND(57&gt;=E26,OR(F26="",57&lt;=F26)),(D26*(1+assumptions!$G$76)^4/12*(1+assumptions!$G$70+assumptions!$G$71+IF(57&gt;=assumptions!$G$73,assumptions!$G$72,0))+assumptions!$G$74/12)+IF(57=E26,D26*assumptions!$G$75,0),0)</f>
        <v/>
      </c>
      <c r="BL26" s="17">
        <f>IF(AND(58&gt;=E26,OR(F26="",58&lt;=F26)),(D26*(1+assumptions!$G$76)^4/12*(1+assumptions!$G$70+assumptions!$G$71+IF(58&gt;=assumptions!$G$73,assumptions!$G$72,0))+assumptions!$G$74/12)+IF(58=E26,D26*assumptions!$G$75,0),0)</f>
        <v/>
      </c>
      <c r="BM26" s="17">
        <f>IF(AND(59&gt;=E26,OR(F26="",59&lt;=F26)),(D26*(1+assumptions!$G$76)^4/12*(1+assumptions!$G$70+assumptions!$G$71+IF(59&gt;=assumptions!$G$73,assumptions!$G$72,0))+assumptions!$G$74/12)+IF(59=E26,D26*assumptions!$G$75,0),0)</f>
        <v/>
      </c>
      <c r="BN26" s="17">
        <f>IF(AND(60&gt;=E26,OR(F26="",60&lt;=F26)),(D26*(1+assumptions!$G$76)^4/12*(1+assumptions!$G$70+assumptions!$G$71+IF(60&gt;=assumptions!$G$73,assumptions!$G$72,0))+assumptions!$G$74/12)+IF(60=E26,D26*assumptions!$G$75,0),0)</f>
        <v/>
      </c>
    </row>
    <row r="27">
      <c r="A27" s="5" t="n">
        <v>24</v>
      </c>
      <c r="B27" s="5" t="inlineStr">
        <is>
          <t>Operator partnerships manager</t>
        </is>
      </c>
      <c r="C27" s="5" t="inlineStr">
        <is>
          <t>supply</t>
        </is>
      </c>
      <c r="D27" s="15" t="n">
        <v>65000</v>
      </c>
      <c r="E27" s="32" t="n">
        <v>30</v>
      </c>
      <c r="F27" s="32" t="n"/>
      <c r="G27" s="17">
        <f>IF(AND(1&gt;=E27,OR(F27="",1&lt;=F27)),(D27*(1+assumptions!$G$76)^0/12*(1+assumptions!$G$70+assumptions!$G$71+IF(1&gt;=assumptions!$G$73,assumptions!$G$72,0))+assumptions!$G$74/12)+IF(1=E27,D27*assumptions!$G$75,0),0)</f>
        <v/>
      </c>
      <c r="H27" s="17">
        <f>IF(AND(2&gt;=E27,OR(F27="",2&lt;=F27)),(D27*(1+assumptions!$G$76)^0/12*(1+assumptions!$G$70+assumptions!$G$71+IF(2&gt;=assumptions!$G$73,assumptions!$G$72,0))+assumptions!$G$74/12)+IF(2=E27,D27*assumptions!$G$75,0),0)</f>
        <v/>
      </c>
      <c r="I27" s="17">
        <f>IF(AND(3&gt;=E27,OR(F27="",3&lt;=F27)),(D27*(1+assumptions!$G$76)^0/12*(1+assumptions!$G$70+assumptions!$G$71+IF(3&gt;=assumptions!$G$73,assumptions!$G$72,0))+assumptions!$G$74/12)+IF(3=E27,D27*assumptions!$G$75,0),0)</f>
        <v/>
      </c>
      <c r="J27" s="17">
        <f>IF(AND(4&gt;=E27,OR(F27="",4&lt;=F27)),(D27*(1+assumptions!$G$76)^0/12*(1+assumptions!$G$70+assumptions!$G$71+IF(4&gt;=assumptions!$G$73,assumptions!$G$72,0))+assumptions!$G$74/12)+IF(4=E27,D27*assumptions!$G$75,0),0)</f>
        <v/>
      </c>
      <c r="K27" s="17">
        <f>IF(AND(5&gt;=E27,OR(F27="",5&lt;=F27)),(D27*(1+assumptions!$G$76)^0/12*(1+assumptions!$G$70+assumptions!$G$71+IF(5&gt;=assumptions!$G$73,assumptions!$G$72,0))+assumptions!$G$74/12)+IF(5=E27,D27*assumptions!$G$75,0),0)</f>
        <v/>
      </c>
      <c r="L27" s="17">
        <f>IF(AND(6&gt;=E27,OR(F27="",6&lt;=F27)),(D27*(1+assumptions!$G$76)^0/12*(1+assumptions!$G$70+assumptions!$G$71+IF(6&gt;=assumptions!$G$73,assumptions!$G$72,0))+assumptions!$G$74/12)+IF(6=E27,D27*assumptions!$G$75,0),0)</f>
        <v/>
      </c>
      <c r="M27" s="17">
        <f>IF(AND(7&gt;=E27,OR(F27="",7&lt;=F27)),(D27*(1+assumptions!$G$76)^0/12*(1+assumptions!$G$70+assumptions!$G$71+IF(7&gt;=assumptions!$G$73,assumptions!$G$72,0))+assumptions!$G$74/12)+IF(7=E27,D27*assumptions!$G$75,0),0)</f>
        <v/>
      </c>
      <c r="N27" s="17">
        <f>IF(AND(8&gt;=E27,OR(F27="",8&lt;=F27)),(D27*(1+assumptions!$G$76)^0/12*(1+assumptions!$G$70+assumptions!$G$71+IF(8&gt;=assumptions!$G$73,assumptions!$G$72,0))+assumptions!$G$74/12)+IF(8=E27,D27*assumptions!$G$75,0),0)</f>
        <v/>
      </c>
      <c r="O27" s="17">
        <f>IF(AND(9&gt;=E27,OR(F27="",9&lt;=F27)),(D27*(1+assumptions!$G$76)^0/12*(1+assumptions!$G$70+assumptions!$G$71+IF(9&gt;=assumptions!$G$73,assumptions!$G$72,0))+assumptions!$G$74/12)+IF(9=E27,D27*assumptions!$G$75,0),0)</f>
        <v/>
      </c>
      <c r="P27" s="17">
        <f>IF(AND(10&gt;=E27,OR(F27="",10&lt;=F27)),(D27*(1+assumptions!$G$76)^0/12*(1+assumptions!$G$70+assumptions!$G$71+IF(10&gt;=assumptions!$G$73,assumptions!$G$72,0))+assumptions!$G$74/12)+IF(10=E27,D27*assumptions!$G$75,0),0)</f>
        <v/>
      </c>
      <c r="Q27" s="17">
        <f>IF(AND(11&gt;=E27,OR(F27="",11&lt;=F27)),(D27*(1+assumptions!$G$76)^0/12*(1+assumptions!$G$70+assumptions!$G$71+IF(11&gt;=assumptions!$G$73,assumptions!$G$72,0))+assumptions!$G$74/12)+IF(11=E27,D27*assumptions!$G$75,0),0)</f>
        <v/>
      </c>
      <c r="R27" s="17">
        <f>IF(AND(12&gt;=E27,OR(F27="",12&lt;=F27)),(D27*(1+assumptions!$G$76)^0/12*(1+assumptions!$G$70+assumptions!$G$71+IF(12&gt;=assumptions!$G$73,assumptions!$G$72,0))+assumptions!$G$74/12)+IF(12=E27,D27*assumptions!$G$75,0),0)</f>
        <v/>
      </c>
      <c r="S27" s="17">
        <f>IF(AND(13&gt;=E27,OR(F27="",13&lt;=F27)),(D27*(1+assumptions!$G$76)^1/12*(1+assumptions!$G$70+assumptions!$G$71+IF(13&gt;=assumptions!$G$73,assumptions!$G$72,0))+assumptions!$G$74/12)+IF(13=E27,D27*assumptions!$G$75,0),0)</f>
        <v/>
      </c>
      <c r="T27" s="17">
        <f>IF(AND(14&gt;=E27,OR(F27="",14&lt;=F27)),(D27*(1+assumptions!$G$76)^1/12*(1+assumptions!$G$70+assumptions!$G$71+IF(14&gt;=assumptions!$G$73,assumptions!$G$72,0))+assumptions!$G$74/12)+IF(14=E27,D27*assumptions!$G$75,0),0)</f>
        <v/>
      </c>
      <c r="U27" s="17">
        <f>IF(AND(15&gt;=E27,OR(F27="",15&lt;=F27)),(D27*(1+assumptions!$G$76)^1/12*(1+assumptions!$G$70+assumptions!$G$71+IF(15&gt;=assumptions!$G$73,assumptions!$G$72,0))+assumptions!$G$74/12)+IF(15=E27,D27*assumptions!$G$75,0),0)</f>
        <v/>
      </c>
      <c r="V27" s="17">
        <f>IF(AND(16&gt;=E27,OR(F27="",16&lt;=F27)),(D27*(1+assumptions!$G$76)^1/12*(1+assumptions!$G$70+assumptions!$G$71+IF(16&gt;=assumptions!$G$73,assumptions!$G$72,0))+assumptions!$G$74/12)+IF(16=E27,D27*assumptions!$G$75,0),0)</f>
        <v/>
      </c>
      <c r="W27" s="17">
        <f>IF(AND(17&gt;=E27,OR(F27="",17&lt;=F27)),(D27*(1+assumptions!$G$76)^1/12*(1+assumptions!$G$70+assumptions!$G$71+IF(17&gt;=assumptions!$G$73,assumptions!$G$72,0))+assumptions!$G$74/12)+IF(17=E27,D27*assumptions!$G$75,0),0)</f>
        <v/>
      </c>
      <c r="X27" s="17">
        <f>IF(AND(18&gt;=E27,OR(F27="",18&lt;=F27)),(D27*(1+assumptions!$G$76)^1/12*(1+assumptions!$G$70+assumptions!$G$71+IF(18&gt;=assumptions!$G$73,assumptions!$G$72,0))+assumptions!$G$74/12)+IF(18=E27,D27*assumptions!$G$75,0),0)</f>
        <v/>
      </c>
      <c r="Y27" s="17">
        <f>IF(AND(19&gt;=E27,OR(F27="",19&lt;=F27)),(D27*(1+assumptions!$G$76)^1/12*(1+assumptions!$G$70+assumptions!$G$71+IF(19&gt;=assumptions!$G$73,assumptions!$G$72,0))+assumptions!$G$74/12)+IF(19=E27,D27*assumptions!$G$75,0),0)</f>
        <v/>
      </c>
      <c r="Z27" s="17">
        <f>IF(AND(20&gt;=E27,OR(F27="",20&lt;=F27)),(D27*(1+assumptions!$G$76)^1/12*(1+assumptions!$G$70+assumptions!$G$71+IF(20&gt;=assumptions!$G$73,assumptions!$G$72,0))+assumptions!$G$74/12)+IF(20=E27,D27*assumptions!$G$75,0),0)</f>
        <v/>
      </c>
      <c r="AA27" s="17">
        <f>IF(AND(21&gt;=E27,OR(F27="",21&lt;=F27)),(D27*(1+assumptions!$G$76)^1/12*(1+assumptions!$G$70+assumptions!$G$71+IF(21&gt;=assumptions!$G$73,assumptions!$G$72,0))+assumptions!$G$74/12)+IF(21=E27,D27*assumptions!$G$75,0),0)</f>
        <v/>
      </c>
      <c r="AB27" s="17">
        <f>IF(AND(22&gt;=E27,OR(F27="",22&lt;=F27)),(D27*(1+assumptions!$G$76)^1/12*(1+assumptions!$G$70+assumptions!$G$71+IF(22&gt;=assumptions!$G$73,assumptions!$G$72,0))+assumptions!$G$74/12)+IF(22=E27,D27*assumptions!$G$75,0),0)</f>
        <v/>
      </c>
      <c r="AC27" s="17">
        <f>IF(AND(23&gt;=E27,OR(F27="",23&lt;=F27)),(D27*(1+assumptions!$G$76)^1/12*(1+assumptions!$G$70+assumptions!$G$71+IF(23&gt;=assumptions!$G$73,assumptions!$G$72,0))+assumptions!$G$74/12)+IF(23=E27,D27*assumptions!$G$75,0),0)</f>
        <v/>
      </c>
      <c r="AD27" s="17">
        <f>IF(AND(24&gt;=E27,OR(F27="",24&lt;=F27)),(D27*(1+assumptions!$G$76)^1/12*(1+assumptions!$G$70+assumptions!$G$71+IF(24&gt;=assumptions!$G$73,assumptions!$G$72,0))+assumptions!$G$74/12)+IF(24=E27,D27*assumptions!$G$75,0),0)</f>
        <v/>
      </c>
      <c r="AE27" s="17">
        <f>IF(AND(25&gt;=E27,OR(F27="",25&lt;=F27)),(D27*(1+assumptions!$G$76)^2/12*(1+assumptions!$G$70+assumptions!$G$71+IF(25&gt;=assumptions!$G$73,assumptions!$G$72,0))+assumptions!$G$74/12)+IF(25=E27,D27*assumptions!$G$75,0),0)</f>
        <v/>
      </c>
      <c r="AF27" s="17">
        <f>IF(AND(26&gt;=E27,OR(F27="",26&lt;=F27)),(D27*(1+assumptions!$G$76)^2/12*(1+assumptions!$G$70+assumptions!$G$71+IF(26&gt;=assumptions!$G$73,assumptions!$G$72,0))+assumptions!$G$74/12)+IF(26=E27,D27*assumptions!$G$75,0),0)</f>
        <v/>
      </c>
      <c r="AG27" s="17">
        <f>IF(AND(27&gt;=E27,OR(F27="",27&lt;=F27)),(D27*(1+assumptions!$G$76)^2/12*(1+assumptions!$G$70+assumptions!$G$71+IF(27&gt;=assumptions!$G$73,assumptions!$G$72,0))+assumptions!$G$74/12)+IF(27=E27,D27*assumptions!$G$75,0),0)</f>
        <v/>
      </c>
      <c r="AH27" s="17">
        <f>IF(AND(28&gt;=E27,OR(F27="",28&lt;=F27)),(D27*(1+assumptions!$G$76)^2/12*(1+assumptions!$G$70+assumptions!$G$71+IF(28&gt;=assumptions!$G$73,assumptions!$G$72,0))+assumptions!$G$74/12)+IF(28=E27,D27*assumptions!$G$75,0),0)</f>
        <v/>
      </c>
      <c r="AI27" s="17">
        <f>IF(AND(29&gt;=E27,OR(F27="",29&lt;=F27)),(D27*(1+assumptions!$G$76)^2/12*(1+assumptions!$G$70+assumptions!$G$71+IF(29&gt;=assumptions!$G$73,assumptions!$G$72,0))+assumptions!$G$74/12)+IF(29=E27,D27*assumptions!$G$75,0),0)</f>
        <v/>
      </c>
      <c r="AJ27" s="17">
        <f>IF(AND(30&gt;=E27,OR(F27="",30&lt;=F27)),(D27*(1+assumptions!$G$76)^2/12*(1+assumptions!$G$70+assumptions!$G$71+IF(30&gt;=assumptions!$G$73,assumptions!$G$72,0))+assumptions!$G$74/12)+IF(30=E27,D27*assumptions!$G$75,0),0)</f>
        <v/>
      </c>
      <c r="AK27" s="17">
        <f>IF(AND(31&gt;=E27,OR(F27="",31&lt;=F27)),(D27*(1+assumptions!$G$76)^2/12*(1+assumptions!$G$70+assumptions!$G$71+IF(31&gt;=assumptions!$G$73,assumptions!$G$72,0))+assumptions!$G$74/12)+IF(31=E27,D27*assumptions!$G$75,0),0)</f>
        <v/>
      </c>
      <c r="AL27" s="17">
        <f>IF(AND(32&gt;=E27,OR(F27="",32&lt;=F27)),(D27*(1+assumptions!$G$76)^2/12*(1+assumptions!$G$70+assumptions!$G$71+IF(32&gt;=assumptions!$G$73,assumptions!$G$72,0))+assumptions!$G$74/12)+IF(32=E27,D27*assumptions!$G$75,0),0)</f>
        <v/>
      </c>
      <c r="AM27" s="17">
        <f>IF(AND(33&gt;=E27,OR(F27="",33&lt;=F27)),(D27*(1+assumptions!$G$76)^2/12*(1+assumptions!$G$70+assumptions!$G$71+IF(33&gt;=assumptions!$G$73,assumptions!$G$72,0))+assumptions!$G$74/12)+IF(33=E27,D27*assumptions!$G$75,0),0)</f>
        <v/>
      </c>
      <c r="AN27" s="17">
        <f>IF(AND(34&gt;=E27,OR(F27="",34&lt;=F27)),(D27*(1+assumptions!$G$76)^2/12*(1+assumptions!$G$70+assumptions!$G$71+IF(34&gt;=assumptions!$G$73,assumptions!$G$72,0))+assumptions!$G$74/12)+IF(34=E27,D27*assumptions!$G$75,0),0)</f>
        <v/>
      </c>
      <c r="AO27" s="17">
        <f>IF(AND(35&gt;=E27,OR(F27="",35&lt;=F27)),(D27*(1+assumptions!$G$76)^2/12*(1+assumptions!$G$70+assumptions!$G$71+IF(35&gt;=assumptions!$G$73,assumptions!$G$72,0))+assumptions!$G$74/12)+IF(35=E27,D27*assumptions!$G$75,0),0)</f>
        <v/>
      </c>
      <c r="AP27" s="17">
        <f>IF(AND(36&gt;=E27,OR(F27="",36&lt;=F27)),(D27*(1+assumptions!$G$76)^2/12*(1+assumptions!$G$70+assumptions!$G$71+IF(36&gt;=assumptions!$G$73,assumptions!$G$72,0))+assumptions!$G$74/12)+IF(36=E27,D27*assumptions!$G$75,0),0)</f>
        <v/>
      </c>
      <c r="AQ27" s="17">
        <f>IF(AND(37&gt;=E27,OR(F27="",37&lt;=F27)),(D27*(1+assumptions!$G$76)^3/12*(1+assumptions!$G$70+assumptions!$G$71+IF(37&gt;=assumptions!$G$73,assumptions!$G$72,0))+assumptions!$G$74/12)+IF(37=E27,D27*assumptions!$G$75,0),0)</f>
        <v/>
      </c>
      <c r="AR27" s="17">
        <f>IF(AND(38&gt;=E27,OR(F27="",38&lt;=F27)),(D27*(1+assumptions!$G$76)^3/12*(1+assumptions!$G$70+assumptions!$G$71+IF(38&gt;=assumptions!$G$73,assumptions!$G$72,0))+assumptions!$G$74/12)+IF(38=E27,D27*assumptions!$G$75,0),0)</f>
        <v/>
      </c>
      <c r="AS27" s="17">
        <f>IF(AND(39&gt;=E27,OR(F27="",39&lt;=F27)),(D27*(1+assumptions!$G$76)^3/12*(1+assumptions!$G$70+assumptions!$G$71+IF(39&gt;=assumptions!$G$73,assumptions!$G$72,0))+assumptions!$G$74/12)+IF(39=E27,D27*assumptions!$G$75,0),0)</f>
        <v/>
      </c>
      <c r="AT27" s="17">
        <f>IF(AND(40&gt;=E27,OR(F27="",40&lt;=F27)),(D27*(1+assumptions!$G$76)^3/12*(1+assumptions!$G$70+assumptions!$G$71+IF(40&gt;=assumptions!$G$73,assumptions!$G$72,0))+assumptions!$G$74/12)+IF(40=E27,D27*assumptions!$G$75,0),0)</f>
        <v/>
      </c>
      <c r="AU27" s="17">
        <f>IF(AND(41&gt;=E27,OR(F27="",41&lt;=F27)),(D27*(1+assumptions!$G$76)^3/12*(1+assumptions!$G$70+assumptions!$G$71+IF(41&gt;=assumptions!$G$73,assumptions!$G$72,0))+assumptions!$G$74/12)+IF(41=E27,D27*assumptions!$G$75,0),0)</f>
        <v/>
      </c>
      <c r="AV27" s="17">
        <f>IF(AND(42&gt;=E27,OR(F27="",42&lt;=F27)),(D27*(1+assumptions!$G$76)^3/12*(1+assumptions!$G$70+assumptions!$G$71+IF(42&gt;=assumptions!$G$73,assumptions!$G$72,0))+assumptions!$G$74/12)+IF(42=E27,D27*assumptions!$G$75,0),0)</f>
        <v/>
      </c>
      <c r="AW27" s="17">
        <f>IF(AND(43&gt;=E27,OR(F27="",43&lt;=F27)),(D27*(1+assumptions!$G$76)^3/12*(1+assumptions!$G$70+assumptions!$G$71+IF(43&gt;=assumptions!$G$73,assumptions!$G$72,0))+assumptions!$G$74/12)+IF(43=E27,D27*assumptions!$G$75,0),0)</f>
        <v/>
      </c>
      <c r="AX27" s="17">
        <f>IF(AND(44&gt;=E27,OR(F27="",44&lt;=F27)),(D27*(1+assumptions!$G$76)^3/12*(1+assumptions!$G$70+assumptions!$G$71+IF(44&gt;=assumptions!$G$73,assumptions!$G$72,0))+assumptions!$G$74/12)+IF(44=E27,D27*assumptions!$G$75,0),0)</f>
        <v/>
      </c>
      <c r="AY27" s="17">
        <f>IF(AND(45&gt;=E27,OR(F27="",45&lt;=F27)),(D27*(1+assumptions!$G$76)^3/12*(1+assumptions!$G$70+assumptions!$G$71+IF(45&gt;=assumptions!$G$73,assumptions!$G$72,0))+assumptions!$G$74/12)+IF(45=E27,D27*assumptions!$G$75,0),0)</f>
        <v/>
      </c>
      <c r="AZ27" s="17">
        <f>IF(AND(46&gt;=E27,OR(F27="",46&lt;=F27)),(D27*(1+assumptions!$G$76)^3/12*(1+assumptions!$G$70+assumptions!$G$71+IF(46&gt;=assumptions!$G$73,assumptions!$G$72,0))+assumptions!$G$74/12)+IF(46=E27,D27*assumptions!$G$75,0),0)</f>
        <v/>
      </c>
      <c r="BA27" s="17">
        <f>IF(AND(47&gt;=E27,OR(F27="",47&lt;=F27)),(D27*(1+assumptions!$G$76)^3/12*(1+assumptions!$G$70+assumptions!$G$71+IF(47&gt;=assumptions!$G$73,assumptions!$G$72,0))+assumptions!$G$74/12)+IF(47=E27,D27*assumptions!$G$75,0),0)</f>
        <v/>
      </c>
      <c r="BB27" s="17">
        <f>IF(AND(48&gt;=E27,OR(F27="",48&lt;=F27)),(D27*(1+assumptions!$G$76)^3/12*(1+assumptions!$G$70+assumptions!$G$71+IF(48&gt;=assumptions!$G$73,assumptions!$G$72,0))+assumptions!$G$74/12)+IF(48=E27,D27*assumptions!$G$75,0),0)</f>
        <v/>
      </c>
      <c r="BC27" s="17">
        <f>IF(AND(49&gt;=E27,OR(F27="",49&lt;=F27)),(D27*(1+assumptions!$G$76)^4/12*(1+assumptions!$G$70+assumptions!$G$71+IF(49&gt;=assumptions!$G$73,assumptions!$G$72,0))+assumptions!$G$74/12)+IF(49=E27,D27*assumptions!$G$75,0),0)</f>
        <v/>
      </c>
      <c r="BD27" s="17">
        <f>IF(AND(50&gt;=E27,OR(F27="",50&lt;=F27)),(D27*(1+assumptions!$G$76)^4/12*(1+assumptions!$G$70+assumptions!$G$71+IF(50&gt;=assumptions!$G$73,assumptions!$G$72,0))+assumptions!$G$74/12)+IF(50=E27,D27*assumptions!$G$75,0),0)</f>
        <v/>
      </c>
      <c r="BE27" s="17">
        <f>IF(AND(51&gt;=E27,OR(F27="",51&lt;=F27)),(D27*(1+assumptions!$G$76)^4/12*(1+assumptions!$G$70+assumptions!$G$71+IF(51&gt;=assumptions!$G$73,assumptions!$G$72,0))+assumptions!$G$74/12)+IF(51=E27,D27*assumptions!$G$75,0),0)</f>
        <v/>
      </c>
      <c r="BF27" s="17">
        <f>IF(AND(52&gt;=E27,OR(F27="",52&lt;=F27)),(D27*(1+assumptions!$G$76)^4/12*(1+assumptions!$G$70+assumptions!$G$71+IF(52&gt;=assumptions!$G$73,assumptions!$G$72,0))+assumptions!$G$74/12)+IF(52=E27,D27*assumptions!$G$75,0),0)</f>
        <v/>
      </c>
      <c r="BG27" s="17">
        <f>IF(AND(53&gt;=E27,OR(F27="",53&lt;=F27)),(D27*(1+assumptions!$G$76)^4/12*(1+assumptions!$G$70+assumptions!$G$71+IF(53&gt;=assumptions!$G$73,assumptions!$G$72,0))+assumptions!$G$74/12)+IF(53=E27,D27*assumptions!$G$75,0),0)</f>
        <v/>
      </c>
      <c r="BH27" s="17">
        <f>IF(AND(54&gt;=E27,OR(F27="",54&lt;=F27)),(D27*(1+assumptions!$G$76)^4/12*(1+assumptions!$G$70+assumptions!$G$71+IF(54&gt;=assumptions!$G$73,assumptions!$G$72,0))+assumptions!$G$74/12)+IF(54=E27,D27*assumptions!$G$75,0),0)</f>
        <v/>
      </c>
      <c r="BI27" s="17">
        <f>IF(AND(55&gt;=E27,OR(F27="",55&lt;=F27)),(D27*(1+assumptions!$G$76)^4/12*(1+assumptions!$G$70+assumptions!$G$71+IF(55&gt;=assumptions!$G$73,assumptions!$G$72,0))+assumptions!$G$74/12)+IF(55=E27,D27*assumptions!$G$75,0),0)</f>
        <v/>
      </c>
      <c r="BJ27" s="17">
        <f>IF(AND(56&gt;=E27,OR(F27="",56&lt;=F27)),(D27*(1+assumptions!$G$76)^4/12*(1+assumptions!$G$70+assumptions!$G$71+IF(56&gt;=assumptions!$G$73,assumptions!$G$72,0))+assumptions!$G$74/12)+IF(56=E27,D27*assumptions!$G$75,0),0)</f>
        <v/>
      </c>
      <c r="BK27" s="17">
        <f>IF(AND(57&gt;=E27,OR(F27="",57&lt;=F27)),(D27*(1+assumptions!$G$76)^4/12*(1+assumptions!$G$70+assumptions!$G$71+IF(57&gt;=assumptions!$G$73,assumptions!$G$72,0))+assumptions!$G$74/12)+IF(57=E27,D27*assumptions!$G$75,0),0)</f>
        <v/>
      </c>
      <c r="BL27" s="17">
        <f>IF(AND(58&gt;=E27,OR(F27="",58&lt;=F27)),(D27*(1+assumptions!$G$76)^4/12*(1+assumptions!$G$70+assumptions!$G$71+IF(58&gt;=assumptions!$G$73,assumptions!$G$72,0))+assumptions!$G$74/12)+IF(58=E27,D27*assumptions!$G$75,0),0)</f>
        <v/>
      </c>
      <c r="BM27" s="17">
        <f>IF(AND(59&gt;=E27,OR(F27="",59&lt;=F27)),(D27*(1+assumptions!$G$76)^4/12*(1+assumptions!$G$70+assumptions!$G$71+IF(59&gt;=assumptions!$G$73,assumptions!$G$72,0))+assumptions!$G$74/12)+IF(59=E27,D27*assumptions!$G$75,0),0)</f>
        <v/>
      </c>
      <c r="BN27" s="17">
        <f>IF(AND(60&gt;=E27,OR(F27="",60&lt;=F27)),(D27*(1+assumptions!$G$76)^4/12*(1+assumptions!$G$70+assumptions!$G$71+IF(60&gt;=assumptions!$G$73,assumptions!$G$72,0))+assumptions!$G$74/12)+IF(60=E27,D27*assumptions!$G$75,0),0)</f>
        <v/>
      </c>
    </row>
    <row r="28">
      <c r="A28" s="5" t="n">
        <v>25</v>
      </c>
      <c r="B28" s="5" t="inlineStr">
        <is>
          <t>Finance manager</t>
        </is>
      </c>
      <c r="C28" s="5" t="inlineStr">
        <is>
          <t>ga</t>
        </is>
      </c>
      <c r="D28" s="15" t="n">
        <v>70000</v>
      </c>
      <c r="E28" s="32" t="n">
        <v>32</v>
      </c>
      <c r="F28" s="32" t="n"/>
      <c r="G28" s="17">
        <f>IF(AND(1&gt;=E28,OR(F28="",1&lt;=F28)),(D28*(1+assumptions!$G$76)^0/12*(1+assumptions!$G$70+assumptions!$G$71+IF(1&gt;=assumptions!$G$73,assumptions!$G$72,0))+assumptions!$G$74/12)+IF(1=E28,D28*assumptions!$G$75,0),0)</f>
        <v/>
      </c>
      <c r="H28" s="17">
        <f>IF(AND(2&gt;=E28,OR(F28="",2&lt;=F28)),(D28*(1+assumptions!$G$76)^0/12*(1+assumptions!$G$70+assumptions!$G$71+IF(2&gt;=assumptions!$G$73,assumptions!$G$72,0))+assumptions!$G$74/12)+IF(2=E28,D28*assumptions!$G$75,0),0)</f>
        <v/>
      </c>
      <c r="I28" s="17">
        <f>IF(AND(3&gt;=E28,OR(F28="",3&lt;=F28)),(D28*(1+assumptions!$G$76)^0/12*(1+assumptions!$G$70+assumptions!$G$71+IF(3&gt;=assumptions!$G$73,assumptions!$G$72,0))+assumptions!$G$74/12)+IF(3=E28,D28*assumptions!$G$75,0),0)</f>
        <v/>
      </c>
      <c r="J28" s="17">
        <f>IF(AND(4&gt;=E28,OR(F28="",4&lt;=F28)),(D28*(1+assumptions!$G$76)^0/12*(1+assumptions!$G$70+assumptions!$G$71+IF(4&gt;=assumptions!$G$73,assumptions!$G$72,0))+assumptions!$G$74/12)+IF(4=E28,D28*assumptions!$G$75,0),0)</f>
        <v/>
      </c>
      <c r="K28" s="17">
        <f>IF(AND(5&gt;=E28,OR(F28="",5&lt;=F28)),(D28*(1+assumptions!$G$76)^0/12*(1+assumptions!$G$70+assumptions!$G$71+IF(5&gt;=assumptions!$G$73,assumptions!$G$72,0))+assumptions!$G$74/12)+IF(5=E28,D28*assumptions!$G$75,0),0)</f>
        <v/>
      </c>
      <c r="L28" s="17">
        <f>IF(AND(6&gt;=E28,OR(F28="",6&lt;=F28)),(D28*(1+assumptions!$G$76)^0/12*(1+assumptions!$G$70+assumptions!$G$71+IF(6&gt;=assumptions!$G$73,assumptions!$G$72,0))+assumptions!$G$74/12)+IF(6=E28,D28*assumptions!$G$75,0),0)</f>
        <v/>
      </c>
      <c r="M28" s="17">
        <f>IF(AND(7&gt;=E28,OR(F28="",7&lt;=F28)),(D28*(1+assumptions!$G$76)^0/12*(1+assumptions!$G$70+assumptions!$G$71+IF(7&gt;=assumptions!$G$73,assumptions!$G$72,0))+assumptions!$G$74/12)+IF(7=E28,D28*assumptions!$G$75,0),0)</f>
        <v/>
      </c>
      <c r="N28" s="17">
        <f>IF(AND(8&gt;=E28,OR(F28="",8&lt;=F28)),(D28*(1+assumptions!$G$76)^0/12*(1+assumptions!$G$70+assumptions!$G$71+IF(8&gt;=assumptions!$G$73,assumptions!$G$72,0))+assumptions!$G$74/12)+IF(8=E28,D28*assumptions!$G$75,0),0)</f>
        <v/>
      </c>
      <c r="O28" s="17">
        <f>IF(AND(9&gt;=E28,OR(F28="",9&lt;=F28)),(D28*(1+assumptions!$G$76)^0/12*(1+assumptions!$G$70+assumptions!$G$71+IF(9&gt;=assumptions!$G$73,assumptions!$G$72,0))+assumptions!$G$74/12)+IF(9=E28,D28*assumptions!$G$75,0),0)</f>
        <v/>
      </c>
      <c r="P28" s="17">
        <f>IF(AND(10&gt;=E28,OR(F28="",10&lt;=F28)),(D28*(1+assumptions!$G$76)^0/12*(1+assumptions!$G$70+assumptions!$G$71+IF(10&gt;=assumptions!$G$73,assumptions!$G$72,0))+assumptions!$G$74/12)+IF(10=E28,D28*assumptions!$G$75,0),0)</f>
        <v/>
      </c>
      <c r="Q28" s="17">
        <f>IF(AND(11&gt;=E28,OR(F28="",11&lt;=F28)),(D28*(1+assumptions!$G$76)^0/12*(1+assumptions!$G$70+assumptions!$G$71+IF(11&gt;=assumptions!$G$73,assumptions!$G$72,0))+assumptions!$G$74/12)+IF(11=E28,D28*assumptions!$G$75,0),0)</f>
        <v/>
      </c>
      <c r="R28" s="17">
        <f>IF(AND(12&gt;=E28,OR(F28="",12&lt;=F28)),(D28*(1+assumptions!$G$76)^0/12*(1+assumptions!$G$70+assumptions!$G$71+IF(12&gt;=assumptions!$G$73,assumptions!$G$72,0))+assumptions!$G$74/12)+IF(12=E28,D28*assumptions!$G$75,0),0)</f>
        <v/>
      </c>
      <c r="S28" s="17">
        <f>IF(AND(13&gt;=E28,OR(F28="",13&lt;=F28)),(D28*(1+assumptions!$G$76)^1/12*(1+assumptions!$G$70+assumptions!$G$71+IF(13&gt;=assumptions!$G$73,assumptions!$G$72,0))+assumptions!$G$74/12)+IF(13=E28,D28*assumptions!$G$75,0),0)</f>
        <v/>
      </c>
      <c r="T28" s="17">
        <f>IF(AND(14&gt;=E28,OR(F28="",14&lt;=F28)),(D28*(1+assumptions!$G$76)^1/12*(1+assumptions!$G$70+assumptions!$G$71+IF(14&gt;=assumptions!$G$73,assumptions!$G$72,0))+assumptions!$G$74/12)+IF(14=E28,D28*assumptions!$G$75,0),0)</f>
        <v/>
      </c>
      <c r="U28" s="17">
        <f>IF(AND(15&gt;=E28,OR(F28="",15&lt;=F28)),(D28*(1+assumptions!$G$76)^1/12*(1+assumptions!$G$70+assumptions!$G$71+IF(15&gt;=assumptions!$G$73,assumptions!$G$72,0))+assumptions!$G$74/12)+IF(15=E28,D28*assumptions!$G$75,0),0)</f>
        <v/>
      </c>
      <c r="V28" s="17">
        <f>IF(AND(16&gt;=E28,OR(F28="",16&lt;=F28)),(D28*(1+assumptions!$G$76)^1/12*(1+assumptions!$G$70+assumptions!$G$71+IF(16&gt;=assumptions!$G$73,assumptions!$G$72,0))+assumptions!$G$74/12)+IF(16=E28,D28*assumptions!$G$75,0),0)</f>
        <v/>
      </c>
      <c r="W28" s="17">
        <f>IF(AND(17&gt;=E28,OR(F28="",17&lt;=F28)),(D28*(1+assumptions!$G$76)^1/12*(1+assumptions!$G$70+assumptions!$G$71+IF(17&gt;=assumptions!$G$73,assumptions!$G$72,0))+assumptions!$G$74/12)+IF(17=E28,D28*assumptions!$G$75,0),0)</f>
        <v/>
      </c>
      <c r="X28" s="17">
        <f>IF(AND(18&gt;=E28,OR(F28="",18&lt;=F28)),(D28*(1+assumptions!$G$76)^1/12*(1+assumptions!$G$70+assumptions!$G$71+IF(18&gt;=assumptions!$G$73,assumptions!$G$72,0))+assumptions!$G$74/12)+IF(18=E28,D28*assumptions!$G$75,0),0)</f>
        <v/>
      </c>
      <c r="Y28" s="17">
        <f>IF(AND(19&gt;=E28,OR(F28="",19&lt;=F28)),(D28*(1+assumptions!$G$76)^1/12*(1+assumptions!$G$70+assumptions!$G$71+IF(19&gt;=assumptions!$G$73,assumptions!$G$72,0))+assumptions!$G$74/12)+IF(19=E28,D28*assumptions!$G$75,0),0)</f>
        <v/>
      </c>
      <c r="Z28" s="17">
        <f>IF(AND(20&gt;=E28,OR(F28="",20&lt;=F28)),(D28*(1+assumptions!$G$76)^1/12*(1+assumptions!$G$70+assumptions!$G$71+IF(20&gt;=assumptions!$G$73,assumptions!$G$72,0))+assumptions!$G$74/12)+IF(20=E28,D28*assumptions!$G$75,0),0)</f>
        <v/>
      </c>
      <c r="AA28" s="17">
        <f>IF(AND(21&gt;=E28,OR(F28="",21&lt;=F28)),(D28*(1+assumptions!$G$76)^1/12*(1+assumptions!$G$70+assumptions!$G$71+IF(21&gt;=assumptions!$G$73,assumptions!$G$72,0))+assumptions!$G$74/12)+IF(21=E28,D28*assumptions!$G$75,0),0)</f>
        <v/>
      </c>
      <c r="AB28" s="17">
        <f>IF(AND(22&gt;=E28,OR(F28="",22&lt;=F28)),(D28*(1+assumptions!$G$76)^1/12*(1+assumptions!$G$70+assumptions!$G$71+IF(22&gt;=assumptions!$G$73,assumptions!$G$72,0))+assumptions!$G$74/12)+IF(22=E28,D28*assumptions!$G$75,0),0)</f>
        <v/>
      </c>
      <c r="AC28" s="17">
        <f>IF(AND(23&gt;=E28,OR(F28="",23&lt;=F28)),(D28*(1+assumptions!$G$76)^1/12*(1+assumptions!$G$70+assumptions!$G$71+IF(23&gt;=assumptions!$G$73,assumptions!$G$72,0))+assumptions!$G$74/12)+IF(23=E28,D28*assumptions!$G$75,0),0)</f>
        <v/>
      </c>
      <c r="AD28" s="17">
        <f>IF(AND(24&gt;=E28,OR(F28="",24&lt;=F28)),(D28*(1+assumptions!$G$76)^1/12*(1+assumptions!$G$70+assumptions!$G$71+IF(24&gt;=assumptions!$G$73,assumptions!$G$72,0))+assumptions!$G$74/12)+IF(24=E28,D28*assumptions!$G$75,0),0)</f>
        <v/>
      </c>
      <c r="AE28" s="17">
        <f>IF(AND(25&gt;=E28,OR(F28="",25&lt;=F28)),(D28*(1+assumptions!$G$76)^2/12*(1+assumptions!$G$70+assumptions!$G$71+IF(25&gt;=assumptions!$G$73,assumptions!$G$72,0))+assumptions!$G$74/12)+IF(25=E28,D28*assumptions!$G$75,0),0)</f>
        <v/>
      </c>
      <c r="AF28" s="17">
        <f>IF(AND(26&gt;=E28,OR(F28="",26&lt;=F28)),(D28*(1+assumptions!$G$76)^2/12*(1+assumptions!$G$70+assumptions!$G$71+IF(26&gt;=assumptions!$G$73,assumptions!$G$72,0))+assumptions!$G$74/12)+IF(26=E28,D28*assumptions!$G$75,0),0)</f>
        <v/>
      </c>
      <c r="AG28" s="17">
        <f>IF(AND(27&gt;=E28,OR(F28="",27&lt;=F28)),(D28*(1+assumptions!$G$76)^2/12*(1+assumptions!$G$70+assumptions!$G$71+IF(27&gt;=assumptions!$G$73,assumptions!$G$72,0))+assumptions!$G$74/12)+IF(27=E28,D28*assumptions!$G$75,0),0)</f>
        <v/>
      </c>
      <c r="AH28" s="17">
        <f>IF(AND(28&gt;=E28,OR(F28="",28&lt;=F28)),(D28*(1+assumptions!$G$76)^2/12*(1+assumptions!$G$70+assumptions!$G$71+IF(28&gt;=assumptions!$G$73,assumptions!$G$72,0))+assumptions!$G$74/12)+IF(28=E28,D28*assumptions!$G$75,0),0)</f>
        <v/>
      </c>
      <c r="AI28" s="17">
        <f>IF(AND(29&gt;=E28,OR(F28="",29&lt;=F28)),(D28*(1+assumptions!$G$76)^2/12*(1+assumptions!$G$70+assumptions!$G$71+IF(29&gt;=assumptions!$G$73,assumptions!$G$72,0))+assumptions!$G$74/12)+IF(29=E28,D28*assumptions!$G$75,0),0)</f>
        <v/>
      </c>
      <c r="AJ28" s="17">
        <f>IF(AND(30&gt;=E28,OR(F28="",30&lt;=F28)),(D28*(1+assumptions!$G$76)^2/12*(1+assumptions!$G$70+assumptions!$G$71+IF(30&gt;=assumptions!$G$73,assumptions!$G$72,0))+assumptions!$G$74/12)+IF(30=E28,D28*assumptions!$G$75,0),0)</f>
        <v/>
      </c>
      <c r="AK28" s="17">
        <f>IF(AND(31&gt;=E28,OR(F28="",31&lt;=F28)),(D28*(1+assumptions!$G$76)^2/12*(1+assumptions!$G$70+assumptions!$G$71+IF(31&gt;=assumptions!$G$73,assumptions!$G$72,0))+assumptions!$G$74/12)+IF(31=E28,D28*assumptions!$G$75,0),0)</f>
        <v/>
      </c>
      <c r="AL28" s="17">
        <f>IF(AND(32&gt;=E28,OR(F28="",32&lt;=F28)),(D28*(1+assumptions!$G$76)^2/12*(1+assumptions!$G$70+assumptions!$G$71+IF(32&gt;=assumptions!$G$73,assumptions!$G$72,0))+assumptions!$G$74/12)+IF(32=E28,D28*assumptions!$G$75,0),0)</f>
        <v/>
      </c>
      <c r="AM28" s="17">
        <f>IF(AND(33&gt;=E28,OR(F28="",33&lt;=F28)),(D28*(1+assumptions!$G$76)^2/12*(1+assumptions!$G$70+assumptions!$G$71+IF(33&gt;=assumptions!$G$73,assumptions!$G$72,0))+assumptions!$G$74/12)+IF(33=E28,D28*assumptions!$G$75,0),0)</f>
        <v/>
      </c>
      <c r="AN28" s="17">
        <f>IF(AND(34&gt;=E28,OR(F28="",34&lt;=F28)),(D28*(1+assumptions!$G$76)^2/12*(1+assumptions!$G$70+assumptions!$G$71+IF(34&gt;=assumptions!$G$73,assumptions!$G$72,0))+assumptions!$G$74/12)+IF(34=E28,D28*assumptions!$G$75,0),0)</f>
        <v/>
      </c>
      <c r="AO28" s="17">
        <f>IF(AND(35&gt;=E28,OR(F28="",35&lt;=F28)),(D28*(1+assumptions!$G$76)^2/12*(1+assumptions!$G$70+assumptions!$G$71+IF(35&gt;=assumptions!$G$73,assumptions!$G$72,0))+assumptions!$G$74/12)+IF(35=E28,D28*assumptions!$G$75,0),0)</f>
        <v/>
      </c>
      <c r="AP28" s="17">
        <f>IF(AND(36&gt;=E28,OR(F28="",36&lt;=F28)),(D28*(1+assumptions!$G$76)^2/12*(1+assumptions!$G$70+assumptions!$G$71+IF(36&gt;=assumptions!$G$73,assumptions!$G$72,0))+assumptions!$G$74/12)+IF(36=E28,D28*assumptions!$G$75,0),0)</f>
        <v/>
      </c>
      <c r="AQ28" s="17">
        <f>IF(AND(37&gt;=E28,OR(F28="",37&lt;=F28)),(D28*(1+assumptions!$G$76)^3/12*(1+assumptions!$G$70+assumptions!$G$71+IF(37&gt;=assumptions!$G$73,assumptions!$G$72,0))+assumptions!$G$74/12)+IF(37=E28,D28*assumptions!$G$75,0),0)</f>
        <v/>
      </c>
      <c r="AR28" s="17">
        <f>IF(AND(38&gt;=E28,OR(F28="",38&lt;=F28)),(D28*(1+assumptions!$G$76)^3/12*(1+assumptions!$G$70+assumptions!$G$71+IF(38&gt;=assumptions!$G$73,assumptions!$G$72,0))+assumptions!$G$74/12)+IF(38=E28,D28*assumptions!$G$75,0),0)</f>
        <v/>
      </c>
      <c r="AS28" s="17">
        <f>IF(AND(39&gt;=E28,OR(F28="",39&lt;=F28)),(D28*(1+assumptions!$G$76)^3/12*(1+assumptions!$G$70+assumptions!$G$71+IF(39&gt;=assumptions!$G$73,assumptions!$G$72,0))+assumptions!$G$74/12)+IF(39=E28,D28*assumptions!$G$75,0),0)</f>
        <v/>
      </c>
      <c r="AT28" s="17">
        <f>IF(AND(40&gt;=E28,OR(F28="",40&lt;=F28)),(D28*(1+assumptions!$G$76)^3/12*(1+assumptions!$G$70+assumptions!$G$71+IF(40&gt;=assumptions!$G$73,assumptions!$G$72,0))+assumptions!$G$74/12)+IF(40=E28,D28*assumptions!$G$75,0),0)</f>
        <v/>
      </c>
      <c r="AU28" s="17">
        <f>IF(AND(41&gt;=E28,OR(F28="",41&lt;=F28)),(D28*(1+assumptions!$G$76)^3/12*(1+assumptions!$G$70+assumptions!$G$71+IF(41&gt;=assumptions!$G$73,assumptions!$G$72,0))+assumptions!$G$74/12)+IF(41=E28,D28*assumptions!$G$75,0),0)</f>
        <v/>
      </c>
      <c r="AV28" s="17">
        <f>IF(AND(42&gt;=E28,OR(F28="",42&lt;=F28)),(D28*(1+assumptions!$G$76)^3/12*(1+assumptions!$G$70+assumptions!$G$71+IF(42&gt;=assumptions!$G$73,assumptions!$G$72,0))+assumptions!$G$74/12)+IF(42=E28,D28*assumptions!$G$75,0),0)</f>
        <v/>
      </c>
      <c r="AW28" s="17">
        <f>IF(AND(43&gt;=E28,OR(F28="",43&lt;=F28)),(D28*(1+assumptions!$G$76)^3/12*(1+assumptions!$G$70+assumptions!$G$71+IF(43&gt;=assumptions!$G$73,assumptions!$G$72,0))+assumptions!$G$74/12)+IF(43=E28,D28*assumptions!$G$75,0),0)</f>
        <v/>
      </c>
      <c r="AX28" s="17">
        <f>IF(AND(44&gt;=E28,OR(F28="",44&lt;=F28)),(D28*(1+assumptions!$G$76)^3/12*(1+assumptions!$G$70+assumptions!$G$71+IF(44&gt;=assumptions!$G$73,assumptions!$G$72,0))+assumptions!$G$74/12)+IF(44=E28,D28*assumptions!$G$75,0),0)</f>
        <v/>
      </c>
      <c r="AY28" s="17">
        <f>IF(AND(45&gt;=E28,OR(F28="",45&lt;=F28)),(D28*(1+assumptions!$G$76)^3/12*(1+assumptions!$G$70+assumptions!$G$71+IF(45&gt;=assumptions!$G$73,assumptions!$G$72,0))+assumptions!$G$74/12)+IF(45=E28,D28*assumptions!$G$75,0),0)</f>
        <v/>
      </c>
      <c r="AZ28" s="17">
        <f>IF(AND(46&gt;=E28,OR(F28="",46&lt;=F28)),(D28*(1+assumptions!$G$76)^3/12*(1+assumptions!$G$70+assumptions!$G$71+IF(46&gt;=assumptions!$G$73,assumptions!$G$72,0))+assumptions!$G$74/12)+IF(46=E28,D28*assumptions!$G$75,0),0)</f>
        <v/>
      </c>
      <c r="BA28" s="17">
        <f>IF(AND(47&gt;=E28,OR(F28="",47&lt;=F28)),(D28*(1+assumptions!$G$76)^3/12*(1+assumptions!$G$70+assumptions!$G$71+IF(47&gt;=assumptions!$G$73,assumptions!$G$72,0))+assumptions!$G$74/12)+IF(47=E28,D28*assumptions!$G$75,0),0)</f>
        <v/>
      </c>
      <c r="BB28" s="17">
        <f>IF(AND(48&gt;=E28,OR(F28="",48&lt;=F28)),(D28*(1+assumptions!$G$76)^3/12*(1+assumptions!$G$70+assumptions!$G$71+IF(48&gt;=assumptions!$G$73,assumptions!$G$72,0))+assumptions!$G$74/12)+IF(48=E28,D28*assumptions!$G$75,0),0)</f>
        <v/>
      </c>
      <c r="BC28" s="17">
        <f>IF(AND(49&gt;=E28,OR(F28="",49&lt;=F28)),(D28*(1+assumptions!$G$76)^4/12*(1+assumptions!$G$70+assumptions!$G$71+IF(49&gt;=assumptions!$G$73,assumptions!$G$72,0))+assumptions!$G$74/12)+IF(49=E28,D28*assumptions!$G$75,0),0)</f>
        <v/>
      </c>
      <c r="BD28" s="17">
        <f>IF(AND(50&gt;=E28,OR(F28="",50&lt;=F28)),(D28*(1+assumptions!$G$76)^4/12*(1+assumptions!$G$70+assumptions!$G$71+IF(50&gt;=assumptions!$G$73,assumptions!$G$72,0))+assumptions!$G$74/12)+IF(50=E28,D28*assumptions!$G$75,0),0)</f>
        <v/>
      </c>
      <c r="BE28" s="17">
        <f>IF(AND(51&gt;=E28,OR(F28="",51&lt;=F28)),(D28*(1+assumptions!$G$76)^4/12*(1+assumptions!$G$70+assumptions!$G$71+IF(51&gt;=assumptions!$G$73,assumptions!$G$72,0))+assumptions!$G$74/12)+IF(51=E28,D28*assumptions!$G$75,0),0)</f>
        <v/>
      </c>
      <c r="BF28" s="17">
        <f>IF(AND(52&gt;=E28,OR(F28="",52&lt;=F28)),(D28*(1+assumptions!$G$76)^4/12*(1+assumptions!$G$70+assumptions!$G$71+IF(52&gt;=assumptions!$G$73,assumptions!$G$72,0))+assumptions!$G$74/12)+IF(52=E28,D28*assumptions!$G$75,0),0)</f>
        <v/>
      </c>
      <c r="BG28" s="17">
        <f>IF(AND(53&gt;=E28,OR(F28="",53&lt;=F28)),(D28*(1+assumptions!$G$76)^4/12*(1+assumptions!$G$70+assumptions!$G$71+IF(53&gt;=assumptions!$G$73,assumptions!$G$72,0))+assumptions!$G$74/12)+IF(53=E28,D28*assumptions!$G$75,0),0)</f>
        <v/>
      </c>
      <c r="BH28" s="17">
        <f>IF(AND(54&gt;=E28,OR(F28="",54&lt;=F28)),(D28*(1+assumptions!$G$76)^4/12*(1+assumptions!$G$70+assumptions!$G$71+IF(54&gt;=assumptions!$G$73,assumptions!$G$72,0))+assumptions!$G$74/12)+IF(54=E28,D28*assumptions!$G$75,0),0)</f>
        <v/>
      </c>
      <c r="BI28" s="17">
        <f>IF(AND(55&gt;=E28,OR(F28="",55&lt;=F28)),(D28*(1+assumptions!$G$76)^4/12*(1+assumptions!$G$70+assumptions!$G$71+IF(55&gt;=assumptions!$G$73,assumptions!$G$72,0))+assumptions!$G$74/12)+IF(55=E28,D28*assumptions!$G$75,0),0)</f>
        <v/>
      </c>
      <c r="BJ28" s="17">
        <f>IF(AND(56&gt;=E28,OR(F28="",56&lt;=F28)),(D28*(1+assumptions!$G$76)^4/12*(1+assumptions!$G$70+assumptions!$G$71+IF(56&gt;=assumptions!$G$73,assumptions!$G$72,0))+assumptions!$G$74/12)+IF(56=E28,D28*assumptions!$G$75,0),0)</f>
        <v/>
      </c>
      <c r="BK28" s="17">
        <f>IF(AND(57&gt;=E28,OR(F28="",57&lt;=F28)),(D28*(1+assumptions!$G$76)^4/12*(1+assumptions!$G$70+assumptions!$G$71+IF(57&gt;=assumptions!$G$73,assumptions!$G$72,0))+assumptions!$G$74/12)+IF(57=E28,D28*assumptions!$G$75,0),0)</f>
        <v/>
      </c>
      <c r="BL28" s="17">
        <f>IF(AND(58&gt;=E28,OR(F28="",58&lt;=F28)),(D28*(1+assumptions!$G$76)^4/12*(1+assumptions!$G$70+assumptions!$G$71+IF(58&gt;=assumptions!$G$73,assumptions!$G$72,0))+assumptions!$G$74/12)+IF(58=E28,D28*assumptions!$G$75,0),0)</f>
        <v/>
      </c>
      <c r="BM28" s="17">
        <f>IF(AND(59&gt;=E28,OR(F28="",59&lt;=F28)),(D28*(1+assumptions!$G$76)^4/12*(1+assumptions!$G$70+assumptions!$G$71+IF(59&gt;=assumptions!$G$73,assumptions!$G$72,0))+assumptions!$G$74/12)+IF(59=E28,D28*assumptions!$G$75,0),0)</f>
        <v/>
      </c>
      <c r="BN28" s="17">
        <f>IF(AND(60&gt;=E28,OR(F28="",60&lt;=F28)),(D28*(1+assumptions!$G$76)^4/12*(1+assumptions!$G$70+assumptions!$G$71+IF(60&gt;=assumptions!$G$73,assumptions!$G$72,0))+assumptions!$G$74/12)+IF(60=E28,D28*assumptions!$G$75,0),0)</f>
        <v/>
      </c>
    </row>
    <row r="29">
      <c r="A29" s="5" t="n">
        <v>26</v>
      </c>
      <c r="B29" s="5" t="inlineStr">
        <is>
          <t>Senior backend eng #4</t>
        </is>
      </c>
      <c r="C29" s="5" t="inlineStr">
        <is>
          <t>eng</t>
        </is>
      </c>
      <c r="D29" s="15" t="n">
        <v>90000</v>
      </c>
      <c r="E29" s="32" t="n">
        <v>34</v>
      </c>
      <c r="F29" s="32" t="n"/>
      <c r="G29" s="17">
        <f>IF(AND(1&gt;=E29,OR(F29="",1&lt;=F29)),(D29*(1+assumptions!$G$76)^0/12*(1+assumptions!$G$70+assumptions!$G$71+IF(1&gt;=assumptions!$G$73,assumptions!$G$72,0))+assumptions!$G$74/12)+IF(1=E29,D29*assumptions!$G$75,0),0)</f>
        <v/>
      </c>
      <c r="H29" s="17">
        <f>IF(AND(2&gt;=E29,OR(F29="",2&lt;=F29)),(D29*(1+assumptions!$G$76)^0/12*(1+assumptions!$G$70+assumptions!$G$71+IF(2&gt;=assumptions!$G$73,assumptions!$G$72,0))+assumptions!$G$74/12)+IF(2=E29,D29*assumptions!$G$75,0),0)</f>
        <v/>
      </c>
      <c r="I29" s="17">
        <f>IF(AND(3&gt;=E29,OR(F29="",3&lt;=F29)),(D29*(1+assumptions!$G$76)^0/12*(1+assumptions!$G$70+assumptions!$G$71+IF(3&gt;=assumptions!$G$73,assumptions!$G$72,0))+assumptions!$G$74/12)+IF(3=E29,D29*assumptions!$G$75,0),0)</f>
        <v/>
      </c>
      <c r="J29" s="17">
        <f>IF(AND(4&gt;=E29,OR(F29="",4&lt;=F29)),(D29*(1+assumptions!$G$76)^0/12*(1+assumptions!$G$70+assumptions!$G$71+IF(4&gt;=assumptions!$G$73,assumptions!$G$72,0))+assumptions!$G$74/12)+IF(4=E29,D29*assumptions!$G$75,0),0)</f>
        <v/>
      </c>
      <c r="K29" s="17">
        <f>IF(AND(5&gt;=E29,OR(F29="",5&lt;=F29)),(D29*(1+assumptions!$G$76)^0/12*(1+assumptions!$G$70+assumptions!$G$71+IF(5&gt;=assumptions!$G$73,assumptions!$G$72,0))+assumptions!$G$74/12)+IF(5=E29,D29*assumptions!$G$75,0),0)</f>
        <v/>
      </c>
      <c r="L29" s="17">
        <f>IF(AND(6&gt;=E29,OR(F29="",6&lt;=F29)),(D29*(1+assumptions!$G$76)^0/12*(1+assumptions!$G$70+assumptions!$G$71+IF(6&gt;=assumptions!$G$73,assumptions!$G$72,0))+assumptions!$G$74/12)+IF(6=E29,D29*assumptions!$G$75,0),0)</f>
        <v/>
      </c>
      <c r="M29" s="17">
        <f>IF(AND(7&gt;=E29,OR(F29="",7&lt;=F29)),(D29*(1+assumptions!$G$76)^0/12*(1+assumptions!$G$70+assumptions!$G$71+IF(7&gt;=assumptions!$G$73,assumptions!$G$72,0))+assumptions!$G$74/12)+IF(7=E29,D29*assumptions!$G$75,0),0)</f>
        <v/>
      </c>
      <c r="N29" s="17">
        <f>IF(AND(8&gt;=E29,OR(F29="",8&lt;=F29)),(D29*(1+assumptions!$G$76)^0/12*(1+assumptions!$G$70+assumptions!$G$71+IF(8&gt;=assumptions!$G$73,assumptions!$G$72,0))+assumptions!$G$74/12)+IF(8=E29,D29*assumptions!$G$75,0),0)</f>
        <v/>
      </c>
      <c r="O29" s="17">
        <f>IF(AND(9&gt;=E29,OR(F29="",9&lt;=F29)),(D29*(1+assumptions!$G$76)^0/12*(1+assumptions!$G$70+assumptions!$G$71+IF(9&gt;=assumptions!$G$73,assumptions!$G$72,0))+assumptions!$G$74/12)+IF(9=E29,D29*assumptions!$G$75,0),0)</f>
        <v/>
      </c>
      <c r="P29" s="17">
        <f>IF(AND(10&gt;=E29,OR(F29="",10&lt;=F29)),(D29*(1+assumptions!$G$76)^0/12*(1+assumptions!$G$70+assumptions!$G$71+IF(10&gt;=assumptions!$G$73,assumptions!$G$72,0))+assumptions!$G$74/12)+IF(10=E29,D29*assumptions!$G$75,0),0)</f>
        <v/>
      </c>
      <c r="Q29" s="17">
        <f>IF(AND(11&gt;=E29,OR(F29="",11&lt;=F29)),(D29*(1+assumptions!$G$76)^0/12*(1+assumptions!$G$70+assumptions!$G$71+IF(11&gt;=assumptions!$G$73,assumptions!$G$72,0))+assumptions!$G$74/12)+IF(11=E29,D29*assumptions!$G$75,0),0)</f>
        <v/>
      </c>
      <c r="R29" s="17">
        <f>IF(AND(12&gt;=E29,OR(F29="",12&lt;=F29)),(D29*(1+assumptions!$G$76)^0/12*(1+assumptions!$G$70+assumptions!$G$71+IF(12&gt;=assumptions!$G$73,assumptions!$G$72,0))+assumptions!$G$74/12)+IF(12=E29,D29*assumptions!$G$75,0),0)</f>
        <v/>
      </c>
      <c r="S29" s="17">
        <f>IF(AND(13&gt;=E29,OR(F29="",13&lt;=F29)),(D29*(1+assumptions!$G$76)^1/12*(1+assumptions!$G$70+assumptions!$G$71+IF(13&gt;=assumptions!$G$73,assumptions!$G$72,0))+assumptions!$G$74/12)+IF(13=E29,D29*assumptions!$G$75,0),0)</f>
        <v/>
      </c>
      <c r="T29" s="17">
        <f>IF(AND(14&gt;=E29,OR(F29="",14&lt;=F29)),(D29*(1+assumptions!$G$76)^1/12*(1+assumptions!$G$70+assumptions!$G$71+IF(14&gt;=assumptions!$G$73,assumptions!$G$72,0))+assumptions!$G$74/12)+IF(14=E29,D29*assumptions!$G$75,0),0)</f>
        <v/>
      </c>
      <c r="U29" s="17">
        <f>IF(AND(15&gt;=E29,OR(F29="",15&lt;=F29)),(D29*(1+assumptions!$G$76)^1/12*(1+assumptions!$G$70+assumptions!$G$71+IF(15&gt;=assumptions!$G$73,assumptions!$G$72,0))+assumptions!$G$74/12)+IF(15=E29,D29*assumptions!$G$75,0),0)</f>
        <v/>
      </c>
      <c r="V29" s="17">
        <f>IF(AND(16&gt;=E29,OR(F29="",16&lt;=F29)),(D29*(1+assumptions!$G$76)^1/12*(1+assumptions!$G$70+assumptions!$G$71+IF(16&gt;=assumptions!$G$73,assumptions!$G$72,0))+assumptions!$G$74/12)+IF(16=E29,D29*assumptions!$G$75,0),0)</f>
        <v/>
      </c>
      <c r="W29" s="17">
        <f>IF(AND(17&gt;=E29,OR(F29="",17&lt;=F29)),(D29*(1+assumptions!$G$76)^1/12*(1+assumptions!$G$70+assumptions!$G$71+IF(17&gt;=assumptions!$G$73,assumptions!$G$72,0))+assumptions!$G$74/12)+IF(17=E29,D29*assumptions!$G$75,0),0)</f>
        <v/>
      </c>
      <c r="X29" s="17">
        <f>IF(AND(18&gt;=E29,OR(F29="",18&lt;=F29)),(D29*(1+assumptions!$G$76)^1/12*(1+assumptions!$G$70+assumptions!$G$71+IF(18&gt;=assumptions!$G$73,assumptions!$G$72,0))+assumptions!$G$74/12)+IF(18=E29,D29*assumptions!$G$75,0),0)</f>
        <v/>
      </c>
      <c r="Y29" s="17">
        <f>IF(AND(19&gt;=E29,OR(F29="",19&lt;=F29)),(D29*(1+assumptions!$G$76)^1/12*(1+assumptions!$G$70+assumptions!$G$71+IF(19&gt;=assumptions!$G$73,assumptions!$G$72,0))+assumptions!$G$74/12)+IF(19=E29,D29*assumptions!$G$75,0),0)</f>
        <v/>
      </c>
      <c r="Z29" s="17">
        <f>IF(AND(20&gt;=E29,OR(F29="",20&lt;=F29)),(D29*(1+assumptions!$G$76)^1/12*(1+assumptions!$G$70+assumptions!$G$71+IF(20&gt;=assumptions!$G$73,assumptions!$G$72,0))+assumptions!$G$74/12)+IF(20=E29,D29*assumptions!$G$75,0),0)</f>
        <v/>
      </c>
      <c r="AA29" s="17">
        <f>IF(AND(21&gt;=E29,OR(F29="",21&lt;=F29)),(D29*(1+assumptions!$G$76)^1/12*(1+assumptions!$G$70+assumptions!$G$71+IF(21&gt;=assumptions!$G$73,assumptions!$G$72,0))+assumptions!$G$74/12)+IF(21=E29,D29*assumptions!$G$75,0),0)</f>
        <v/>
      </c>
      <c r="AB29" s="17">
        <f>IF(AND(22&gt;=E29,OR(F29="",22&lt;=F29)),(D29*(1+assumptions!$G$76)^1/12*(1+assumptions!$G$70+assumptions!$G$71+IF(22&gt;=assumptions!$G$73,assumptions!$G$72,0))+assumptions!$G$74/12)+IF(22=E29,D29*assumptions!$G$75,0),0)</f>
        <v/>
      </c>
      <c r="AC29" s="17">
        <f>IF(AND(23&gt;=E29,OR(F29="",23&lt;=F29)),(D29*(1+assumptions!$G$76)^1/12*(1+assumptions!$G$70+assumptions!$G$71+IF(23&gt;=assumptions!$G$73,assumptions!$G$72,0))+assumptions!$G$74/12)+IF(23=E29,D29*assumptions!$G$75,0),0)</f>
        <v/>
      </c>
      <c r="AD29" s="17">
        <f>IF(AND(24&gt;=E29,OR(F29="",24&lt;=F29)),(D29*(1+assumptions!$G$76)^1/12*(1+assumptions!$G$70+assumptions!$G$71+IF(24&gt;=assumptions!$G$73,assumptions!$G$72,0))+assumptions!$G$74/12)+IF(24=E29,D29*assumptions!$G$75,0),0)</f>
        <v/>
      </c>
      <c r="AE29" s="17">
        <f>IF(AND(25&gt;=E29,OR(F29="",25&lt;=F29)),(D29*(1+assumptions!$G$76)^2/12*(1+assumptions!$G$70+assumptions!$G$71+IF(25&gt;=assumptions!$G$73,assumptions!$G$72,0))+assumptions!$G$74/12)+IF(25=E29,D29*assumptions!$G$75,0),0)</f>
        <v/>
      </c>
      <c r="AF29" s="17">
        <f>IF(AND(26&gt;=E29,OR(F29="",26&lt;=F29)),(D29*(1+assumptions!$G$76)^2/12*(1+assumptions!$G$70+assumptions!$G$71+IF(26&gt;=assumptions!$G$73,assumptions!$G$72,0))+assumptions!$G$74/12)+IF(26=E29,D29*assumptions!$G$75,0),0)</f>
        <v/>
      </c>
      <c r="AG29" s="17">
        <f>IF(AND(27&gt;=E29,OR(F29="",27&lt;=F29)),(D29*(1+assumptions!$G$76)^2/12*(1+assumptions!$G$70+assumptions!$G$71+IF(27&gt;=assumptions!$G$73,assumptions!$G$72,0))+assumptions!$G$74/12)+IF(27=E29,D29*assumptions!$G$75,0),0)</f>
        <v/>
      </c>
      <c r="AH29" s="17">
        <f>IF(AND(28&gt;=E29,OR(F29="",28&lt;=F29)),(D29*(1+assumptions!$G$76)^2/12*(1+assumptions!$G$70+assumptions!$G$71+IF(28&gt;=assumptions!$G$73,assumptions!$G$72,0))+assumptions!$G$74/12)+IF(28=E29,D29*assumptions!$G$75,0),0)</f>
        <v/>
      </c>
      <c r="AI29" s="17">
        <f>IF(AND(29&gt;=E29,OR(F29="",29&lt;=F29)),(D29*(1+assumptions!$G$76)^2/12*(1+assumptions!$G$70+assumptions!$G$71+IF(29&gt;=assumptions!$G$73,assumptions!$G$72,0))+assumptions!$G$74/12)+IF(29=E29,D29*assumptions!$G$75,0),0)</f>
        <v/>
      </c>
      <c r="AJ29" s="17">
        <f>IF(AND(30&gt;=E29,OR(F29="",30&lt;=F29)),(D29*(1+assumptions!$G$76)^2/12*(1+assumptions!$G$70+assumptions!$G$71+IF(30&gt;=assumptions!$G$73,assumptions!$G$72,0))+assumptions!$G$74/12)+IF(30=E29,D29*assumptions!$G$75,0),0)</f>
        <v/>
      </c>
      <c r="AK29" s="17">
        <f>IF(AND(31&gt;=E29,OR(F29="",31&lt;=F29)),(D29*(1+assumptions!$G$76)^2/12*(1+assumptions!$G$70+assumptions!$G$71+IF(31&gt;=assumptions!$G$73,assumptions!$G$72,0))+assumptions!$G$74/12)+IF(31=E29,D29*assumptions!$G$75,0),0)</f>
        <v/>
      </c>
      <c r="AL29" s="17">
        <f>IF(AND(32&gt;=E29,OR(F29="",32&lt;=F29)),(D29*(1+assumptions!$G$76)^2/12*(1+assumptions!$G$70+assumptions!$G$71+IF(32&gt;=assumptions!$G$73,assumptions!$G$72,0))+assumptions!$G$74/12)+IF(32=E29,D29*assumptions!$G$75,0),0)</f>
        <v/>
      </c>
      <c r="AM29" s="17">
        <f>IF(AND(33&gt;=E29,OR(F29="",33&lt;=F29)),(D29*(1+assumptions!$G$76)^2/12*(1+assumptions!$G$70+assumptions!$G$71+IF(33&gt;=assumptions!$G$73,assumptions!$G$72,0))+assumptions!$G$74/12)+IF(33=E29,D29*assumptions!$G$75,0),0)</f>
        <v/>
      </c>
      <c r="AN29" s="17">
        <f>IF(AND(34&gt;=E29,OR(F29="",34&lt;=F29)),(D29*(1+assumptions!$G$76)^2/12*(1+assumptions!$G$70+assumptions!$G$71+IF(34&gt;=assumptions!$G$73,assumptions!$G$72,0))+assumptions!$G$74/12)+IF(34=E29,D29*assumptions!$G$75,0),0)</f>
        <v/>
      </c>
      <c r="AO29" s="17">
        <f>IF(AND(35&gt;=E29,OR(F29="",35&lt;=F29)),(D29*(1+assumptions!$G$76)^2/12*(1+assumptions!$G$70+assumptions!$G$71+IF(35&gt;=assumptions!$G$73,assumptions!$G$72,0))+assumptions!$G$74/12)+IF(35=E29,D29*assumptions!$G$75,0),0)</f>
        <v/>
      </c>
      <c r="AP29" s="17">
        <f>IF(AND(36&gt;=E29,OR(F29="",36&lt;=F29)),(D29*(1+assumptions!$G$76)^2/12*(1+assumptions!$G$70+assumptions!$G$71+IF(36&gt;=assumptions!$G$73,assumptions!$G$72,0))+assumptions!$G$74/12)+IF(36=E29,D29*assumptions!$G$75,0),0)</f>
        <v/>
      </c>
      <c r="AQ29" s="17">
        <f>IF(AND(37&gt;=E29,OR(F29="",37&lt;=F29)),(D29*(1+assumptions!$G$76)^3/12*(1+assumptions!$G$70+assumptions!$G$71+IF(37&gt;=assumptions!$G$73,assumptions!$G$72,0))+assumptions!$G$74/12)+IF(37=E29,D29*assumptions!$G$75,0),0)</f>
        <v/>
      </c>
      <c r="AR29" s="17">
        <f>IF(AND(38&gt;=E29,OR(F29="",38&lt;=F29)),(D29*(1+assumptions!$G$76)^3/12*(1+assumptions!$G$70+assumptions!$G$71+IF(38&gt;=assumptions!$G$73,assumptions!$G$72,0))+assumptions!$G$74/12)+IF(38=E29,D29*assumptions!$G$75,0),0)</f>
        <v/>
      </c>
      <c r="AS29" s="17">
        <f>IF(AND(39&gt;=E29,OR(F29="",39&lt;=F29)),(D29*(1+assumptions!$G$76)^3/12*(1+assumptions!$G$70+assumptions!$G$71+IF(39&gt;=assumptions!$G$73,assumptions!$G$72,0))+assumptions!$G$74/12)+IF(39=E29,D29*assumptions!$G$75,0),0)</f>
        <v/>
      </c>
      <c r="AT29" s="17">
        <f>IF(AND(40&gt;=E29,OR(F29="",40&lt;=F29)),(D29*(1+assumptions!$G$76)^3/12*(1+assumptions!$G$70+assumptions!$G$71+IF(40&gt;=assumptions!$G$73,assumptions!$G$72,0))+assumptions!$G$74/12)+IF(40=E29,D29*assumptions!$G$75,0),0)</f>
        <v/>
      </c>
      <c r="AU29" s="17">
        <f>IF(AND(41&gt;=E29,OR(F29="",41&lt;=F29)),(D29*(1+assumptions!$G$76)^3/12*(1+assumptions!$G$70+assumptions!$G$71+IF(41&gt;=assumptions!$G$73,assumptions!$G$72,0))+assumptions!$G$74/12)+IF(41=E29,D29*assumptions!$G$75,0),0)</f>
        <v/>
      </c>
      <c r="AV29" s="17">
        <f>IF(AND(42&gt;=E29,OR(F29="",42&lt;=F29)),(D29*(1+assumptions!$G$76)^3/12*(1+assumptions!$G$70+assumptions!$G$71+IF(42&gt;=assumptions!$G$73,assumptions!$G$72,0))+assumptions!$G$74/12)+IF(42=E29,D29*assumptions!$G$75,0),0)</f>
        <v/>
      </c>
      <c r="AW29" s="17">
        <f>IF(AND(43&gt;=E29,OR(F29="",43&lt;=F29)),(D29*(1+assumptions!$G$76)^3/12*(1+assumptions!$G$70+assumptions!$G$71+IF(43&gt;=assumptions!$G$73,assumptions!$G$72,0))+assumptions!$G$74/12)+IF(43=E29,D29*assumptions!$G$75,0),0)</f>
        <v/>
      </c>
      <c r="AX29" s="17">
        <f>IF(AND(44&gt;=E29,OR(F29="",44&lt;=F29)),(D29*(1+assumptions!$G$76)^3/12*(1+assumptions!$G$70+assumptions!$G$71+IF(44&gt;=assumptions!$G$73,assumptions!$G$72,0))+assumptions!$G$74/12)+IF(44=E29,D29*assumptions!$G$75,0),0)</f>
        <v/>
      </c>
      <c r="AY29" s="17">
        <f>IF(AND(45&gt;=E29,OR(F29="",45&lt;=F29)),(D29*(1+assumptions!$G$76)^3/12*(1+assumptions!$G$70+assumptions!$G$71+IF(45&gt;=assumptions!$G$73,assumptions!$G$72,0))+assumptions!$G$74/12)+IF(45=E29,D29*assumptions!$G$75,0),0)</f>
        <v/>
      </c>
      <c r="AZ29" s="17">
        <f>IF(AND(46&gt;=E29,OR(F29="",46&lt;=F29)),(D29*(1+assumptions!$G$76)^3/12*(1+assumptions!$G$70+assumptions!$G$71+IF(46&gt;=assumptions!$G$73,assumptions!$G$72,0))+assumptions!$G$74/12)+IF(46=E29,D29*assumptions!$G$75,0),0)</f>
        <v/>
      </c>
      <c r="BA29" s="17">
        <f>IF(AND(47&gt;=E29,OR(F29="",47&lt;=F29)),(D29*(1+assumptions!$G$76)^3/12*(1+assumptions!$G$70+assumptions!$G$71+IF(47&gt;=assumptions!$G$73,assumptions!$G$72,0))+assumptions!$G$74/12)+IF(47=E29,D29*assumptions!$G$75,0),0)</f>
        <v/>
      </c>
      <c r="BB29" s="17">
        <f>IF(AND(48&gt;=E29,OR(F29="",48&lt;=F29)),(D29*(1+assumptions!$G$76)^3/12*(1+assumptions!$G$70+assumptions!$G$71+IF(48&gt;=assumptions!$G$73,assumptions!$G$72,0))+assumptions!$G$74/12)+IF(48=E29,D29*assumptions!$G$75,0),0)</f>
        <v/>
      </c>
      <c r="BC29" s="17">
        <f>IF(AND(49&gt;=E29,OR(F29="",49&lt;=F29)),(D29*(1+assumptions!$G$76)^4/12*(1+assumptions!$G$70+assumptions!$G$71+IF(49&gt;=assumptions!$G$73,assumptions!$G$72,0))+assumptions!$G$74/12)+IF(49=E29,D29*assumptions!$G$75,0),0)</f>
        <v/>
      </c>
      <c r="BD29" s="17">
        <f>IF(AND(50&gt;=E29,OR(F29="",50&lt;=F29)),(D29*(1+assumptions!$G$76)^4/12*(1+assumptions!$G$70+assumptions!$G$71+IF(50&gt;=assumptions!$G$73,assumptions!$G$72,0))+assumptions!$G$74/12)+IF(50=E29,D29*assumptions!$G$75,0),0)</f>
        <v/>
      </c>
      <c r="BE29" s="17">
        <f>IF(AND(51&gt;=E29,OR(F29="",51&lt;=F29)),(D29*(1+assumptions!$G$76)^4/12*(1+assumptions!$G$70+assumptions!$G$71+IF(51&gt;=assumptions!$G$73,assumptions!$G$72,0))+assumptions!$G$74/12)+IF(51=E29,D29*assumptions!$G$75,0),0)</f>
        <v/>
      </c>
      <c r="BF29" s="17">
        <f>IF(AND(52&gt;=E29,OR(F29="",52&lt;=F29)),(D29*(1+assumptions!$G$76)^4/12*(1+assumptions!$G$70+assumptions!$G$71+IF(52&gt;=assumptions!$G$73,assumptions!$G$72,0))+assumptions!$G$74/12)+IF(52=E29,D29*assumptions!$G$75,0),0)</f>
        <v/>
      </c>
      <c r="BG29" s="17">
        <f>IF(AND(53&gt;=E29,OR(F29="",53&lt;=F29)),(D29*(1+assumptions!$G$76)^4/12*(1+assumptions!$G$70+assumptions!$G$71+IF(53&gt;=assumptions!$G$73,assumptions!$G$72,0))+assumptions!$G$74/12)+IF(53=E29,D29*assumptions!$G$75,0),0)</f>
        <v/>
      </c>
      <c r="BH29" s="17">
        <f>IF(AND(54&gt;=E29,OR(F29="",54&lt;=F29)),(D29*(1+assumptions!$G$76)^4/12*(1+assumptions!$G$70+assumptions!$G$71+IF(54&gt;=assumptions!$G$73,assumptions!$G$72,0))+assumptions!$G$74/12)+IF(54=E29,D29*assumptions!$G$75,0),0)</f>
        <v/>
      </c>
      <c r="BI29" s="17">
        <f>IF(AND(55&gt;=E29,OR(F29="",55&lt;=F29)),(D29*(1+assumptions!$G$76)^4/12*(1+assumptions!$G$70+assumptions!$G$71+IF(55&gt;=assumptions!$G$73,assumptions!$G$72,0))+assumptions!$G$74/12)+IF(55=E29,D29*assumptions!$G$75,0),0)</f>
        <v/>
      </c>
      <c r="BJ29" s="17">
        <f>IF(AND(56&gt;=E29,OR(F29="",56&lt;=F29)),(D29*(1+assumptions!$G$76)^4/12*(1+assumptions!$G$70+assumptions!$G$71+IF(56&gt;=assumptions!$G$73,assumptions!$G$72,0))+assumptions!$G$74/12)+IF(56=E29,D29*assumptions!$G$75,0),0)</f>
        <v/>
      </c>
      <c r="BK29" s="17">
        <f>IF(AND(57&gt;=E29,OR(F29="",57&lt;=F29)),(D29*(1+assumptions!$G$76)^4/12*(1+assumptions!$G$70+assumptions!$G$71+IF(57&gt;=assumptions!$G$73,assumptions!$G$72,0))+assumptions!$G$74/12)+IF(57=E29,D29*assumptions!$G$75,0),0)</f>
        <v/>
      </c>
      <c r="BL29" s="17">
        <f>IF(AND(58&gt;=E29,OR(F29="",58&lt;=F29)),(D29*(1+assumptions!$G$76)^4/12*(1+assumptions!$G$70+assumptions!$G$71+IF(58&gt;=assumptions!$G$73,assumptions!$G$72,0))+assumptions!$G$74/12)+IF(58=E29,D29*assumptions!$G$75,0),0)</f>
        <v/>
      </c>
      <c r="BM29" s="17">
        <f>IF(AND(59&gt;=E29,OR(F29="",59&lt;=F29)),(D29*(1+assumptions!$G$76)^4/12*(1+assumptions!$G$70+assumptions!$G$71+IF(59&gt;=assumptions!$G$73,assumptions!$G$72,0))+assumptions!$G$74/12)+IF(59=E29,D29*assumptions!$G$75,0),0)</f>
        <v/>
      </c>
      <c r="BN29" s="17">
        <f>IF(AND(60&gt;=E29,OR(F29="",60&lt;=F29)),(D29*(1+assumptions!$G$76)^4/12*(1+assumptions!$G$70+assumptions!$G$71+IF(60&gt;=assumptions!$G$73,assumptions!$G$72,0))+assumptions!$G$74/12)+IF(60=E29,D29*assumptions!$G$75,0),0)</f>
        <v/>
      </c>
    </row>
    <row r="30">
      <c r="A30" s="5" t="n">
        <v>27</v>
      </c>
      <c r="B30" s="5" t="inlineStr">
        <is>
          <t>International expansion lead</t>
        </is>
      </c>
      <c r="C30" s="5" t="inlineStr">
        <is>
          <t>growth</t>
        </is>
      </c>
      <c r="D30" s="15" t="n">
        <v>90000</v>
      </c>
      <c r="E30" s="32" t="n">
        <v>36</v>
      </c>
      <c r="F30" s="32" t="n"/>
      <c r="G30" s="17">
        <f>IF(AND(1&gt;=E30,OR(F30="",1&lt;=F30)),(D30*(1+assumptions!$G$76)^0/12*(1+assumptions!$G$70+assumptions!$G$71+IF(1&gt;=assumptions!$G$73,assumptions!$G$72,0))+assumptions!$G$74/12)+IF(1=E30,D30*assumptions!$G$75,0),0)</f>
        <v/>
      </c>
      <c r="H30" s="17">
        <f>IF(AND(2&gt;=E30,OR(F30="",2&lt;=F30)),(D30*(1+assumptions!$G$76)^0/12*(1+assumptions!$G$70+assumptions!$G$71+IF(2&gt;=assumptions!$G$73,assumptions!$G$72,0))+assumptions!$G$74/12)+IF(2=E30,D30*assumptions!$G$75,0),0)</f>
        <v/>
      </c>
      <c r="I30" s="17">
        <f>IF(AND(3&gt;=E30,OR(F30="",3&lt;=F30)),(D30*(1+assumptions!$G$76)^0/12*(1+assumptions!$G$70+assumptions!$G$71+IF(3&gt;=assumptions!$G$73,assumptions!$G$72,0))+assumptions!$G$74/12)+IF(3=E30,D30*assumptions!$G$75,0),0)</f>
        <v/>
      </c>
      <c r="J30" s="17">
        <f>IF(AND(4&gt;=E30,OR(F30="",4&lt;=F30)),(D30*(1+assumptions!$G$76)^0/12*(1+assumptions!$G$70+assumptions!$G$71+IF(4&gt;=assumptions!$G$73,assumptions!$G$72,0))+assumptions!$G$74/12)+IF(4=E30,D30*assumptions!$G$75,0),0)</f>
        <v/>
      </c>
      <c r="K30" s="17">
        <f>IF(AND(5&gt;=E30,OR(F30="",5&lt;=F30)),(D30*(1+assumptions!$G$76)^0/12*(1+assumptions!$G$70+assumptions!$G$71+IF(5&gt;=assumptions!$G$73,assumptions!$G$72,0))+assumptions!$G$74/12)+IF(5=E30,D30*assumptions!$G$75,0),0)</f>
        <v/>
      </c>
      <c r="L30" s="17">
        <f>IF(AND(6&gt;=E30,OR(F30="",6&lt;=F30)),(D30*(1+assumptions!$G$76)^0/12*(1+assumptions!$G$70+assumptions!$G$71+IF(6&gt;=assumptions!$G$73,assumptions!$G$72,0))+assumptions!$G$74/12)+IF(6=E30,D30*assumptions!$G$75,0),0)</f>
        <v/>
      </c>
      <c r="M30" s="17">
        <f>IF(AND(7&gt;=E30,OR(F30="",7&lt;=F30)),(D30*(1+assumptions!$G$76)^0/12*(1+assumptions!$G$70+assumptions!$G$71+IF(7&gt;=assumptions!$G$73,assumptions!$G$72,0))+assumptions!$G$74/12)+IF(7=E30,D30*assumptions!$G$75,0),0)</f>
        <v/>
      </c>
      <c r="N30" s="17">
        <f>IF(AND(8&gt;=E30,OR(F30="",8&lt;=F30)),(D30*(1+assumptions!$G$76)^0/12*(1+assumptions!$G$70+assumptions!$G$71+IF(8&gt;=assumptions!$G$73,assumptions!$G$72,0))+assumptions!$G$74/12)+IF(8=E30,D30*assumptions!$G$75,0),0)</f>
        <v/>
      </c>
      <c r="O30" s="17">
        <f>IF(AND(9&gt;=E30,OR(F30="",9&lt;=F30)),(D30*(1+assumptions!$G$76)^0/12*(1+assumptions!$G$70+assumptions!$G$71+IF(9&gt;=assumptions!$G$73,assumptions!$G$72,0))+assumptions!$G$74/12)+IF(9=E30,D30*assumptions!$G$75,0),0)</f>
        <v/>
      </c>
      <c r="P30" s="17">
        <f>IF(AND(10&gt;=E30,OR(F30="",10&lt;=F30)),(D30*(1+assumptions!$G$76)^0/12*(1+assumptions!$G$70+assumptions!$G$71+IF(10&gt;=assumptions!$G$73,assumptions!$G$72,0))+assumptions!$G$74/12)+IF(10=E30,D30*assumptions!$G$75,0),0)</f>
        <v/>
      </c>
      <c r="Q30" s="17">
        <f>IF(AND(11&gt;=E30,OR(F30="",11&lt;=F30)),(D30*(1+assumptions!$G$76)^0/12*(1+assumptions!$G$70+assumptions!$G$71+IF(11&gt;=assumptions!$G$73,assumptions!$G$72,0))+assumptions!$G$74/12)+IF(11=E30,D30*assumptions!$G$75,0),0)</f>
        <v/>
      </c>
      <c r="R30" s="17">
        <f>IF(AND(12&gt;=E30,OR(F30="",12&lt;=F30)),(D30*(1+assumptions!$G$76)^0/12*(1+assumptions!$G$70+assumptions!$G$71+IF(12&gt;=assumptions!$G$73,assumptions!$G$72,0))+assumptions!$G$74/12)+IF(12=E30,D30*assumptions!$G$75,0),0)</f>
        <v/>
      </c>
      <c r="S30" s="17">
        <f>IF(AND(13&gt;=E30,OR(F30="",13&lt;=F30)),(D30*(1+assumptions!$G$76)^1/12*(1+assumptions!$G$70+assumptions!$G$71+IF(13&gt;=assumptions!$G$73,assumptions!$G$72,0))+assumptions!$G$74/12)+IF(13=E30,D30*assumptions!$G$75,0),0)</f>
        <v/>
      </c>
      <c r="T30" s="17">
        <f>IF(AND(14&gt;=E30,OR(F30="",14&lt;=F30)),(D30*(1+assumptions!$G$76)^1/12*(1+assumptions!$G$70+assumptions!$G$71+IF(14&gt;=assumptions!$G$73,assumptions!$G$72,0))+assumptions!$G$74/12)+IF(14=E30,D30*assumptions!$G$75,0),0)</f>
        <v/>
      </c>
      <c r="U30" s="17">
        <f>IF(AND(15&gt;=E30,OR(F30="",15&lt;=F30)),(D30*(1+assumptions!$G$76)^1/12*(1+assumptions!$G$70+assumptions!$G$71+IF(15&gt;=assumptions!$G$73,assumptions!$G$72,0))+assumptions!$G$74/12)+IF(15=E30,D30*assumptions!$G$75,0),0)</f>
        <v/>
      </c>
      <c r="V30" s="17">
        <f>IF(AND(16&gt;=E30,OR(F30="",16&lt;=F30)),(D30*(1+assumptions!$G$76)^1/12*(1+assumptions!$G$70+assumptions!$G$71+IF(16&gt;=assumptions!$G$73,assumptions!$G$72,0))+assumptions!$G$74/12)+IF(16=E30,D30*assumptions!$G$75,0),0)</f>
        <v/>
      </c>
      <c r="W30" s="17">
        <f>IF(AND(17&gt;=E30,OR(F30="",17&lt;=F30)),(D30*(1+assumptions!$G$76)^1/12*(1+assumptions!$G$70+assumptions!$G$71+IF(17&gt;=assumptions!$G$73,assumptions!$G$72,0))+assumptions!$G$74/12)+IF(17=E30,D30*assumptions!$G$75,0),0)</f>
        <v/>
      </c>
      <c r="X30" s="17">
        <f>IF(AND(18&gt;=E30,OR(F30="",18&lt;=F30)),(D30*(1+assumptions!$G$76)^1/12*(1+assumptions!$G$70+assumptions!$G$71+IF(18&gt;=assumptions!$G$73,assumptions!$G$72,0))+assumptions!$G$74/12)+IF(18=E30,D30*assumptions!$G$75,0),0)</f>
        <v/>
      </c>
      <c r="Y30" s="17">
        <f>IF(AND(19&gt;=E30,OR(F30="",19&lt;=F30)),(D30*(1+assumptions!$G$76)^1/12*(1+assumptions!$G$70+assumptions!$G$71+IF(19&gt;=assumptions!$G$73,assumptions!$G$72,0))+assumptions!$G$74/12)+IF(19=E30,D30*assumptions!$G$75,0),0)</f>
        <v/>
      </c>
      <c r="Z30" s="17">
        <f>IF(AND(20&gt;=E30,OR(F30="",20&lt;=F30)),(D30*(1+assumptions!$G$76)^1/12*(1+assumptions!$G$70+assumptions!$G$71+IF(20&gt;=assumptions!$G$73,assumptions!$G$72,0))+assumptions!$G$74/12)+IF(20=E30,D30*assumptions!$G$75,0),0)</f>
        <v/>
      </c>
      <c r="AA30" s="17">
        <f>IF(AND(21&gt;=E30,OR(F30="",21&lt;=F30)),(D30*(1+assumptions!$G$76)^1/12*(1+assumptions!$G$70+assumptions!$G$71+IF(21&gt;=assumptions!$G$73,assumptions!$G$72,0))+assumptions!$G$74/12)+IF(21=E30,D30*assumptions!$G$75,0),0)</f>
        <v/>
      </c>
      <c r="AB30" s="17">
        <f>IF(AND(22&gt;=E30,OR(F30="",22&lt;=F30)),(D30*(1+assumptions!$G$76)^1/12*(1+assumptions!$G$70+assumptions!$G$71+IF(22&gt;=assumptions!$G$73,assumptions!$G$72,0))+assumptions!$G$74/12)+IF(22=E30,D30*assumptions!$G$75,0),0)</f>
        <v/>
      </c>
      <c r="AC30" s="17">
        <f>IF(AND(23&gt;=E30,OR(F30="",23&lt;=F30)),(D30*(1+assumptions!$G$76)^1/12*(1+assumptions!$G$70+assumptions!$G$71+IF(23&gt;=assumptions!$G$73,assumptions!$G$72,0))+assumptions!$G$74/12)+IF(23=E30,D30*assumptions!$G$75,0),0)</f>
        <v/>
      </c>
      <c r="AD30" s="17">
        <f>IF(AND(24&gt;=E30,OR(F30="",24&lt;=F30)),(D30*(1+assumptions!$G$76)^1/12*(1+assumptions!$G$70+assumptions!$G$71+IF(24&gt;=assumptions!$G$73,assumptions!$G$72,0))+assumptions!$G$74/12)+IF(24=E30,D30*assumptions!$G$75,0),0)</f>
        <v/>
      </c>
      <c r="AE30" s="17">
        <f>IF(AND(25&gt;=E30,OR(F30="",25&lt;=F30)),(D30*(1+assumptions!$G$76)^2/12*(1+assumptions!$G$70+assumptions!$G$71+IF(25&gt;=assumptions!$G$73,assumptions!$G$72,0))+assumptions!$G$74/12)+IF(25=E30,D30*assumptions!$G$75,0),0)</f>
        <v/>
      </c>
      <c r="AF30" s="17">
        <f>IF(AND(26&gt;=E30,OR(F30="",26&lt;=F30)),(D30*(1+assumptions!$G$76)^2/12*(1+assumptions!$G$70+assumptions!$G$71+IF(26&gt;=assumptions!$G$73,assumptions!$G$72,0))+assumptions!$G$74/12)+IF(26=E30,D30*assumptions!$G$75,0),0)</f>
        <v/>
      </c>
      <c r="AG30" s="17">
        <f>IF(AND(27&gt;=E30,OR(F30="",27&lt;=F30)),(D30*(1+assumptions!$G$76)^2/12*(1+assumptions!$G$70+assumptions!$G$71+IF(27&gt;=assumptions!$G$73,assumptions!$G$72,0))+assumptions!$G$74/12)+IF(27=E30,D30*assumptions!$G$75,0),0)</f>
        <v/>
      </c>
      <c r="AH30" s="17">
        <f>IF(AND(28&gt;=E30,OR(F30="",28&lt;=F30)),(D30*(1+assumptions!$G$76)^2/12*(1+assumptions!$G$70+assumptions!$G$71+IF(28&gt;=assumptions!$G$73,assumptions!$G$72,0))+assumptions!$G$74/12)+IF(28=E30,D30*assumptions!$G$75,0),0)</f>
        <v/>
      </c>
      <c r="AI30" s="17">
        <f>IF(AND(29&gt;=E30,OR(F30="",29&lt;=F30)),(D30*(1+assumptions!$G$76)^2/12*(1+assumptions!$G$70+assumptions!$G$71+IF(29&gt;=assumptions!$G$73,assumptions!$G$72,0))+assumptions!$G$74/12)+IF(29=E30,D30*assumptions!$G$75,0),0)</f>
        <v/>
      </c>
      <c r="AJ30" s="17">
        <f>IF(AND(30&gt;=E30,OR(F30="",30&lt;=F30)),(D30*(1+assumptions!$G$76)^2/12*(1+assumptions!$G$70+assumptions!$G$71+IF(30&gt;=assumptions!$G$73,assumptions!$G$72,0))+assumptions!$G$74/12)+IF(30=E30,D30*assumptions!$G$75,0),0)</f>
        <v/>
      </c>
      <c r="AK30" s="17">
        <f>IF(AND(31&gt;=E30,OR(F30="",31&lt;=F30)),(D30*(1+assumptions!$G$76)^2/12*(1+assumptions!$G$70+assumptions!$G$71+IF(31&gt;=assumptions!$G$73,assumptions!$G$72,0))+assumptions!$G$74/12)+IF(31=E30,D30*assumptions!$G$75,0),0)</f>
        <v/>
      </c>
      <c r="AL30" s="17">
        <f>IF(AND(32&gt;=E30,OR(F30="",32&lt;=F30)),(D30*(1+assumptions!$G$76)^2/12*(1+assumptions!$G$70+assumptions!$G$71+IF(32&gt;=assumptions!$G$73,assumptions!$G$72,0))+assumptions!$G$74/12)+IF(32=E30,D30*assumptions!$G$75,0),0)</f>
        <v/>
      </c>
      <c r="AM30" s="17">
        <f>IF(AND(33&gt;=E30,OR(F30="",33&lt;=F30)),(D30*(1+assumptions!$G$76)^2/12*(1+assumptions!$G$70+assumptions!$G$71+IF(33&gt;=assumptions!$G$73,assumptions!$G$72,0))+assumptions!$G$74/12)+IF(33=E30,D30*assumptions!$G$75,0),0)</f>
        <v/>
      </c>
      <c r="AN30" s="17">
        <f>IF(AND(34&gt;=E30,OR(F30="",34&lt;=F30)),(D30*(1+assumptions!$G$76)^2/12*(1+assumptions!$G$70+assumptions!$G$71+IF(34&gt;=assumptions!$G$73,assumptions!$G$72,0))+assumptions!$G$74/12)+IF(34=E30,D30*assumptions!$G$75,0),0)</f>
        <v/>
      </c>
      <c r="AO30" s="17">
        <f>IF(AND(35&gt;=E30,OR(F30="",35&lt;=F30)),(D30*(1+assumptions!$G$76)^2/12*(1+assumptions!$G$70+assumptions!$G$71+IF(35&gt;=assumptions!$G$73,assumptions!$G$72,0))+assumptions!$G$74/12)+IF(35=E30,D30*assumptions!$G$75,0),0)</f>
        <v/>
      </c>
      <c r="AP30" s="17">
        <f>IF(AND(36&gt;=E30,OR(F30="",36&lt;=F30)),(D30*(1+assumptions!$G$76)^2/12*(1+assumptions!$G$70+assumptions!$G$71+IF(36&gt;=assumptions!$G$73,assumptions!$G$72,0))+assumptions!$G$74/12)+IF(36=E30,D30*assumptions!$G$75,0),0)</f>
        <v/>
      </c>
      <c r="AQ30" s="17">
        <f>IF(AND(37&gt;=E30,OR(F30="",37&lt;=F30)),(D30*(1+assumptions!$G$76)^3/12*(1+assumptions!$G$70+assumptions!$G$71+IF(37&gt;=assumptions!$G$73,assumptions!$G$72,0))+assumptions!$G$74/12)+IF(37=E30,D30*assumptions!$G$75,0),0)</f>
        <v/>
      </c>
      <c r="AR30" s="17">
        <f>IF(AND(38&gt;=E30,OR(F30="",38&lt;=F30)),(D30*(1+assumptions!$G$76)^3/12*(1+assumptions!$G$70+assumptions!$G$71+IF(38&gt;=assumptions!$G$73,assumptions!$G$72,0))+assumptions!$G$74/12)+IF(38=E30,D30*assumptions!$G$75,0),0)</f>
        <v/>
      </c>
      <c r="AS30" s="17">
        <f>IF(AND(39&gt;=E30,OR(F30="",39&lt;=F30)),(D30*(1+assumptions!$G$76)^3/12*(1+assumptions!$G$70+assumptions!$G$71+IF(39&gt;=assumptions!$G$73,assumptions!$G$72,0))+assumptions!$G$74/12)+IF(39=E30,D30*assumptions!$G$75,0),0)</f>
        <v/>
      </c>
      <c r="AT30" s="17">
        <f>IF(AND(40&gt;=E30,OR(F30="",40&lt;=F30)),(D30*(1+assumptions!$G$76)^3/12*(1+assumptions!$G$70+assumptions!$G$71+IF(40&gt;=assumptions!$G$73,assumptions!$G$72,0))+assumptions!$G$74/12)+IF(40=E30,D30*assumptions!$G$75,0),0)</f>
        <v/>
      </c>
      <c r="AU30" s="17">
        <f>IF(AND(41&gt;=E30,OR(F30="",41&lt;=F30)),(D30*(1+assumptions!$G$76)^3/12*(1+assumptions!$G$70+assumptions!$G$71+IF(41&gt;=assumptions!$G$73,assumptions!$G$72,0))+assumptions!$G$74/12)+IF(41=E30,D30*assumptions!$G$75,0),0)</f>
        <v/>
      </c>
      <c r="AV30" s="17">
        <f>IF(AND(42&gt;=E30,OR(F30="",42&lt;=F30)),(D30*(1+assumptions!$G$76)^3/12*(1+assumptions!$G$70+assumptions!$G$71+IF(42&gt;=assumptions!$G$73,assumptions!$G$72,0))+assumptions!$G$74/12)+IF(42=E30,D30*assumptions!$G$75,0),0)</f>
        <v/>
      </c>
      <c r="AW30" s="17">
        <f>IF(AND(43&gt;=E30,OR(F30="",43&lt;=F30)),(D30*(1+assumptions!$G$76)^3/12*(1+assumptions!$G$70+assumptions!$G$71+IF(43&gt;=assumptions!$G$73,assumptions!$G$72,0))+assumptions!$G$74/12)+IF(43=E30,D30*assumptions!$G$75,0),0)</f>
        <v/>
      </c>
      <c r="AX30" s="17">
        <f>IF(AND(44&gt;=E30,OR(F30="",44&lt;=F30)),(D30*(1+assumptions!$G$76)^3/12*(1+assumptions!$G$70+assumptions!$G$71+IF(44&gt;=assumptions!$G$73,assumptions!$G$72,0))+assumptions!$G$74/12)+IF(44=E30,D30*assumptions!$G$75,0),0)</f>
        <v/>
      </c>
      <c r="AY30" s="17">
        <f>IF(AND(45&gt;=E30,OR(F30="",45&lt;=F30)),(D30*(1+assumptions!$G$76)^3/12*(1+assumptions!$G$70+assumptions!$G$71+IF(45&gt;=assumptions!$G$73,assumptions!$G$72,0))+assumptions!$G$74/12)+IF(45=E30,D30*assumptions!$G$75,0),0)</f>
        <v/>
      </c>
      <c r="AZ30" s="17">
        <f>IF(AND(46&gt;=E30,OR(F30="",46&lt;=F30)),(D30*(1+assumptions!$G$76)^3/12*(1+assumptions!$G$70+assumptions!$G$71+IF(46&gt;=assumptions!$G$73,assumptions!$G$72,0))+assumptions!$G$74/12)+IF(46=E30,D30*assumptions!$G$75,0),0)</f>
        <v/>
      </c>
      <c r="BA30" s="17">
        <f>IF(AND(47&gt;=E30,OR(F30="",47&lt;=F30)),(D30*(1+assumptions!$G$76)^3/12*(1+assumptions!$G$70+assumptions!$G$71+IF(47&gt;=assumptions!$G$73,assumptions!$G$72,0))+assumptions!$G$74/12)+IF(47=E30,D30*assumptions!$G$75,0),0)</f>
        <v/>
      </c>
      <c r="BB30" s="17">
        <f>IF(AND(48&gt;=E30,OR(F30="",48&lt;=F30)),(D30*(1+assumptions!$G$76)^3/12*(1+assumptions!$G$70+assumptions!$G$71+IF(48&gt;=assumptions!$G$73,assumptions!$G$72,0))+assumptions!$G$74/12)+IF(48=E30,D30*assumptions!$G$75,0),0)</f>
        <v/>
      </c>
      <c r="BC30" s="17">
        <f>IF(AND(49&gt;=E30,OR(F30="",49&lt;=F30)),(D30*(1+assumptions!$G$76)^4/12*(1+assumptions!$G$70+assumptions!$G$71+IF(49&gt;=assumptions!$G$73,assumptions!$G$72,0))+assumptions!$G$74/12)+IF(49=E30,D30*assumptions!$G$75,0),0)</f>
        <v/>
      </c>
      <c r="BD30" s="17">
        <f>IF(AND(50&gt;=E30,OR(F30="",50&lt;=F30)),(D30*(1+assumptions!$G$76)^4/12*(1+assumptions!$G$70+assumptions!$G$71+IF(50&gt;=assumptions!$G$73,assumptions!$G$72,0))+assumptions!$G$74/12)+IF(50=E30,D30*assumptions!$G$75,0),0)</f>
        <v/>
      </c>
      <c r="BE30" s="17">
        <f>IF(AND(51&gt;=E30,OR(F30="",51&lt;=F30)),(D30*(1+assumptions!$G$76)^4/12*(1+assumptions!$G$70+assumptions!$G$71+IF(51&gt;=assumptions!$G$73,assumptions!$G$72,0))+assumptions!$G$74/12)+IF(51=E30,D30*assumptions!$G$75,0),0)</f>
        <v/>
      </c>
      <c r="BF30" s="17">
        <f>IF(AND(52&gt;=E30,OR(F30="",52&lt;=F30)),(D30*(1+assumptions!$G$76)^4/12*(1+assumptions!$G$70+assumptions!$G$71+IF(52&gt;=assumptions!$G$73,assumptions!$G$72,0))+assumptions!$G$74/12)+IF(52=E30,D30*assumptions!$G$75,0),0)</f>
        <v/>
      </c>
      <c r="BG30" s="17">
        <f>IF(AND(53&gt;=E30,OR(F30="",53&lt;=F30)),(D30*(1+assumptions!$G$76)^4/12*(1+assumptions!$G$70+assumptions!$G$71+IF(53&gt;=assumptions!$G$73,assumptions!$G$72,0))+assumptions!$G$74/12)+IF(53=E30,D30*assumptions!$G$75,0),0)</f>
        <v/>
      </c>
      <c r="BH30" s="17">
        <f>IF(AND(54&gt;=E30,OR(F30="",54&lt;=F30)),(D30*(1+assumptions!$G$76)^4/12*(1+assumptions!$G$70+assumptions!$G$71+IF(54&gt;=assumptions!$G$73,assumptions!$G$72,0))+assumptions!$G$74/12)+IF(54=E30,D30*assumptions!$G$75,0),0)</f>
        <v/>
      </c>
      <c r="BI30" s="17">
        <f>IF(AND(55&gt;=E30,OR(F30="",55&lt;=F30)),(D30*(1+assumptions!$G$76)^4/12*(1+assumptions!$G$70+assumptions!$G$71+IF(55&gt;=assumptions!$G$73,assumptions!$G$72,0))+assumptions!$G$74/12)+IF(55=E30,D30*assumptions!$G$75,0),0)</f>
        <v/>
      </c>
      <c r="BJ30" s="17">
        <f>IF(AND(56&gt;=E30,OR(F30="",56&lt;=F30)),(D30*(1+assumptions!$G$76)^4/12*(1+assumptions!$G$70+assumptions!$G$71+IF(56&gt;=assumptions!$G$73,assumptions!$G$72,0))+assumptions!$G$74/12)+IF(56=E30,D30*assumptions!$G$75,0),0)</f>
        <v/>
      </c>
      <c r="BK30" s="17">
        <f>IF(AND(57&gt;=E30,OR(F30="",57&lt;=F30)),(D30*(1+assumptions!$G$76)^4/12*(1+assumptions!$G$70+assumptions!$G$71+IF(57&gt;=assumptions!$G$73,assumptions!$G$72,0))+assumptions!$G$74/12)+IF(57=E30,D30*assumptions!$G$75,0),0)</f>
        <v/>
      </c>
      <c r="BL30" s="17">
        <f>IF(AND(58&gt;=E30,OR(F30="",58&lt;=F30)),(D30*(1+assumptions!$G$76)^4/12*(1+assumptions!$G$70+assumptions!$G$71+IF(58&gt;=assumptions!$G$73,assumptions!$G$72,0))+assumptions!$G$74/12)+IF(58=E30,D30*assumptions!$G$75,0),0)</f>
        <v/>
      </c>
      <c r="BM30" s="17">
        <f>IF(AND(59&gt;=E30,OR(F30="",59&lt;=F30)),(D30*(1+assumptions!$G$76)^4/12*(1+assumptions!$G$70+assumptions!$G$71+IF(59&gt;=assumptions!$G$73,assumptions!$G$72,0))+assumptions!$G$74/12)+IF(59=E30,D30*assumptions!$G$75,0),0)</f>
        <v/>
      </c>
      <c r="BN30" s="17">
        <f>IF(AND(60&gt;=E30,OR(F30="",60&lt;=F30)),(D30*(1+assumptions!$G$76)^4/12*(1+assumptions!$G$70+assumptions!$G$71+IF(60&gt;=assumptions!$G$73,assumptions!$G$72,0))+assumptions!$G$74/12)+IF(60=E30,D30*assumptions!$G$75,0),0)</f>
        <v/>
      </c>
    </row>
    <row r="31">
      <c r="A31" s="5" t="n">
        <v>28</v>
      </c>
      <c r="B31" s="5" t="inlineStr">
        <is>
          <t>Senior designer #3</t>
        </is>
      </c>
      <c r="C31" s="5" t="inlineStr">
        <is>
          <t>design</t>
        </is>
      </c>
      <c r="D31" s="15" t="n">
        <v>85000</v>
      </c>
      <c r="E31" s="32" t="n">
        <v>38</v>
      </c>
      <c r="F31" s="32" t="n"/>
      <c r="G31" s="17">
        <f>IF(AND(1&gt;=E31,OR(F31="",1&lt;=F31)),(D31*(1+assumptions!$G$76)^0/12*(1+assumptions!$G$70+assumptions!$G$71+IF(1&gt;=assumptions!$G$73,assumptions!$G$72,0))+assumptions!$G$74/12)+IF(1=E31,D31*assumptions!$G$75,0),0)</f>
        <v/>
      </c>
      <c r="H31" s="17">
        <f>IF(AND(2&gt;=E31,OR(F31="",2&lt;=F31)),(D31*(1+assumptions!$G$76)^0/12*(1+assumptions!$G$70+assumptions!$G$71+IF(2&gt;=assumptions!$G$73,assumptions!$G$72,0))+assumptions!$G$74/12)+IF(2=E31,D31*assumptions!$G$75,0),0)</f>
        <v/>
      </c>
      <c r="I31" s="17">
        <f>IF(AND(3&gt;=E31,OR(F31="",3&lt;=F31)),(D31*(1+assumptions!$G$76)^0/12*(1+assumptions!$G$70+assumptions!$G$71+IF(3&gt;=assumptions!$G$73,assumptions!$G$72,0))+assumptions!$G$74/12)+IF(3=E31,D31*assumptions!$G$75,0),0)</f>
        <v/>
      </c>
      <c r="J31" s="17">
        <f>IF(AND(4&gt;=E31,OR(F31="",4&lt;=F31)),(D31*(1+assumptions!$G$76)^0/12*(1+assumptions!$G$70+assumptions!$G$71+IF(4&gt;=assumptions!$G$73,assumptions!$G$72,0))+assumptions!$G$74/12)+IF(4=E31,D31*assumptions!$G$75,0),0)</f>
        <v/>
      </c>
      <c r="K31" s="17">
        <f>IF(AND(5&gt;=E31,OR(F31="",5&lt;=F31)),(D31*(1+assumptions!$G$76)^0/12*(1+assumptions!$G$70+assumptions!$G$71+IF(5&gt;=assumptions!$G$73,assumptions!$G$72,0))+assumptions!$G$74/12)+IF(5=E31,D31*assumptions!$G$75,0),0)</f>
        <v/>
      </c>
      <c r="L31" s="17">
        <f>IF(AND(6&gt;=E31,OR(F31="",6&lt;=F31)),(D31*(1+assumptions!$G$76)^0/12*(1+assumptions!$G$70+assumptions!$G$71+IF(6&gt;=assumptions!$G$73,assumptions!$G$72,0))+assumptions!$G$74/12)+IF(6=E31,D31*assumptions!$G$75,0),0)</f>
        <v/>
      </c>
      <c r="M31" s="17">
        <f>IF(AND(7&gt;=E31,OR(F31="",7&lt;=F31)),(D31*(1+assumptions!$G$76)^0/12*(1+assumptions!$G$70+assumptions!$G$71+IF(7&gt;=assumptions!$G$73,assumptions!$G$72,0))+assumptions!$G$74/12)+IF(7=E31,D31*assumptions!$G$75,0),0)</f>
        <v/>
      </c>
      <c r="N31" s="17">
        <f>IF(AND(8&gt;=E31,OR(F31="",8&lt;=F31)),(D31*(1+assumptions!$G$76)^0/12*(1+assumptions!$G$70+assumptions!$G$71+IF(8&gt;=assumptions!$G$73,assumptions!$G$72,0))+assumptions!$G$74/12)+IF(8=E31,D31*assumptions!$G$75,0),0)</f>
        <v/>
      </c>
      <c r="O31" s="17">
        <f>IF(AND(9&gt;=E31,OR(F31="",9&lt;=F31)),(D31*(1+assumptions!$G$76)^0/12*(1+assumptions!$G$70+assumptions!$G$71+IF(9&gt;=assumptions!$G$73,assumptions!$G$72,0))+assumptions!$G$74/12)+IF(9=E31,D31*assumptions!$G$75,0),0)</f>
        <v/>
      </c>
      <c r="P31" s="17">
        <f>IF(AND(10&gt;=E31,OR(F31="",10&lt;=F31)),(D31*(1+assumptions!$G$76)^0/12*(1+assumptions!$G$70+assumptions!$G$71+IF(10&gt;=assumptions!$G$73,assumptions!$G$72,0))+assumptions!$G$74/12)+IF(10=E31,D31*assumptions!$G$75,0),0)</f>
        <v/>
      </c>
      <c r="Q31" s="17">
        <f>IF(AND(11&gt;=E31,OR(F31="",11&lt;=F31)),(D31*(1+assumptions!$G$76)^0/12*(1+assumptions!$G$70+assumptions!$G$71+IF(11&gt;=assumptions!$G$73,assumptions!$G$72,0))+assumptions!$G$74/12)+IF(11=E31,D31*assumptions!$G$75,0),0)</f>
        <v/>
      </c>
      <c r="R31" s="17">
        <f>IF(AND(12&gt;=E31,OR(F31="",12&lt;=F31)),(D31*(1+assumptions!$G$76)^0/12*(1+assumptions!$G$70+assumptions!$G$71+IF(12&gt;=assumptions!$G$73,assumptions!$G$72,0))+assumptions!$G$74/12)+IF(12=E31,D31*assumptions!$G$75,0),0)</f>
        <v/>
      </c>
      <c r="S31" s="17">
        <f>IF(AND(13&gt;=E31,OR(F31="",13&lt;=F31)),(D31*(1+assumptions!$G$76)^1/12*(1+assumptions!$G$70+assumptions!$G$71+IF(13&gt;=assumptions!$G$73,assumptions!$G$72,0))+assumptions!$G$74/12)+IF(13=E31,D31*assumptions!$G$75,0),0)</f>
        <v/>
      </c>
      <c r="T31" s="17">
        <f>IF(AND(14&gt;=E31,OR(F31="",14&lt;=F31)),(D31*(1+assumptions!$G$76)^1/12*(1+assumptions!$G$70+assumptions!$G$71+IF(14&gt;=assumptions!$G$73,assumptions!$G$72,0))+assumptions!$G$74/12)+IF(14=E31,D31*assumptions!$G$75,0),0)</f>
        <v/>
      </c>
      <c r="U31" s="17">
        <f>IF(AND(15&gt;=E31,OR(F31="",15&lt;=F31)),(D31*(1+assumptions!$G$76)^1/12*(1+assumptions!$G$70+assumptions!$G$71+IF(15&gt;=assumptions!$G$73,assumptions!$G$72,0))+assumptions!$G$74/12)+IF(15=E31,D31*assumptions!$G$75,0),0)</f>
        <v/>
      </c>
      <c r="V31" s="17">
        <f>IF(AND(16&gt;=E31,OR(F31="",16&lt;=F31)),(D31*(1+assumptions!$G$76)^1/12*(1+assumptions!$G$70+assumptions!$G$71+IF(16&gt;=assumptions!$G$73,assumptions!$G$72,0))+assumptions!$G$74/12)+IF(16=E31,D31*assumptions!$G$75,0),0)</f>
        <v/>
      </c>
      <c r="W31" s="17">
        <f>IF(AND(17&gt;=E31,OR(F31="",17&lt;=F31)),(D31*(1+assumptions!$G$76)^1/12*(1+assumptions!$G$70+assumptions!$G$71+IF(17&gt;=assumptions!$G$73,assumptions!$G$72,0))+assumptions!$G$74/12)+IF(17=E31,D31*assumptions!$G$75,0),0)</f>
        <v/>
      </c>
      <c r="X31" s="17">
        <f>IF(AND(18&gt;=E31,OR(F31="",18&lt;=F31)),(D31*(1+assumptions!$G$76)^1/12*(1+assumptions!$G$70+assumptions!$G$71+IF(18&gt;=assumptions!$G$73,assumptions!$G$72,0))+assumptions!$G$74/12)+IF(18=E31,D31*assumptions!$G$75,0),0)</f>
        <v/>
      </c>
      <c r="Y31" s="17">
        <f>IF(AND(19&gt;=E31,OR(F31="",19&lt;=F31)),(D31*(1+assumptions!$G$76)^1/12*(1+assumptions!$G$70+assumptions!$G$71+IF(19&gt;=assumptions!$G$73,assumptions!$G$72,0))+assumptions!$G$74/12)+IF(19=E31,D31*assumptions!$G$75,0),0)</f>
        <v/>
      </c>
      <c r="Z31" s="17">
        <f>IF(AND(20&gt;=E31,OR(F31="",20&lt;=F31)),(D31*(1+assumptions!$G$76)^1/12*(1+assumptions!$G$70+assumptions!$G$71+IF(20&gt;=assumptions!$G$73,assumptions!$G$72,0))+assumptions!$G$74/12)+IF(20=E31,D31*assumptions!$G$75,0),0)</f>
        <v/>
      </c>
      <c r="AA31" s="17">
        <f>IF(AND(21&gt;=E31,OR(F31="",21&lt;=F31)),(D31*(1+assumptions!$G$76)^1/12*(1+assumptions!$G$70+assumptions!$G$71+IF(21&gt;=assumptions!$G$73,assumptions!$G$72,0))+assumptions!$G$74/12)+IF(21=E31,D31*assumptions!$G$75,0),0)</f>
        <v/>
      </c>
      <c r="AB31" s="17">
        <f>IF(AND(22&gt;=E31,OR(F31="",22&lt;=F31)),(D31*(1+assumptions!$G$76)^1/12*(1+assumptions!$G$70+assumptions!$G$71+IF(22&gt;=assumptions!$G$73,assumptions!$G$72,0))+assumptions!$G$74/12)+IF(22=E31,D31*assumptions!$G$75,0),0)</f>
        <v/>
      </c>
      <c r="AC31" s="17">
        <f>IF(AND(23&gt;=E31,OR(F31="",23&lt;=F31)),(D31*(1+assumptions!$G$76)^1/12*(1+assumptions!$G$70+assumptions!$G$71+IF(23&gt;=assumptions!$G$73,assumptions!$G$72,0))+assumptions!$G$74/12)+IF(23=E31,D31*assumptions!$G$75,0),0)</f>
        <v/>
      </c>
      <c r="AD31" s="17">
        <f>IF(AND(24&gt;=E31,OR(F31="",24&lt;=F31)),(D31*(1+assumptions!$G$76)^1/12*(1+assumptions!$G$70+assumptions!$G$71+IF(24&gt;=assumptions!$G$73,assumptions!$G$72,0))+assumptions!$G$74/12)+IF(24=E31,D31*assumptions!$G$75,0),0)</f>
        <v/>
      </c>
      <c r="AE31" s="17">
        <f>IF(AND(25&gt;=E31,OR(F31="",25&lt;=F31)),(D31*(1+assumptions!$G$76)^2/12*(1+assumptions!$G$70+assumptions!$G$71+IF(25&gt;=assumptions!$G$73,assumptions!$G$72,0))+assumptions!$G$74/12)+IF(25=E31,D31*assumptions!$G$75,0),0)</f>
        <v/>
      </c>
      <c r="AF31" s="17">
        <f>IF(AND(26&gt;=E31,OR(F31="",26&lt;=F31)),(D31*(1+assumptions!$G$76)^2/12*(1+assumptions!$G$70+assumptions!$G$71+IF(26&gt;=assumptions!$G$73,assumptions!$G$72,0))+assumptions!$G$74/12)+IF(26=E31,D31*assumptions!$G$75,0),0)</f>
        <v/>
      </c>
      <c r="AG31" s="17">
        <f>IF(AND(27&gt;=E31,OR(F31="",27&lt;=F31)),(D31*(1+assumptions!$G$76)^2/12*(1+assumptions!$G$70+assumptions!$G$71+IF(27&gt;=assumptions!$G$73,assumptions!$G$72,0))+assumptions!$G$74/12)+IF(27=E31,D31*assumptions!$G$75,0),0)</f>
        <v/>
      </c>
      <c r="AH31" s="17">
        <f>IF(AND(28&gt;=E31,OR(F31="",28&lt;=F31)),(D31*(1+assumptions!$G$76)^2/12*(1+assumptions!$G$70+assumptions!$G$71+IF(28&gt;=assumptions!$G$73,assumptions!$G$72,0))+assumptions!$G$74/12)+IF(28=E31,D31*assumptions!$G$75,0),0)</f>
        <v/>
      </c>
      <c r="AI31" s="17">
        <f>IF(AND(29&gt;=E31,OR(F31="",29&lt;=F31)),(D31*(1+assumptions!$G$76)^2/12*(1+assumptions!$G$70+assumptions!$G$71+IF(29&gt;=assumptions!$G$73,assumptions!$G$72,0))+assumptions!$G$74/12)+IF(29=E31,D31*assumptions!$G$75,0),0)</f>
        <v/>
      </c>
      <c r="AJ31" s="17">
        <f>IF(AND(30&gt;=E31,OR(F31="",30&lt;=F31)),(D31*(1+assumptions!$G$76)^2/12*(1+assumptions!$G$70+assumptions!$G$71+IF(30&gt;=assumptions!$G$73,assumptions!$G$72,0))+assumptions!$G$74/12)+IF(30=E31,D31*assumptions!$G$75,0),0)</f>
        <v/>
      </c>
      <c r="AK31" s="17">
        <f>IF(AND(31&gt;=E31,OR(F31="",31&lt;=F31)),(D31*(1+assumptions!$G$76)^2/12*(1+assumptions!$G$70+assumptions!$G$71+IF(31&gt;=assumptions!$G$73,assumptions!$G$72,0))+assumptions!$G$74/12)+IF(31=E31,D31*assumptions!$G$75,0),0)</f>
        <v/>
      </c>
      <c r="AL31" s="17">
        <f>IF(AND(32&gt;=E31,OR(F31="",32&lt;=F31)),(D31*(1+assumptions!$G$76)^2/12*(1+assumptions!$G$70+assumptions!$G$71+IF(32&gt;=assumptions!$G$73,assumptions!$G$72,0))+assumptions!$G$74/12)+IF(32=E31,D31*assumptions!$G$75,0),0)</f>
        <v/>
      </c>
      <c r="AM31" s="17">
        <f>IF(AND(33&gt;=E31,OR(F31="",33&lt;=F31)),(D31*(1+assumptions!$G$76)^2/12*(1+assumptions!$G$70+assumptions!$G$71+IF(33&gt;=assumptions!$G$73,assumptions!$G$72,0))+assumptions!$G$74/12)+IF(33=E31,D31*assumptions!$G$75,0),0)</f>
        <v/>
      </c>
      <c r="AN31" s="17">
        <f>IF(AND(34&gt;=E31,OR(F31="",34&lt;=F31)),(D31*(1+assumptions!$G$76)^2/12*(1+assumptions!$G$70+assumptions!$G$71+IF(34&gt;=assumptions!$G$73,assumptions!$G$72,0))+assumptions!$G$74/12)+IF(34=E31,D31*assumptions!$G$75,0),0)</f>
        <v/>
      </c>
      <c r="AO31" s="17">
        <f>IF(AND(35&gt;=E31,OR(F31="",35&lt;=F31)),(D31*(1+assumptions!$G$76)^2/12*(1+assumptions!$G$70+assumptions!$G$71+IF(35&gt;=assumptions!$G$73,assumptions!$G$72,0))+assumptions!$G$74/12)+IF(35=E31,D31*assumptions!$G$75,0),0)</f>
        <v/>
      </c>
      <c r="AP31" s="17">
        <f>IF(AND(36&gt;=E31,OR(F31="",36&lt;=F31)),(D31*(1+assumptions!$G$76)^2/12*(1+assumptions!$G$70+assumptions!$G$71+IF(36&gt;=assumptions!$G$73,assumptions!$G$72,0))+assumptions!$G$74/12)+IF(36=E31,D31*assumptions!$G$75,0),0)</f>
        <v/>
      </c>
      <c r="AQ31" s="17">
        <f>IF(AND(37&gt;=E31,OR(F31="",37&lt;=F31)),(D31*(1+assumptions!$G$76)^3/12*(1+assumptions!$G$70+assumptions!$G$71+IF(37&gt;=assumptions!$G$73,assumptions!$G$72,0))+assumptions!$G$74/12)+IF(37=E31,D31*assumptions!$G$75,0),0)</f>
        <v/>
      </c>
      <c r="AR31" s="17">
        <f>IF(AND(38&gt;=E31,OR(F31="",38&lt;=F31)),(D31*(1+assumptions!$G$76)^3/12*(1+assumptions!$G$70+assumptions!$G$71+IF(38&gt;=assumptions!$G$73,assumptions!$G$72,0))+assumptions!$G$74/12)+IF(38=E31,D31*assumptions!$G$75,0),0)</f>
        <v/>
      </c>
      <c r="AS31" s="17">
        <f>IF(AND(39&gt;=E31,OR(F31="",39&lt;=F31)),(D31*(1+assumptions!$G$76)^3/12*(1+assumptions!$G$70+assumptions!$G$71+IF(39&gt;=assumptions!$G$73,assumptions!$G$72,0))+assumptions!$G$74/12)+IF(39=E31,D31*assumptions!$G$75,0),0)</f>
        <v/>
      </c>
      <c r="AT31" s="17">
        <f>IF(AND(40&gt;=E31,OR(F31="",40&lt;=F31)),(D31*(1+assumptions!$G$76)^3/12*(1+assumptions!$G$70+assumptions!$G$71+IF(40&gt;=assumptions!$G$73,assumptions!$G$72,0))+assumptions!$G$74/12)+IF(40=E31,D31*assumptions!$G$75,0),0)</f>
        <v/>
      </c>
      <c r="AU31" s="17">
        <f>IF(AND(41&gt;=E31,OR(F31="",41&lt;=F31)),(D31*(1+assumptions!$G$76)^3/12*(1+assumptions!$G$70+assumptions!$G$71+IF(41&gt;=assumptions!$G$73,assumptions!$G$72,0))+assumptions!$G$74/12)+IF(41=E31,D31*assumptions!$G$75,0),0)</f>
        <v/>
      </c>
      <c r="AV31" s="17">
        <f>IF(AND(42&gt;=E31,OR(F31="",42&lt;=F31)),(D31*(1+assumptions!$G$76)^3/12*(1+assumptions!$G$70+assumptions!$G$71+IF(42&gt;=assumptions!$G$73,assumptions!$G$72,0))+assumptions!$G$74/12)+IF(42=E31,D31*assumptions!$G$75,0),0)</f>
        <v/>
      </c>
      <c r="AW31" s="17">
        <f>IF(AND(43&gt;=E31,OR(F31="",43&lt;=F31)),(D31*(1+assumptions!$G$76)^3/12*(1+assumptions!$G$70+assumptions!$G$71+IF(43&gt;=assumptions!$G$73,assumptions!$G$72,0))+assumptions!$G$74/12)+IF(43=E31,D31*assumptions!$G$75,0),0)</f>
        <v/>
      </c>
      <c r="AX31" s="17">
        <f>IF(AND(44&gt;=E31,OR(F31="",44&lt;=F31)),(D31*(1+assumptions!$G$76)^3/12*(1+assumptions!$G$70+assumptions!$G$71+IF(44&gt;=assumptions!$G$73,assumptions!$G$72,0))+assumptions!$G$74/12)+IF(44=E31,D31*assumptions!$G$75,0),0)</f>
        <v/>
      </c>
      <c r="AY31" s="17">
        <f>IF(AND(45&gt;=E31,OR(F31="",45&lt;=F31)),(D31*(1+assumptions!$G$76)^3/12*(1+assumptions!$G$70+assumptions!$G$71+IF(45&gt;=assumptions!$G$73,assumptions!$G$72,0))+assumptions!$G$74/12)+IF(45=E31,D31*assumptions!$G$75,0),0)</f>
        <v/>
      </c>
      <c r="AZ31" s="17">
        <f>IF(AND(46&gt;=E31,OR(F31="",46&lt;=F31)),(D31*(1+assumptions!$G$76)^3/12*(1+assumptions!$G$70+assumptions!$G$71+IF(46&gt;=assumptions!$G$73,assumptions!$G$72,0))+assumptions!$G$74/12)+IF(46=E31,D31*assumptions!$G$75,0),0)</f>
        <v/>
      </c>
      <c r="BA31" s="17">
        <f>IF(AND(47&gt;=E31,OR(F31="",47&lt;=F31)),(D31*(1+assumptions!$G$76)^3/12*(1+assumptions!$G$70+assumptions!$G$71+IF(47&gt;=assumptions!$G$73,assumptions!$G$72,0))+assumptions!$G$74/12)+IF(47=E31,D31*assumptions!$G$75,0),0)</f>
        <v/>
      </c>
      <c r="BB31" s="17">
        <f>IF(AND(48&gt;=E31,OR(F31="",48&lt;=F31)),(D31*(1+assumptions!$G$76)^3/12*(1+assumptions!$G$70+assumptions!$G$71+IF(48&gt;=assumptions!$G$73,assumptions!$G$72,0))+assumptions!$G$74/12)+IF(48=E31,D31*assumptions!$G$75,0),0)</f>
        <v/>
      </c>
      <c r="BC31" s="17">
        <f>IF(AND(49&gt;=E31,OR(F31="",49&lt;=F31)),(D31*(1+assumptions!$G$76)^4/12*(1+assumptions!$G$70+assumptions!$G$71+IF(49&gt;=assumptions!$G$73,assumptions!$G$72,0))+assumptions!$G$74/12)+IF(49=E31,D31*assumptions!$G$75,0),0)</f>
        <v/>
      </c>
      <c r="BD31" s="17">
        <f>IF(AND(50&gt;=E31,OR(F31="",50&lt;=F31)),(D31*(1+assumptions!$G$76)^4/12*(1+assumptions!$G$70+assumptions!$G$71+IF(50&gt;=assumptions!$G$73,assumptions!$G$72,0))+assumptions!$G$74/12)+IF(50=E31,D31*assumptions!$G$75,0),0)</f>
        <v/>
      </c>
      <c r="BE31" s="17">
        <f>IF(AND(51&gt;=E31,OR(F31="",51&lt;=F31)),(D31*(1+assumptions!$G$76)^4/12*(1+assumptions!$G$70+assumptions!$G$71+IF(51&gt;=assumptions!$G$73,assumptions!$G$72,0))+assumptions!$G$74/12)+IF(51=E31,D31*assumptions!$G$75,0),0)</f>
        <v/>
      </c>
      <c r="BF31" s="17">
        <f>IF(AND(52&gt;=E31,OR(F31="",52&lt;=F31)),(D31*(1+assumptions!$G$76)^4/12*(1+assumptions!$G$70+assumptions!$G$71+IF(52&gt;=assumptions!$G$73,assumptions!$G$72,0))+assumptions!$G$74/12)+IF(52=E31,D31*assumptions!$G$75,0),0)</f>
        <v/>
      </c>
      <c r="BG31" s="17">
        <f>IF(AND(53&gt;=E31,OR(F31="",53&lt;=F31)),(D31*(1+assumptions!$G$76)^4/12*(1+assumptions!$G$70+assumptions!$G$71+IF(53&gt;=assumptions!$G$73,assumptions!$G$72,0))+assumptions!$G$74/12)+IF(53=E31,D31*assumptions!$G$75,0),0)</f>
        <v/>
      </c>
      <c r="BH31" s="17">
        <f>IF(AND(54&gt;=E31,OR(F31="",54&lt;=F31)),(D31*(1+assumptions!$G$76)^4/12*(1+assumptions!$G$70+assumptions!$G$71+IF(54&gt;=assumptions!$G$73,assumptions!$G$72,0))+assumptions!$G$74/12)+IF(54=E31,D31*assumptions!$G$75,0),0)</f>
        <v/>
      </c>
      <c r="BI31" s="17">
        <f>IF(AND(55&gt;=E31,OR(F31="",55&lt;=F31)),(D31*(1+assumptions!$G$76)^4/12*(1+assumptions!$G$70+assumptions!$G$71+IF(55&gt;=assumptions!$G$73,assumptions!$G$72,0))+assumptions!$G$74/12)+IF(55=E31,D31*assumptions!$G$75,0),0)</f>
        <v/>
      </c>
      <c r="BJ31" s="17">
        <f>IF(AND(56&gt;=E31,OR(F31="",56&lt;=F31)),(D31*(1+assumptions!$G$76)^4/12*(1+assumptions!$G$70+assumptions!$G$71+IF(56&gt;=assumptions!$G$73,assumptions!$G$72,0))+assumptions!$G$74/12)+IF(56=E31,D31*assumptions!$G$75,0),0)</f>
        <v/>
      </c>
      <c r="BK31" s="17">
        <f>IF(AND(57&gt;=E31,OR(F31="",57&lt;=F31)),(D31*(1+assumptions!$G$76)^4/12*(1+assumptions!$G$70+assumptions!$G$71+IF(57&gt;=assumptions!$G$73,assumptions!$G$72,0))+assumptions!$G$74/12)+IF(57=E31,D31*assumptions!$G$75,0),0)</f>
        <v/>
      </c>
      <c r="BL31" s="17">
        <f>IF(AND(58&gt;=E31,OR(F31="",58&lt;=F31)),(D31*(1+assumptions!$G$76)^4/12*(1+assumptions!$G$70+assumptions!$G$71+IF(58&gt;=assumptions!$G$73,assumptions!$G$72,0))+assumptions!$G$74/12)+IF(58=E31,D31*assumptions!$G$75,0),0)</f>
        <v/>
      </c>
      <c r="BM31" s="17">
        <f>IF(AND(59&gt;=E31,OR(F31="",59&lt;=F31)),(D31*(1+assumptions!$G$76)^4/12*(1+assumptions!$G$70+assumptions!$G$71+IF(59&gt;=assumptions!$G$73,assumptions!$G$72,0))+assumptions!$G$74/12)+IF(59=E31,D31*assumptions!$G$75,0),0)</f>
        <v/>
      </c>
      <c r="BN31" s="17">
        <f>IF(AND(60&gt;=E31,OR(F31="",60&lt;=F31)),(D31*(1+assumptions!$G$76)^4/12*(1+assumptions!$G$70+assumptions!$G$71+IF(60&gt;=assumptions!$G$73,assumptions!$G$72,0))+assumptions!$G$74/12)+IF(60=E31,D31*assumptions!$G$75,0),0)</f>
        <v/>
      </c>
    </row>
    <row r="32">
      <c r="A32" s="5" t="n">
        <v>29</v>
      </c>
      <c r="B32" s="5" t="inlineStr">
        <is>
          <t>ML / recommendations engineer</t>
        </is>
      </c>
      <c r="C32" s="5" t="inlineStr">
        <is>
          <t>eng</t>
        </is>
      </c>
      <c r="D32" s="15" t="n">
        <v>105000</v>
      </c>
      <c r="E32" s="32" t="n">
        <v>40</v>
      </c>
      <c r="F32" s="32" t="n"/>
      <c r="G32" s="17">
        <f>IF(AND(1&gt;=E32,OR(F32="",1&lt;=F32)),(D32*(1+assumptions!$G$76)^0/12*(1+assumptions!$G$70+assumptions!$G$71+IF(1&gt;=assumptions!$G$73,assumptions!$G$72,0))+assumptions!$G$74/12)+IF(1=E32,D32*assumptions!$G$75,0),0)</f>
        <v/>
      </c>
      <c r="H32" s="17">
        <f>IF(AND(2&gt;=E32,OR(F32="",2&lt;=F32)),(D32*(1+assumptions!$G$76)^0/12*(1+assumptions!$G$70+assumptions!$G$71+IF(2&gt;=assumptions!$G$73,assumptions!$G$72,0))+assumptions!$G$74/12)+IF(2=E32,D32*assumptions!$G$75,0),0)</f>
        <v/>
      </c>
      <c r="I32" s="17">
        <f>IF(AND(3&gt;=E32,OR(F32="",3&lt;=F32)),(D32*(1+assumptions!$G$76)^0/12*(1+assumptions!$G$70+assumptions!$G$71+IF(3&gt;=assumptions!$G$73,assumptions!$G$72,0))+assumptions!$G$74/12)+IF(3=E32,D32*assumptions!$G$75,0),0)</f>
        <v/>
      </c>
      <c r="J32" s="17">
        <f>IF(AND(4&gt;=E32,OR(F32="",4&lt;=F32)),(D32*(1+assumptions!$G$76)^0/12*(1+assumptions!$G$70+assumptions!$G$71+IF(4&gt;=assumptions!$G$73,assumptions!$G$72,0))+assumptions!$G$74/12)+IF(4=E32,D32*assumptions!$G$75,0),0)</f>
        <v/>
      </c>
      <c r="K32" s="17">
        <f>IF(AND(5&gt;=E32,OR(F32="",5&lt;=F32)),(D32*(1+assumptions!$G$76)^0/12*(1+assumptions!$G$70+assumptions!$G$71+IF(5&gt;=assumptions!$G$73,assumptions!$G$72,0))+assumptions!$G$74/12)+IF(5=E32,D32*assumptions!$G$75,0),0)</f>
        <v/>
      </c>
      <c r="L32" s="17">
        <f>IF(AND(6&gt;=E32,OR(F32="",6&lt;=F32)),(D32*(1+assumptions!$G$76)^0/12*(1+assumptions!$G$70+assumptions!$G$71+IF(6&gt;=assumptions!$G$73,assumptions!$G$72,0))+assumptions!$G$74/12)+IF(6=E32,D32*assumptions!$G$75,0),0)</f>
        <v/>
      </c>
      <c r="M32" s="17">
        <f>IF(AND(7&gt;=E32,OR(F32="",7&lt;=F32)),(D32*(1+assumptions!$G$76)^0/12*(1+assumptions!$G$70+assumptions!$G$71+IF(7&gt;=assumptions!$G$73,assumptions!$G$72,0))+assumptions!$G$74/12)+IF(7=E32,D32*assumptions!$G$75,0),0)</f>
        <v/>
      </c>
      <c r="N32" s="17">
        <f>IF(AND(8&gt;=E32,OR(F32="",8&lt;=F32)),(D32*(1+assumptions!$G$76)^0/12*(1+assumptions!$G$70+assumptions!$G$71+IF(8&gt;=assumptions!$G$73,assumptions!$G$72,0))+assumptions!$G$74/12)+IF(8=E32,D32*assumptions!$G$75,0),0)</f>
        <v/>
      </c>
      <c r="O32" s="17">
        <f>IF(AND(9&gt;=E32,OR(F32="",9&lt;=F32)),(D32*(1+assumptions!$G$76)^0/12*(1+assumptions!$G$70+assumptions!$G$71+IF(9&gt;=assumptions!$G$73,assumptions!$G$72,0))+assumptions!$G$74/12)+IF(9=E32,D32*assumptions!$G$75,0),0)</f>
        <v/>
      </c>
      <c r="P32" s="17">
        <f>IF(AND(10&gt;=E32,OR(F32="",10&lt;=F32)),(D32*(1+assumptions!$G$76)^0/12*(1+assumptions!$G$70+assumptions!$G$71+IF(10&gt;=assumptions!$G$73,assumptions!$G$72,0))+assumptions!$G$74/12)+IF(10=E32,D32*assumptions!$G$75,0),0)</f>
        <v/>
      </c>
      <c r="Q32" s="17">
        <f>IF(AND(11&gt;=E32,OR(F32="",11&lt;=F32)),(D32*(1+assumptions!$G$76)^0/12*(1+assumptions!$G$70+assumptions!$G$71+IF(11&gt;=assumptions!$G$73,assumptions!$G$72,0))+assumptions!$G$74/12)+IF(11=E32,D32*assumptions!$G$75,0),0)</f>
        <v/>
      </c>
      <c r="R32" s="17">
        <f>IF(AND(12&gt;=E32,OR(F32="",12&lt;=F32)),(D32*(1+assumptions!$G$76)^0/12*(1+assumptions!$G$70+assumptions!$G$71+IF(12&gt;=assumptions!$G$73,assumptions!$G$72,0))+assumptions!$G$74/12)+IF(12=E32,D32*assumptions!$G$75,0),0)</f>
        <v/>
      </c>
      <c r="S32" s="17">
        <f>IF(AND(13&gt;=E32,OR(F32="",13&lt;=F32)),(D32*(1+assumptions!$G$76)^1/12*(1+assumptions!$G$70+assumptions!$G$71+IF(13&gt;=assumptions!$G$73,assumptions!$G$72,0))+assumptions!$G$74/12)+IF(13=E32,D32*assumptions!$G$75,0),0)</f>
        <v/>
      </c>
      <c r="T32" s="17">
        <f>IF(AND(14&gt;=E32,OR(F32="",14&lt;=F32)),(D32*(1+assumptions!$G$76)^1/12*(1+assumptions!$G$70+assumptions!$G$71+IF(14&gt;=assumptions!$G$73,assumptions!$G$72,0))+assumptions!$G$74/12)+IF(14=E32,D32*assumptions!$G$75,0),0)</f>
        <v/>
      </c>
      <c r="U32" s="17">
        <f>IF(AND(15&gt;=E32,OR(F32="",15&lt;=F32)),(D32*(1+assumptions!$G$76)^1/12*(1+assumptions!$G$70+assumptions!$G$71+IF(15&gt;=assumptions!$G$73,assumptions!$G$72,0))+assumptions!$G$74/12)+IF(15=E32,D32*assumptions!$G$75,0),0)</f>
        <v/>
      </c>
      <c r="V32" s="17">
        <f>IF(AND(16&gt;=E32,OR(F32="",16&lt;=F32)),(D32*(1+assumptions!$G$76)^1/12*(1+assumptions!$G$70+assumptions!$G$71+IF(16&gt;=assumptions!$G$73,assumptions!$G$72,0))+assumptions!$G$74/12)+IF(16=E32,D32*assumptions!$G$75,0),0)</f>
        <v/>
      </c>
      <c r="W32" s="17">
        <f>IF(AND(17&gt;=E32,OR(F32="",17&lt;=F32)),(D32*(1+assumptions!$G$76)^1/12*(1+assumptions!$G$70+assumptions!$G$71+IF(17&gt;=assumptions!$G$73,assumptions!$G$72,0))+assumptions!$G$74/12)+IF(17=E32,D32*assumptions!$G$75,0),0)</f>
        <v/>
      </c>
      <c r="X32" s="17">
        <f>IF(AND(18&gt;=E32,OR(F32="",18&lt;=F32)),(D32*(1+assumptions!$G$76)^1/12*(1+assumptions!$G$70+assumptions!$G$71+IF(18&gt;=assumptions!$G$73,assumptions!$G$72,0))+assumptions!$G$74/12)+IF(18=E32,D32*assumptions!$G$75,0),0)</f>
        <v/>
      </c>
      <c r="Y32" s="17">
        <f>IF(AND(19&gt;=E32,OR(F32="",19&lt;=F32)),(D32*(1+assumptions!$G$76)^1/12*(1+assumptions!$G$70+assumptions!$G$71+IF(19&gt;=assumptions!$G$73,assumptions!$G$72,0))+assumptions!$G$74/12)+IF(19=E32,D32*assumptions!$G$75,0),0)</f>
        <v/>
      </c>
      <c r="Z32" s="17">
        <f>IF(AND(20&gt;=E32,OR(F32="",20&lt;=F32)),(D32*(1+assumptions!$G$76)^1/12*(1+assumptions!$G$70+assumptions!$G$71+IF(20&gt;=assumptions!$G$73,assumptions!$G$72,0))+assumptions!$G$74/12)+IF(20=E32,D32*assumptions!$G$75,0),0)</f>
        <v/>
      </c>
      <c r="AA32" s="17">
        <f>IF(AND(21&gt;=E32,OR(F32="",21&lt;=F32)),(D32*(1+assumptions!$G$76)^1/12*(1+assumptions!$G$70+assumptions!$G$71+IF(21&gt;=assumptions!$G$73,assumptions!$G$72,0))+assumptions!$G$74/12)+IF(21=E32,D32*assumptions!$G$75,0),0)</f>
        <v/>
      </c>
      <c r="AB32" s="17">
        <f>IF(AND(22&gt;=E32,OR(F32="",22&lt;=F32)),(D32*(1+assumptions!$G$76)^1/12*(1+assumptions!$G$70+assumptions!$G$71+IF(22&gt;=assumptions!$G$73,assumptions!$G$72,0))+assumptions!$G$74/12)+IF(22=E32,D32*assumptions!$G$75,0),0)</f>
        <v/>
      </c>
      <c r="AC32" s="17">
        <f>IF(AND(23&gt;=E32,OR(F32="",23&lt;=F32)),(D32*(1+assumptions!$G$76)^1/12*(1+assumptions!$G$70+assumptions!$G$71+IF(23&gt;=assumptions!$G$73,assumptions!$G$72,0))+assumptions!$G$74/12)+IF(23=E32,D32*assumptions!$G$75,0),0)</f>
        <v/>
      </c>
      <c r="AD32" s="17">
        <f>IF(AND(24&gt;=E32,OR(F32="",24&lt;=F32)),(D32*(1+assumptions!$G$76)^1/12*(1+assumptions!$G$70+assumptions!$G$71+IF(24&gt;=assumptions!$G$73,assumptions!$G$72,0))+assumptions!$G$74/12)+IF(24=E32,D32*assumptions!$G$75,0),0)</f>
        <v/>
      </c>
      <c r="AE32" s="17">
        <f>IF(AND(25&gt;=E32,OR(F32="",25&lt;=F32)),(D32*(1+assumptions!$G$76)^2/12*(1+assumptions!$G$70+assumptions!$G$71+IF(25&gt;=assumptions!$G$73,assumptions!$G$72,0))+assumptions!$G$74/12)+IF(25=E32,D32*assumptions!$G$75,0),0)</f>
        <v/>
      </c>
      <c r="AF32" s="17">
        <f>IF(AND(26&gt;=E32,OR(F32="",26&lt;=F32)),(D32*(1+assumptions!$G$76)^2/12*(1+assumptions!$G$70+assumptions!$G$71+IF(26&gt;=assumptions!$G$73,assumptions!$G$72,0))+assumptions!$G$74/12)+IF(26=E32,D32*assumptions!$G$75,0),0)</f>
        <v/>
      </c>
      <c r="AG32" s="17">
        <f>IF(AND(27&gt;=E32,OR(F32="",27&lt;=F32)),(D32*(1+assumptions!$G$76)^2/12*(1+assumptions!$G$70+assumptions!$G$71+IF(27&gt;=assumptions!$G$73,assumptions!$G$72,0))+assumptions!$G$74/12)+IF(27=E32,D32*assumptions!$G$75,0),0)</f>
        <v/>
      </c>
      <c r="AH32" s="17">
        <f>IF(AND(28&gt;=E32,OR(F32="",28&lt;=F32)),(D32*(1+assumptions!$G$76)^2/12*(1+assumptions!$G$70+assumptions!$G$71+IF(28&gt;=assumptions!$G$73,assumptions!$G$72,0))+assumptions!$G$74/12)+IF(28=E32,D32*assumptions!$G$75,0),0)</f>
        <v/>
      </c>
      <c r="AI32" s="17">
        <f>IF(AND(29&gt;=E32,OR(F32="",29&lt;=F32)),(D32*(1+assumptions!$G$76)^2/12*(1+assumptions!$G$70+assumptions!$G$71+IF(29&gt;=assumptions!$G$73,assumptions!$G$72,0))+assumptions!$G$74/12)+IF(29=E32,D32*assumptions!$G$75,0),0)</f>
        <v/>
      </c>
      <c r="AJ32" s="17">
        <f>IF(AND(30&gt;=E32,OR(F32="",30&lt;=F32)),(D32*(1+assumptions!$G$76)^2/12*(1+assumptions!$G$70+assumptions!$G$71+IF(30&gt;=assumptions!$G$73,assumptions!$G$72,0))+assumptions!$G$74/12)+IF(30=E32,D32*assumptions!$G$75,0),0)</f>
        <v/>
      </c>
      <c r="AK32" s="17">
        <f>IF(AND(31&gt;=E32,OR(F32="",31&lt;=F32)),(D32*(1+assumptions!$G$76)^2/12*(1+assumptions!$G$70+assumptions!$G$71+IF(31&gt;=assumptions!$G$73,assumptions!$G$72,0))+assumptions!$G$74/12)+IF(31=E32,D32*assumptions!$G$75,0),0)</f>
        <v/>
      </c>
      <c r="AL32" s="17">
        <f>IF(AND(32&gt;=E32,OR(F32="",32&lt;=F32)),(D32*(1+assumptions!$G$76)^2/12*(1+assumptions!$G$70+assumptions!$G$71+IF(32&gt;=assumptions!$G$73,assumptions!$G$72,0))+assumptions!$G$74/12)+IF(32=E32,D32*assumptions!$G$75,0),0)</f>
        <v/>
      </c>
      <c r="AM32" s="17">
        <f>IF(AND(33&gt;=E32,OR(F32="",33&lt;=F32)),(D32*(1+assumptions!$G$76)^2/12*(1+assumptions!$G$70+assumptions!$G$71+IF(33&gt;=assumptions!$G$73,assumptions!$G$72,0))+assumptions!$G$74/12)+IF(33=E32,D32*assumptions!$G$75,0),0)</f>
        <v/>
      </c>
      <c r="AN32" s="17">
        <f>IF(AND(34&gt;=E32,OR(F32="",34&lt;=F32)),(D32*(1+assumptions!$G$76)^2/12*(1+assumptions!$G$70+assumptions!$G$71+IF(34&gt;=assumptions!$G$73,assumptions!$G$72,0))+assumptions!$G$74/12)+IF(34=E32,D32*assumptions!$G$75,0),0)</f>
        <v/>
      </c>
      <c r="AO32" s="17">
        <f>IF(AND(35&gt;=E32,OR(F32="",35&lt;=F32)),(D32*(1+assumptions!$G$76)^2/12*(1+assumptions!$G$70+assumptions!$G$71+IF(35&gt;=assumptions!$G$73,assumptions!$G$72,0))+assumptions!$G$74/12)+IF(35=E32,D32*assumptions!$G$75,0),0)</f>
        <v/>
      </c>
      <c r="AP32" s="17">
        <f>IF(AND(36&gt;=E32,OR(F32="",36&lt;=F32)),(D32*(1+assumptions!$G$76)^2/12*(1+assumptions!$G$70+assumptions!$G$71+IF(36&gt;=assumptions!$G$73,assumptions!$G$72,0))+assumptions!$G$74/12)+IF(36=E32,D32*assumptions!$G$75,0),0)</f>
        <v/>
      </c>
      <c r="AQ32" s="17">
        <f>IF(AND(37&gt;=E32,OR(F32="",37&lt;=F32)),(D32*(1+assumptions!$G$76)^3/12*(1+assumptions!$G$70+assumptions!$G$71+IF(37&gt;=assumptions!$G$73,assumptions!$G$72,0))+assumptions!$G$74/12)+IF(37=E32,D32*assumptions!$G$75,0),0)</f>
        <v/>
      </c>
      <c r="AR32" s="17">
        <f>IF(AND(38&gt;=E32,OR(F32="",38&lt;=F32)),(D32*(1+assumptions!$G$76)^3/12*(1+assumptions!$G$70+assumptions!$G$71+IF(38&gt;=assumptions!$G$73,assumptions!$G$72,0))+assumptions!$G$74/12)+IF(38=E32,D32*assumptions!$G$75,0),0)</f>
        <v/>
      </c>
      <c r="AS32" s="17">
        <f>IF(AND(39&gt;=E32,OR(F32="",39&lt;=F32)),(D32*(1+assumptions!$G$76)^3/12*(1+assumptions!$G$70+assumptions!$G$71+IF(39&gt;=assumptions!$G$73,assumptions!$G$72,0))+assumptions!$G$74/12)+IF(39=E32,D32*assumptions!$G$75,0),0)</f>
        <v/>
      </c>
      <c r="AT32" s="17">
        <f>IF(AND(40&gt;=E32,OR(F32="",40&lt;=F32)),(D32*(1+assumptions!$G$76)^3/12*(1+assumptions!$G$70+assumptions!$G$71+IF(40&gt;=assumptions!$G$73,assumptions!$G$72,0))+assumptions!$G$74/12)+IF(40=E32,D32*assumptions!$G$75,0),0)</f>
        <v/>
      </c>
      <c r="AU32" s="17">
        <f>IF(AND(41&gt;=E32,OR(F32="",41&lt;=F32)),(D32*(1+assumptions!$G$76)^3/12*(1+assumptions!$G$70+assumptions!$G$71+IF(41&gt;=assumptions!$G$73,assumptions!$G$72,0))+assumptions!$G$74/12)+IF(41=E32,D32*assumptions!$G$75,0),0)</f>
        <v/>
      </c>
      <c r="AV32" s="17">
        <f>IF(AND(42&gt;=E32,OR(F32="",42&lt;=F32)),(D32*(1+assumptions!$G$76)^3/12*(1+assumptions!$G$70+assumptions!$G$71+IF(42&gt;=assumptions!$G$73,assumptions!$G$72,0))+assumptions!$G$74/12)+IF(42=E32,D32*assumptions!$G$75,0),0)</f>
        <v/>
      </c>
      <c r="AW32" s="17">
        <f>IF(AND(43&gt;=E32,OR(F32="",43&lt;=F32)),(D32*(1+assumptions!$G$76)^3/12*(1+assumptions!$G$70+assumptions!$G$71+IF(43&gt;=assumptions!$G$73,assumptions!$G$72,0))+assumptions!$G$74/12)+IF(43=E32,D32*assumptions!$G$75,0),0)</f>
        <v/>
      </c>
      <c r="AX32" s="17">
        <f>IF(AND(44&gt;=E32,OR(F32="",44&lt;=F32)),(D32*(1+assumptions!$G$76)^3/12*(1+assumptions!$G$70+assumptions!$G$71+IF(44&gt;=assumptions!$G$73,assumptions!$G$72,0))+assumptions!$G$74/12)+IF(44=E32,D32*assumptions!$G$75,0),0)</f>
        <v/>
      </c>
      <c r="AY32" s="17">
        <f>IF(AND(45&gt;=E32,OR(F32="",45&lt;=F32)),(D32*(1+assumptions!$G$76)^3/12*(1+assumptions!$G$70+assumptions!$G$71+IF(45&gt;=assumptions!$G$73,assumptions!$G$72,0))+assumptions!$G$74/12)+IF(45=E32,D32*assumptions!$G$75,0),0)</f>
        <v/>
      </c>
      <c r="AZ32" s="17">
        <f>IF(AND(46&gt;=E32,OR(F32="",46&lt;=F32)),(D32*(1+assumptions!$G$76)^3/12*(1+assumptions!$G$70+assumptions!$G$71+IF(46&gt;=assumptions!$G$73,assumptions!$G$72,0))+assumptions!$G$74/12)+IF(46=E32,D32*assumptions!$G$75,0),0)</f>
        <v/>
      </c>
      <c r="BA32" s="17">
        <f>IF(AND(47&gt;=E32,OR(F32="",47&lt;=F32)),(D32*(1+assumptions!$G$76)^3/12*(1+assumptions!$G$70+assumptions!$G$71+IF(47&gt;=assumptions!$G$73,assumptions!$G$72,0))+assumptions!$G$74/12)+IF(47=E32,D32*assumptions!$G$75,0),0)</f>
        <v/>
      </c>
      <c r="BB32" s="17">
        <f>IF(AND(48&gt;=E32,OR(F32="",48&lt;=F32)),(D32*(1+assumptions!$G$76)^3/12*(1+assumptions!$G$70+assumptions!$G$71+IF(48&gt;=assumptions!$G$73,assumptions!$G$72,0))+assumptions!$G$74/12)+IF(48=E32,D32*assumptions!$G$75,0),0)</f>
        <v/>
      </c>
      <c r="BC32" s="17">
        <f>IF(AND(49&gt;=E32,OR(F32="",49&lt;=F32)),(D32*(1+assumptions!$G$76)^4/12*(1+assumptions!$G$70+assumptions!$G$71+IF(49&gt;=assumptions!$G$73,assumptions!$G$72,0))+assumptions!$G$74/12)+IF(49=E32,D32*assumptions!$G$75,0),0)</f>
        <v/>
      </c>
      <c r="BD32" s="17">
        <f>IF(AND(50&gt;=E32,OR(F32="",50&lt;=F32)),(D32*(1+assumptions!$G$76)^4/12*(1+assumptions!$G$70+assumptions!$G$71+IF(50&gt;=assumptions!$G$73,assumptions!$G$72,0))+assumptions!$G$74/12)+IF(50=E32,D32*assumptions!$G$75,0),0)</f>
        <v/>
      </c>
      <c r="BE32" s="17">
        <f>IF(AND(51&gt;=E32,OR(F32="",51&lt;=F32)),(D32*(1+assumptions!$G$76)^4/12*(1+assumptions!$G$70+assumptions!$G$71+IF(51&gt;=assumptions!$G$73,assumptions!$G$72,0))+assumptions!$G$74/12)+IF(51=E32,D32*assumptions!$G$75,0),0)</f>
        <v/>
      </c>
      <c r="BF32" s="17">
        <f>IF(AND(52&gt;=E32,OR(F32="",52&lt;=F32)),(D32*(1+assumptions!$G$76)^4/12*(1+assumptions!$G$70+assumptions!$G$71+IF(52&gt;=assumptions!$G$73,assumptions!$G$72,0))+assumptions!$G$74/12)+IF(52=E32,D32*assumptions!$G$75,0),0)</f>
        <v/>
      </c>
      <c r="BG32" s="17">
        <f>IF(AND(53&gt;=E32,OR(F32="",53&lt;=F32)),(D32*(1+assumptions!$G$76)^4/12*(1+assumptions!$G$70+assumptions!$G$71+IF(53&gt;=assumptions!$G$73,assumptions!$G$72,0))+assumptions!$G$74/12)+IF(53=E32,D32*assumptions!$G$75,0),0)</f>
        <v/>
      </c>
      <c r="BH32" s="17">
        <f>IF(AND(54&gt;=E32,OR(F32="",54&lt;=F32)),(D32*(1+assumptions!$G$76)^4/12*(1+assumptions!$G$70+assumptions!$G$71+IF(54&gt;=assumptions!$G$73,assumptions!$G$72,0))+assumptions!$G$74/12)+IF(54=E32,D32*assumptions!$G$75,0),0)</f>
        <v/>
      </c>
      <c r="BI32" s="17">
        <f>IF(AND(55&gt;=E32,OR(F32="",55&lt;=F32)),(D32*(1+assumptions!$G$76)^4/12*(1+assumptions!$G$70+assumptions!$G$71+IF(55&gt;=assumptions!$G$73,assumptions!$G$72,0))+assumptions!$G$74/12)+IF(55=E32,D32*assumptions!$G$75,0),0)</f>
        <v/>
      </c>
      <c r="BJ32" s="17">
        <f>IF(AND(56&gt;=E32,OR(F32="",56&lt;=F32)),(D32*(1+assumptions!$G$76)^4/12*(1+assumptions!$G$70+assumptions!$G$71+IF(56&gt;=assumptions!$G$73,assumptions!$G$72,0))+assumptions!$G$74/12)+IF(56=E32,D32*assumptions!$G$75,0),0)</f>
        <v/>
      </c>
      <c r="BK32" s="17">
        <f>IF(AND(57&gt;=E32,OR(F32="",57&lt;=F32)),(D32*(1+assumptions!$G$76)^4/12*(1+assumptions!$G$70+assumptions!$G$71+IF(57&gt;=assumptions!$G$73,assumptions!$G$72,0))+assumptions!$G$74/12)+IF(57=E32,D32*assumptions!$G$75,0),0)</f>
        <v/>
      </c>
      <c r="BL32" s="17">
        <f>IF(AND(58&gt;=E32,OR(F32="",58&lt;=F32)),(D32*(1+assumptions!$G$76)^4/12*(1+assumptions!$G$70+assumptions!$G$71+IF(58&gt;=assumptions!$G$73,assumptions!$G$72,0))+assumptions!$G$74/12)+IF(58=E32,D32*assumptions!$G$75,0),0)</f>
        <v/>
      </c>
      <c r="BM32" s="17">
        <f>IF(AND(59&gt;=E32,OR(F32="",59&lt;=F32)),(D32*(1+assumptions!$G$76)^4/12*(1+assumptions!$G$70+assumptions!$G$71+IF(59&gt;=assumptions!$G$73,assumptions!$G$72,0))+assumptions!$G$74/12)+IF(59=E32,D32*assumptions!$G$75,0),0)</f>
        <v/>
      </c>
      <c r="BN32" s="17">
        <f>IF(AND(60&gt;=E32,OR(F32="",60&lt;=F32)),(D32*(1+assumptions!$G$76)^4/12*(1+assumptions!$G$70+assumptions!$G$71+IF(60&gt;=assumptions!$G$73,assumptions!$G$72,0))+assumptions!$G$74/12)+IF(60=E32,D32*assumptions!$G$75,0),0)</f>
        <v/>
      </c>
    </row>
    <row r="33">
      <c r="A33" s="5" t="n">
        <v>30</v>
      </c>
      <c r="B33" s="5" t="inlineStr">
        <is>
          <t>VP Engineering</t>
        </is>
      </c>
      <c r="C33" s="5" t="inlineStr">
        <is>
          <t>exec</t>
        </is>
      </c>
      <c r="D33" s="15" t="n">
        <v>140000</v>
      </c>
      <c r="E33" s="32" t="n">
        <v>42</v>
      </c>
      <c r="F33" s="32" t="n"/>
      <c r="G33" s="17">
        <f>IF(AND(1&gt;=E33,OR(F33="",1&lt;=F33)),(D33*(1+assumptions!$G$76)^0/12*(1+assumptions!$G$70+assumptions!$G$71+IF(1&gt;=assumptions!$G$73,assumptions!$G$72,0))+assumptions!$G$74/12)+IF(1=E33,D33*assumptions!$G$75,0),0)</f>
        <v/>
      </c>
      <c r="H33" s="17">
        <f>IF(AND(2&gt;=E33,OR(F33="",2&lt;=F33)),(D33*(1+assumptions!$G$76)^0/12*(1+assumptions!$G$70+assumptions!$G$71+IF(2&gt;=assumptions!$G$73,assumptions!$G$72,0))+assumptions!$G$74/12)+IF(2=E33,D33*assumptions!$G$75,0),0)</f>
        <v/>
      </c>
      <c r="I33" s="17">
        <f>IF(AND(3&gt;=E33,OR(F33="",3&lt;=F33)),(D33*(1+assumptions!$G$76)^0/12*(1+assumptions!$G$70+assumptions!$G$71+IF(3&gt;=assumptions!$G$73,assumptions!$G$72,0))+assumptions!$G$74/12)+IF(3=E33,D33*assumptions!$G$75,0),0)</f>
        <v/>
      </c>
      <c r="J33" s="17">
        <f>IF(AND(4&gt;=E33,OR(F33="",4&lt;=F33)),(D33*(1+assumptions!$G$76)^0/12*(1+assumptions!$G$70+assumptions!$G$71+IF(4&gt;=assumptions!$G$73,assumptions!$G$72,0))+assumptions!$G$74/12)+IF(4=E33,D33*assumptions!$G$75,0),0)</f>
        <v/>
      </c>
      <c r="K33" s="17">
        <f>IF(AND(5&gt;=E33,OR(F33="",5&lt;=F33)),(D33*(1+assumptions!$G$76)^0/12*(1+assumptions!$G$70+assumptions!$G$71+IF(5&gt;=assumptions!$G$73,assumptions!$G$72,0))+assumptions!$G$74/12)+IF(5=E33,D33*assumptions!$G$75,0),0)</f>
        <v/>
      </c>
      <c r="L33" s="17">
        <f>IF(AND(6&gt;=E33,OR(F33="",6&lt;=F33)),(D33*(1+assumptions!$G$76)^0/12*(1+assumptions!$G$70+assumptions!$G$71+IF(6&gt;=assumptions!$G$73,assumptions!$G$72,0))+assumptions!$G$74/12)+IF(6=E33,D33*assumptions!$G$75,0),0)</f>
        <v/>
      </c>
      <c r="M33" s="17">
        <f>IF(AND(7&gt;=E33,OR(F33="",7&lt;=F33)),(D33*(1+assumptions!$G$76)^0/12*(1+assumptions!$G$70+assumptions!$G$71+IF(7&gt;=assumptions!$G$73,assumptions!$G$72,0))+assumptions!$G$74/12)+IF(7=E33,D33*assumptions!$G$75,0),0)</f>
        <v/>
      </c>
      <c r="N33" s="17">
        <f>IF(AND(8&gt;=E33,OR(F33="",8&lt;=F33)),(D33*(1+assumptions!$G$76)^0/12*(1+assumptions!$G$70+assumptions!$G$71+IF(8&gt;=assumptions!$G$73,assumptions!$G$72,0))+assumptions!$G$74/12)+IF(8=E33,D33*assumptions!$G$75,0),0)</f>
        <v/>
      </c>
      <c r="O33" s="17">
        <f>IF(AND(9&gt;=E33,OR(F33="",9&lt;=F33)),(D33*(1+assumptions!$G$76)^0/12*(1+assumptions!$G$70+assumptions!$G$71+IF(9&gt;=assumptions!$G$73,assumptions!$G$72,0))+assumptions!$G$74/12)+IF(9=E33,D33*assumptions!$G$75,0),0)</f>
        <v/>
      </c>
      <c r="P33" s="17">
        <f>IF(AND(10&gt;=E33,OR(F33="",10&lt;=F33)),(D33*(1+assumptions!$G$76)^0/12*(1+assumptions!$G$70+assumptions!$G$71+IF(10&gt;=assumptions!$G$73,assumptions!$G$72,0))+assumptions!$G$74/12)+IF(10=E33,D33*assumptions!$G$75,0),0)</f>
        <v/>
      </c>
      <c r="Q33" s="17">
        <f>IF(AND(11&gt;=E33,OR(F33="",11&lt;=F33)),(D33*(1+assumptions!$G$76)^0/12*(1+assumptions!$G$70+assumptions!$G$71+IF(11&gt;=assumptions!$G$73,assumptions!$G$72,0))+assumptions!$G$74/12)+IF(11=E33,D33*assumptions!$G$75,0),0)</f>
        <v/>
      </c>
      <c r="R33" s="17">
        <f>IF(AND(12&gt;=E33,OR(F33="",12&lt;=F33)),(D33*(1+assumptions!$G$76)^0/12*(1+assumptions!$G$70+assumptions!$G$71+IF(12&gt;=assumptions!$G$73,assumptions!$G$72,0))+assumptions!$G$74/12)+IF(12=E33,D33*assumptions!$G$75,0),0)</f>
        <v/>
      </c>
      <c r="S33" s="17">
        <f>IF(AND(13&gt;=E33,OR(F33="",13&lt;=F33)),(D33*(1+assumptions!$G$76)^1/12*(1+assumptions!$G$70+assumptions!$G$71+IF(13&gt;=assumptions!$G$73,assumptions!$G$72,0))+assumptions!$G$74/12)+IF(13=E33,D33*assumptions!$G$75,0),0)</f>
        <v/>
      </c>
      <c r="T33" s="17">
        <f>IF(AND(14&gt;=E33,OR(F33="",14&lt;=F33)),(D33*(1+assumptions!$G$76)^1/12*(1+assumptions!$G$70+assumptions!$G$71+IF(14&gt;=assumptions!$G$73,assumptions!$G$72,0))+assumptions!$G$74/12)+IF(14=E33,D33*assumptions!$G$75,0),0)</f>
        <v/>
      </c>
      <c r="U33" s="17">
        <f>IF(AND(15&gt;=E33,OR(F33="",15&lt;=F33)),(D33*(1+assumptions!$G$76)^1/12*(1+assumptions!$G$70+assumptions!$G$71+IF(15&gt;=assumptions!$G$73,assumptions!$G$72,0))+assumptions!$G$74/12)+IF(15=E33,D33*assumptions!$G$75,0),0)</f>
        <v/>
      </c>
      <c r="V33" s="17">
        <f>IF(AND(16&gt;=E33,OR(F33="",16&lt;=F33)),(D33*(1+assumptions!$G$76)^1/12*(1+assumptions!$G$70+assumptions!$G$71+IF(16&gt;=assumptions!$G$73,assumptions!$G$72,0))+assumptions!$G$74/12)+IF(16=E33,D33*assumptions!$G$75,0),0)</f>
        <v/>
      </c>
      <c r="W33" s="17">
        <f>IF(AND(17&gt;=E33,OR(F33="",17&lt;=F33)),(D33*(1+assumptions!$G$76)^1/12*(1+assumptions!$G$70+assumptions!$G$71+IF(17&gt;=assumptions!$G$73,assumptions!$G$72,0))+assumptions!$G$74/12)+IF(17=E33,D33*assumptions!$G$75,0),0)</f>
        <v/>
      </c>
      <c r="X33" s="17">
        <f>IF(AND(18&gt;=E33,OR(F33="",18&lt;=F33)),(D33*(1+assumptions!$G$76)^1/12*(1+assumptions!$G$70+assumptions!$G$71+IF(18&gt;=assumptions!$G$73,assumptions!$G$72,0))+assumptions!$G$74/12)+IF(18=E33,D33*assumptions!$G$75,0),0)</f>
        <v/>
      </c>
      <c r="Y33" s="17">
        <f>IF(AND(19&gt;=E33,OR(F33="",19&lt;=F33)),(D33*(1+assumptions!$G$76)^1/12*(1+assumptions!$G$70+assumptions!$G$71+IF(19&gt;=assumptions!$G$73,assumptions!$G$72,0))+assumptions!$G$74/12)+IF(19=E33,D33*assumptions!$G$75,0),0)</f>
        <v/>
      </c>
      <c r="Z33" s="17">
        <f>IF(AND(20&gt;=E33,OR(F33="",20&lt;=F33)),(D33*(1+assumptions!$G$76)^1/12*(1+assumptions!$G$70+assumptions!$G$71+IF(20&gt;=assumptions!$G$73,assumptions!$G$72,0))+assumptions!$G$74/12)+IF(20=E33,D33*assumptions!$G$75,0),0)</f>
        <v/>
      </c>
      <c r="AA33" s="17">
        <f>IF(AND(21&gt;=E33,OR(F33="",21&lt;=F33)),(D33*(1+assumptions!$G$76)^1/12*(1+assumptions!$G$70+assumptions!$G$71+IF(21&gt;=assumptions!$G$73,assumptions!$G$72,0))+assumptions!$G$74/12)+IF(21=E33,D33*assumptions!$G$75,0),0)</f>
        <v/>
      </c>
      <c r="AB33" s="17">
        <f>IF(AND(22&gt;=E33,OR(F33="",22&lt;=F33)),(D33*(1+assumptions!$G$76)^1/12*(1+assumptions!$G$70+assumptions!$G$71+IF(22&gt;=assumptions!$G$73,assumptions!$G$72,0))+assumptions!$G$74/12)+IF(22=E33,D33*assumptions!$G$75,0),0)</f>
        <v/>
      </c>
      <c r="AC33" s="17">
        <f>IF(AND(23&gt;=E33,OR(F33="",23&lt;=F33)),(D33*(1+assumptions!$G$76)^1/12*(1+assumptions!$G$70+assumptions!$G$71+IF(23&gt;=assumptions!$G$73,assumptions!$G$72,0))+assumptions!$G$74/12)+IF(23=E33,D33*assumptions!$G$75,0),0)</f>
        <v/>
      </c>
      <c r="AD33" s="17">
        <f>IF(AND(24&gt;=E33,OR(F33="",24&lt;=F33)),(D33*(1+assumptions!$G$76)^1/12*(1+assumptions!$G$70+assumptions!$G$71+IF(24&gt;=assumptions!$G$73,assumptions!$G$72,0))+assumptions!$G$74/12)+IF(24=E33,D33*assumptions!$G$75,0),0)</f>
        <v/>
      </c>
      <c r="AE33" s="17">
        <f>IF(AND(25&gt;=E33,OR(F33="",25&lt;=F33)),(D33*(1+assumptions!$G$76)^2/12*(1+assumptions!$G$70+assumptions!$G$71+IF(25&gt;=assumptions!$G$73,assumptions!$G$72,0))+assumptions!$G$74/12)+IF(25=E33,D33*assumptions!$G$75,0),0)</f>
        <v/>
      </c>
      <c r="AF33" s="17">
        <f>IF(AND(26&gt;=E33,OR(F33="",26&lt;=F33)),(D33*(1+assumptions!$G$76)^2/12*(1+assumptions!$G$70+assumptions!$G$71+IF(26&gt;=assumptions!$G$73,assumptions!$G$72,0))+assumptions!$G$74/12)+IF(26=E33,D33*assumptions!$G$75,0),0)</f>
        <v/>
      </c>
      <c r="AG33" s="17">
        <f>IF(AND(27&gt;=E33,OR(F33="",27&lt;=F33)),(D33*(1+assumptions!$G$76)^2/12*(1+assumptions!$G$70+assumptions!$G$71+IF(27&gt;=assumptions!$G$73,assumptions!$G$72,0))+assumptions!$G$74/12)+IF(27=E33,D33*assumptions!$G$75,0),0)</f>
        <v/>
      </c>
      <c r="AH33" s="17">
        <f>IF(AND(28&gt;=E33,OR(F33="",28&lt;=F33)),(D33*(1+assumptions!$G$76)^2/12*(1+assumptions!$G$70+assumptions!$G$71+IF(28&gt;=assumptions!$G$73,assumptions!$G$72,0))+assumptions!$G$74/12)+IF(28=E33,D33*assumptions!$G$75,0),0)</f>
        <v/>
      </c>
      <c r="AI33" s="17">
        <f>IF(AND(29&gt;=E33,OR(F33="",29&lt;=F33)),(D33*(1+assumptions!$G$76)^2/12*(1+assumptions!$G$70+assumptions!$G$71+IF(29&gt;=assumptions!$G$73,assumptions!$G$72,0))+assumptions!$G$74/12)+IF(29=E33,D33*assumptions!$G$75,0),0)</f>
        <v/>
      </c>
      <c r="AJ33" s="17">
        <f>IF(AND(30&gt;=E33,OR(F33="",30&lt;=F33)),(D33*(1+assumptions!$G$76)^2/12*(1+assumptions!$G$70+assumptions!$G$71+IF(30&gt;=assumptions!$G$73,assumptions!$G$72,0))+assumptions!$G$74/12)+IF(30=E33,D33*assumptions!$G$75,0),0)</f>
        <v/>
      </c>
      <c r="AK33" s="17">
        <f>IF(AND(31&gt;=E33,OR(F33="",31&lt;=F33)),(D33*(1+assumptions!$G$76)^2/12*(1+assumptions!$G$70+assumptions!$G$71+IF(31&gt;=assumptions!$G$73,assumptions!$G$72,0))+assumptions!$G$74/12)+IF(31=E33,D33*assumptions!$G$75,0),0)</f>
        <v/>
      </c>
      <c r="AL33" s="17">
        <f>IF(AND(32&gt;=E33,OR(F33="",32&lt;=F33)),(D33*(1+assumptions!$G$76)^2/12*(1+assumptions!$G$70+assumptions!$G$71+IF(32&gt;=assumptions!$G$73,assumptions!$G$72,0))+assumptions!$G$74/12)+IF(32=E33,D33*assumptions!$G$75,0),0)</f>
        <v/>
      </c>
      <c r="AM33" s="17">
        <f>IF(AND(33&gt;=E33,OR(F33="",33&lt;=F33)),(D33*(1+assumptions!$G$76)^2/12*(1+assumptions!$G$70+assumptions!$G$71+IF(33&gt;=assumptions!$G$73,assumptions!$G$72,0))+assumptions!$G$74/12)+IF(33=E33,D33*assumptions!$G$75,0),0)</f>
        <v/>
      </c>
      <c r="AN33" s="17">
        <f>IF(AND(34&gt;=E33,OR(F33="",34&lt;=F33)),(D33*(1+assumptions!$G$76)^2/12*(1+assumptions!$G$70+assumptions!$G$71+IF(34&gt;=assumptions!$G$73,assumptions!$G$72,0))+assumptions!$G$74/12)+IF(34=E33,D33*assumptions!$G$75,0),0)</f>
        <v/>
      </c>
      <c r="AO33" s="17">
        <f>IF(AND(35&gt;=E33,OR(F33="",35&lt;=F33)),(D33*(1+assumptions!$G$76)^2/12*(1+assumptions!$G$70+assumptions!$G$71+IF(35&gt;=assumptions!$G$73,assumptions!$G$72,0))+assumptions!$G$74/12)+IF(35=E33,D33*assumptions!$G$75,0),0)</f>
        <v/>
      </c>
      <c r="AP33" s="17">
        <f>IF(AND(36&gt;=E33,OR(F33="",36&lt;=F33)),(D33*(1+assumptions!$G$76)^2/12*(1+assumptions!$G$70+assumptions!$G$71+IF(36&gt;=assumptions!$G$73,assumptions!$G$72,0))+assumptions!$G$74/12)+IF(36=E33,D33*assumptions!$G$75,0),0)</f>
        <v/>
      </c>
      <c r="AQ33" s="17">
        <f>IF(AND(37&gt;=E33,OR(F33="",37&lt;=F33)),(D33*(1+assumptions!$G$76)^3/12*(1+assumptions!$G$70+assumptions!$G$71+IF(37&gt;=assumptions!$G$73,assumptions!$G$72,0))+assumptions!$G$74/12)+IF(37=E33,D33*assumptions!$G$75,0),0)</f>
        <v/>
      </c>
      <c r="AR33" s="17">
        <f>IF(AND(38&gt;=E33,OR(F33="",38&lt;=F33)),(D33*(1+assumptions!$G$76)^3/12*(1+assumptions!$G$70+assumptions!$G$71+IF(38&gt;=assumptions!$G$73,assumptions!$G$72,0))+assumptions!$G$74/12)+IF(38=E33,D33*assumptions!$G$75,0),0)</f>
        <v/>
      </c>
      <c r="AS33" s="17">
        <f>IF(AND(39&gt;=E33,OR(F33="",39&lt;=F33)),(D33*(1+assumptions!$G$76)^3/12*(1+assumptions!$G$70+assumptions!$G$71+IF(39&gt;=assumptions!$G$73,assumptions!$G$72,0))+assumptions!$G$74/12)+IF(39=E33,D33*assumptions!$G$75,0),0)</f>
        <v/>
      </c>
      <c r="AT33" s="17">
        <f>IF(AND(40&gt;=E33,OR(F33="",40&lt;=F33)),(D33*(1+assumptions!$G$76)^3/12*(1+assumptions!$G$70+assumptions!$G$71+IF(40&gt;=assumptions!$G$73,assumptions!$G$72,0))+assumptions!$G$74/12)+IF(40=E33,D33*assumptions!$G$75,0),0)</f>
        <v/>
      </c>
      <c r="AU33" s="17">
        <f>IF(AND(41&gt;=E33,OR(F33="",41&lt;=F33)),(D33*(1+assumptions!$G$76)^3/12*(1+assumptions!$G$70+assumptions!$G$71+IF(41&gt;=assumptions!$G$73,assumptions!$G$72,0))+assumptions!$G$74/12)+IF(41=E33,D33*assumptions!$G$75,0),0)</f>
        <v/>
      </c>
      <c r="AV33" s="17">
        <f>IF(AND(42&gt;=E33,OR(F33="",42&lt;=F33)),(D33*(1+assumptions!$G$76)^3/12*(1+assumptions!$G$70+assumptions!$G$71+IF(42&gt;=assumptions!$G$73,assumptions!$G$72,0))+assumptions!$G$74/12)+IF(42=E33,D33*assumptions!$G$75,0),0)</f>
        <v/>
      </c>
      <c r="AW33" s="17">
        <f>IF(AND(43&gt;=E33,OR(F33="",43&lt;=F33)),(D33*(1+assumptions!$G$76)^3/12*(1+assumptions!$G$70+assumptions!$G$71+IF(43&gt;=assumptions!$G$73,assumptions!$G$72,0))+assumptions!$G$74/12)+IF(43=E33,D33*assumptions!$G$75,0),0)</f>
        <v/>
      </c>
      <c r="AX33" s="17">
        <f>IF(AND(44&gt;=E33,OR(F33="",44&lt;=F33)),(D33*(1+assumptions!$G$76)^3/12*(1+assumptions!$G$70+assumptions!$G$71+IF(44&gt;=assumptions!$G$73,assumptions!$G$72,0))+assumptions!$G$74/12)+IF(44=E33,D33*assumptions!$G$75,0),0)</f>
        <v/>
      </c>
      <c r="AY33" s="17">
        <f>IF(AND(45&gt;=E33,OR(F33="",45&lt;=F33)),(D33*(1+assumptions!$G$76)^3/12*(1+assumptions!$G$70+assumptions!$G$71+IF(45&gt;=assumptions!$G$73,assumptions!$G$72,0))+assumptions!$G$74/12)+IF(45=E33,D33*assumptions!$G$75,0),0)</f>
        <v/>
      </c>
      <c r="AZ33" s="17">
        <f>IF(AND(46&gt;=E33,OR(F33="",46&lt;=F33)),(D33*(1+assumptions!$G$76)^3/12*(1+assumptions!$G$70+assumptions!$G$71+IF(46&gt;=assumptions!$G$73,assumptions!$G$72,0))+assumptions!$G$74/12)+IF(46=E33,D33*assumptions!$G$75,0),0)</f>
        <v/>
      </c>
      <c r="BA33" s="17">
        <f>IF(AND(47&gt;=E33,OR(F33="",47&lt;=F33)),(D33*(1+assumptions!$G$76)^3/12*(1+assumptions!$G$70+assumptions!$G$71+IF(47&gt;=assumptions!$G$73,assumptions!$G$72,0))+assumptions!$G$74/12)+IF(47=E33,D33*assumptions!$G$75,0),0)</f>
        <v/>
      </c>
      <c r="BB33" s="17">
        <f>IF(AND(48&gt;=E33,OR(F33="",48&lt;=F33)),(D33*(1+assumptions!$G$76)^3/12*(1+assumptions!$G$70+assumptions!$G$71+IF(48&gt;=assumptions!$G$73,assumptions!$G$72,0))+assumptions!$G$74/12)+IF(48=E33,D33*assumptions!$G$75,0),0)</f>
        <v/>
      </c>
      <c r="BC33" s="17">
        <f>IF(AND(49&gt;=E33,OR(F33="",49&lt;=F33)),(D33*(1+assumptions!$G$76)^4/12*(1+assumptions!$G$70+assumptions!$G$71+IF(49&gt;=assumptions!$G$73,assumptions!$G$72,0))+assumptions!$G$74/12)+IF(49=E33,D33*assumptions!$G$75,0),0)</f>
        <v/>
      </c>
      <c r="BD33" s="17">
        <f>IF(AND(50&gt;=E33,OR(F33="",50&lt;=F33)),(D33*(1+assumptions!$G$76)^4/12*(1+assumptions!$G$70+assumptions!$G$71+IF(50&gt;=assumptions!$G$73,assumptions!$G$72,0))+assumptions!$G$74/12)+IF(50=E33,D33*assumptions!$G$75,0),0)</f>
        <v/>
      </c>
      <c r="BE33" s="17">
        <f>IF(AND(51&gt;=E33,OR(F33="",51&lt;=F33)),(D33*(1+assumptions!$G$76)^4/12*(1+assumptions!$G$70+assumptions!$G$71+IF(51&gt;=assumptions!$G$73,assumptions!$G$72,0))+assumptions!$G$74/12)+IF(51=E33,D33*assumptions!$G$75,0),0)</f>
        <v/>
      </c>
      <c r="BF33" s="17">
        <f>IF(AND(52&gt;=E33,OR(F33="",52&lt;=F33)),(D33*(1+assumptions!$G$76)^4/12*(1+assumptions!$G$70+assumptions!$G$71+IF(52&gt;=assumptions!$G$73,assumptions!$G$72,0))+assumptions!$G$74/12)+IF(52=E33,D33*assumptions!$G$75,0),0)</f>
        <v/>
      </c>
      <c r="BG33" s="17">
        <f>IF(AND(53&gt;=E33,OR(F33="",53&lt;=F33)),(D33*(1+assumptions!$G$76)^4/12*(1+assumptions!$G$70+assumptions!$G$71+IF(53&gt;=assumptions!$G$73,assumptions!$G$72,0))+assumptions!$G$74/12)+IF(53=E33,D33*assumptions!$G$75,0),0)</f>
        <v/>
      </c>
      <c r="BH33" s="17">
        <f>IF(AND(54&gt;=E33,OR(F33="",54&lt;=F33)),(D33*(1+assumptions!$G$76)^4/12*(1+assumptions!$G$70+assumptions!$G$71+IF(54&gt;=assumptions!$G$73,assumptions!$G$72,0))+assumptions!$G$74/12)+IF(54=E33,D33*assumptions!$G$75,0),0)</f>
        <v/>
      </c>
      <c r="BI33" s="17">
        <f>IF(AND(55&gt;=E33,OR(F33="",55&lt;=F33)),(D33*(1+assumptions!$G$76)^4/12*(1+assumptions!$G$70+assumptions!$G$71+IF(55&gt;=assumptions!$G$73,assumptions!$G$72,0))+assumptions!$G$74/12)+IF(55=E33,D33*assumptions!$G$75,0),0)</f>
        <v/>
      </c>
      <c r="BJ33" s="17">
        <f>IF(AND(56&gt;=E33,OR(F33="",56&lt;=F33)),(D33*(1+assumptions!$G$76)^4/12*(1+assumptions!$G$70+assumptions!$G$71+IF(56&gt;=assumptions!$G$73,assumptions!$G$72,0))+assumptions!$G$74/12)+IF(56=E33,D33*assumptions!$G$75,0),0)</f>
        <v/>
      </c>
      <c r="BK33" s="17">
        <f>IF(AND(57&gt;=E33,OR(F33="",57&lt;=F33)),(D33*(1+assumptions!$G$76)^4/12*(1+assumptions!$G$70+assumptions!$G$71+IF(57&gt;=assumptions!$G$73,assumptions!$G$72,0))+assumptions!$G$74/12)+IF(57=E33,D33*assumptions!$G$75,0),0)</f>
        <v/>
      </c>
      <c r="BL33" s="17">
        <f>IF(AND(58&gt;=E33,OR(F33="",58&lt;=F33)),(D33*(1+assumptions!$G$76)^4/12*(1+assumptions!$G$70+assumptions!$G$71+IF(58&gt;=assumptions!$G$73,assumptions!$G$72,0))+assumptions!$G$74/12)+IF(58=E33,D33*assumptions!$G$75,0),0)</f>
        <v/>
      </c>
      <c r="BM33" s="17">
        <f>IF(AND(59&gt;=E33,OR(F33="",59&lt;=F33)),(D33*(1+assumptions!$G$76)^4/12*(1+assumptions!$G$70+assumptions!$G$71+IF(59&gt;=assumptions!$G$73,assumptions!$G$72,0))+assumptions!$G$74/12)+IF(59=E33,D33*assumptions!$G$75,0),0)</f>
        <v/>
      </c>
      <c r="BN33" s="17">
        <f>IF(AND(60&gt;=E33,OR(F33="",60&lt;=F33)),(D33*(1+assumptions!$G$76)^4/12*(1+assumptions!$G$70+assumptions!$G$71+IF(60&gt;=assumptions!$G$73,assumptions!$G$72,0))+assumptions!$G$74/12)+IF(60=E33,D33*assumptions!$G$75,0),0)</f>
        <v/>
      </c>
    </row>
    <row r="34">
      <c r="A34" s="5" t="n">
        <v>31</v>
      </c>
      <c r="B34" s="5" t="inlineStr">
        <is>
          <t>Head of Finance</t>
        </is>
      </c>
      <c r="C34" s="5" t="inlineStr">
        <is>
          <t>exec</t>
        </is>
      </c>
      <c r="D34" s="15" t="n">
        <v>120000</v>
      </c>
      <c r="E34" s="32" t="n">
        <v>44</v>
      </c>
      <c r="F34" s="32" t="n"/>
      <c r="G34" s="17">
        <f>IF(AND(1&gt;=E34,OR(F34="",1&lt;=F34)),(D34*(1+assumptions!$G$76)^0/12*(1+assumptions!$G$70+assumptions!$G$71+IF(1&gt;=assumptions!$G$73,assumptions!$G$72,0))+assumptions!$G$74/12)+IF(1=E34,D34*assumptions!$G$75,0),0)</f>
        <v/>
      </c>
      <c r="H34" s="17">
        <f>IF(AND(2&gt;=E34,OR(F34="",2&lt;=F34)),(D34*(1+assumptions!$G$76)^0/12*(1+assumptions!$G$70+assumptions!$G$71+IF(2&gt;=assumptions!$G$73,assumptions!$G$72,0))+assumptions!$G$74/12)+IF(2=E34,D34*assumptions!$G$75,0),0)</f>
        <v/>
      </c>
      <c r="I34" s="17">
        <f>IF(AND(3&gt;=E34,OR(F34="",3&lt;=F34)),(D34*(1+assumptions!$G$76)^0/12*(1+assumptions!$G$70+assumptions!$G$71+IF(3&gt;=assumptions!$G$73,assumptions!$G$72,0))+assumptions!$G$74/12)+IF(3=E34,D34*assumptions!$G$75,0),0)</f>
        <v/>
      </c>
      <c r="J34" s="17">
        <f>IF(AND(4&gt;=E34,OR(F34="",4&lt;=F34)),(D34*(1+assumptions!$G$76)^0/12*(1+assumptions!$G$70+assumptions!$G$71+IF(4&gt;=assumptions!$G$73,assumptions!$G$72,0))+assumptions!$G$74/12)+IF(4=E34,D34*assumptions!$G$75,0),0)</f>
        <v/>
      </c>
      <c r="K34" s="17">
        <f>IF(AND(5&gt;=E34,OR(F34="",5&lt;=F34)),(D34*(1+assumptions!$G$76)^0/12*(1+assumptions!$G$70+assumptions!$G$71+IF(5&gt;=assumptions!$G$73,assumptions!$G$72,0))+assumptions!$G$74/12)+IF(5=E34,D34*assumptions!$G$75,0),0)</f>
        <v/>
      </c>
      <c r="L34" s="17">
        <f>IF(AND(6&gt;=E34,OR(F34="",6&lt;=F34)),(D34*(1+assumptions!$G$76)^0/12*(1+assumptions!$G$70+assumptions!$G$71+IF(6&gt;=assumptions!$G$73,assumptions!$G$72,0))+assumptions!$G$74/12)+IF(6=E34,D34*assumptions!$G$75,0),0)</f>
        <v/>
      </c>
      <c r="M34" s="17">
        <f>IF(AND(7&gt;=E34,OR(F34="",7&lt;=F34)),(D34*(1+assumptions!$G$76)^0/12*(1+assumptions!$G$70+assumptions!$G$71+IF(7&gt;=assumptions!$G$73,assumptions!$G$72,0))+assumptions!$G$74/12)+IF(7=E34,D34*assumptions!$G$75,0),0)</f>
        <v/>
      </c>
      <c r="N34" s="17">
        <f>IF(AND(8&gt;=E34,OR(F34="",8&lt;=F34)),(D34*(1+assumptions!$G$76)^0/12*(1+assumptions!$G$70+assumptions!$G$71+IF(8&gt;=assumptions!$G$73,assumptions!$G$72,0))+assumptions!$G$74/12)+IF(8=E34,D34*assumptions!$G$75,0),0)</f>
        <v/>
      </c>
      <c r="O34" s="17">
        <f>IF(AND(9&gt;=E34,OR(F34="",9&lt;=F34)),(D34*(1+assumptions!$G$76)^0/12*(1+assumptions!$G$70+assumptions!$G$71+IF(9&gt;=assumptions!$G$73,assumptions!$G$72,0))+assumptions!$G$74/12)+IF(9=E34,D34*assumptions!$G$75,0),0)</f>
        <v/>
      </c>
      <c r="P34" s="17">
        <f>IF(AND(10&gt;=E34,OR(F34="",10&lt;=F34)),(D34*(1+assumptions!$G$76)^0/12*(1+assumptions!$G$70+assumptions!$G$71+IF(10&gt;=assumptions!$G$73,assumptions!$G$72,0))+assumptions!$G$74/12)+IF(10=E34,D34*assumptions!$G$75,0),0)</f>
        <v/>
      </c>
      <c r="Q34" s="17">
        <f>IF(AND(11&gt;=E34,OR(F34="",11&lt;=F34)),(D34*(1+assumptions!$G$76)^0/12*(1+assumptions!$G$70+assumptions!$G$71+IF(11&gt;=assumptions!$G$73,assumptions!$G$72,0))+assumptions!$G$74/12)+IF(11=E34,D34*assumptions!$G$75,0),0)</f>
        <v/>
      </c>
      <c r="R34" s="17">
        <f>IF(AND(12&gt;=E34,OR(F34="",12&lt;=F34)),(D34*(1+assumptions!$G$76)^0/12*(1+assumptions!$G$70+assumptions!$G$71+IF(12&gt;=assumptions!$G$73,assumptions!$G$72,0))+assumptions!$G$74/12)+IF(12=E34,D34*assumptions!$G$75,0),0)</f>
        <v/>
      </c>
      <c r="S34" s="17">
        <f>IF(AND(13&gt;=E34,OR(F34="",13&lt;=F34)),(D34*(1+assumptions!$G$76)^1/12*(1+assumptions!$G$70+assumptions!$G$71+IF(13&gt;=assumptions!$G$73,assumptions!$G$72,0))+assumptions!$G$74/12)+IF(13=E34,D34*assumptions!$G$75,0),0)</f>
        <v/>
      </c>
      <c r="T34" s="17">
        <f>IF(AND(14&gt;=E34,OR(F34="",14&lt;=F34)),(D34*(1+assumptions!$G$76)^1/12*(1+assumptions!$G$70+assumptions!$G$71+IF(14&gt;=assumptions!$G$73,assumptions!$G$72,0))+assumptions!$G$74/12)+IF(14=E34,D34*assumptions!$G$75,0),0)</f>
        <v/>
      </c>
      <c r="U34" s="17">
        <f>IF(AND(15&gt;=E34,OR(F34="",15&lt;=F34)),(D34*(1+assumptions!$G$76)^1/12*(1+assumptions!$G$70+assumptions!$G$71+IF(15&gt;=assumptions!$G$73,assumptions!$G$72,0))+assumptions!$G$74/12)+IF(15=E34,D34*assumptions!$G$75,0),0)</f>
        <v/>
      </c>
      <c r="V34" s="17">
        <f>IF(AND(16&gt;=E34,OR(F34="",16&lt;=F34)),(D34*(1+assumptions!$G$76)^1/12*(1+assumptions!$G$70+assumptions!$G$71+IF(16&gt;=assumptions!$G$73,assumptions!$G$72,0))+assumptions!$G$74/12)+IF(16=E34,D34*assumptions!$G$75,0),0)</f>
        <v/>
      </c>
      <c r="W34" s="17">
        <f>IF(AND(17&gt;=E34,OR(F34="",17&lt;=F34)),(D34*(1+assumptions!$G$76)^1/12*(1+assumptions!$G$70+assumptions!$G$71+IF(17&gt;=assumptions!$G$73,assumptions!$G$72,0))+assumptions!$G$74/12)+IF(17=E34,D34*assumptions!$G$75,0),0)</f>
        <v/>
      </c>
      <c r="X34" s="17">
        <f>IF(AND(18&gt;=E34,OR(F34="",18&lt;=F34)),(D34*(1+assumptions!$G$76)^1/12*(1+assumptions!$G$70+assumptions!$G$71+IF(18&gt;=assumptions!$G$73,assumptions!$G$72,0))+assumptions!$G$74/12)+IF(18=E34,D34*assumptions!$G$75,0),0)</f>
        <v/>
      </c>
      <c r="Y34" s="17">
        <f>IF(AND(19&gt;=E34,OR(F34="",19&lt;=F34)),(D34*(1+assumptions!$G$76)^1/12*(1+assumptions!$G$70+assumptions!$G$71+IF(19&gt;=assumptions!$G$73,assumptions!$G$72,0))+assumptions!$G$74/12)+IF(19=E34,D34*assumptions!$G$75,0),0)</f>
        <v/>
      </c>
      <c r="Z34" s="17">
        <f>IF(AND(20&gt;=E34,OR(F34="",20&lt;=F34)),(D34*(1+assumptions!$G$76)^1/12*(1+assumptions!$G$70+assumptions!$G$71+IF(20&gt;=assumptions!$G$73,assumptions!$G$72,0))+assumptions!$G$74/12)+IF(20=E34,D34*assumptions!$G$75,0),0)</f>
        <v/>
      </c>
      <c r="AA34" s="17">
        <f>IF(AND(21&gt;=E34,OR(F34="",21&lt;=F34)),(D34*(1+assumptions!$G$76)^1/12*(1+assumptions!$G$70+assumptions!$G$71+IF(21&gt;=assumptions!$G$73,assumptions!$G$72,0))+assumptions!$G$74/12)+IF(21=E34,D34*assumptions!$G$75,0),0)</f>
        <v/>
      </c>
      <c r="AB34" s="17">
        <f>IF(AND(22&gt;=E34,OR(F34="",22&lt;=F34)),(D34*(1+assumptions!$G$76)^1/12*(1+assumptions!$G$70+assumptions!$G$71+IF(22&gt;=assumptions!$G$73,assumptions!$G$72,0))+assumptions!$G$74/12)+IF(22=E34,D34*assumptions!$G$75,0),0)</f>
        <v/>
      </c>
      <c r="AC34" s="17">
        <f>IF(AND(23&gt;=E34,OR(F34="",23&lt;=F34)),(D34*(1+assumptions!$G$76)^1/12*(1+assumptions!$G$70+assumptions!$G$71+IF(23&gt;=assumptions!$G$73,assumptions!$G$72,0))+assumptions!$G$74/12)+IF(23=E34,D34*assumptions!$G$75,0),0)</f>
        <v/>
      </c>
      <c r="AD34" s="17">
        <f>IF(AND(24&gt;=E34,OR(F34="",24&lt;=F34)),(D34*(1+assumptions!$G$76)^1/12*(1+assumptions!$G$70+assumptions!$G$71+IF(24&gt;=assumptions!$G$73,assumptions!$G$72,0))+assumptions!$G$74/12)+IF(24=E34,D34*assumptions!$G$75,0),0)</f>
        <v/>
      </c>
      <c r="AE34" s="17">
        <f>IF(AND(25&gt;=E34,OR(F34="",25&lt;=F34)),(D34*(1+assumptions!$G$76)^2/12*(1+assumptions!$G$70+assumptions!$G$71+IF(25&gt;=assumptions!$G$73,assumptions!$G$72,0))+assumptions!$G$74/12)+IF(25=E34,D34*assumptions!$G$75,0),0)</f>
        <v/>
      </c>
      <c r="AF34" s="17">
        <f>IF(AND(26&gt;=E34,OR(F34="",26&lt;=F34)),(D34*(1+assumptions!$G$76)^2/12*(1+assumptions!$G$70+assumptions!$G$71+IF(26&gt;=assumptions!$G$73,assumptions!$G$72,0))+assumptions!$G$74/12)+IF(26=E34,D34*assumptions!$G$75,0),0)</f>
        <v/>
      </c>
      <c r="AG34" s="17">
        <f>IF(AND(27&gt;=E34,OR(F34="",27&lt;=F34)),(D34*(1+assumptions!$G$76)^2/12*(1+assumptions!$G$70+assumptions!$G$71+IF(27&gt;=assumptions!$G$73,assumptions!$G$72,0))+assumptions!$G$74/12)+IF(27=E34,D34*assumptions!$G$75,0),0)</f>
        <v/>
      </c>
      <c r="AH34" s="17">
        <f>IF(AND(28&gt;=E34,OR(F34="",28&lt;=F34)),(D34*(1+assumptions!$G$76)^2/12*(1+assumptions!$G$70+assumptions!$G$71+IF(28&gt;=assumptions!$G$73,assumptions!$G$72,0))+assumptions!$G$74/12)+IF(28=E34,D34*assumptions!$G$75,0),0)</f>
        <v/>
      </c>
      <c r="AI34" s="17">
        <f>IF(AND(29&gt;=E34,OR(F34="",29&lt;=F34)),(D34*(1+assumptions!$G$76)^2/12*(1+assumptions!$G$70+assumptions!$G$71+IF(29&gt;=assumptions!$G$73,assumptions!$G$72,0))+assumptions!$G$74/12)+IF(29=E34,D34*assumptions!$G$75,0),0)</f>
        <v/>
      </c>
      <c r="AJ34" s="17">
        <f>IF(AND(30&gt;=E34,OR(F34="",30&lt;=F34)),(D34*(1+assumptions!$G$76)^2/12*(1+assumptions!$G$70+assumptions!$G$71+IF(30&gt;=assumptions!$G$73,assumptions!$G$72,0))+assumptions!$G$74/12)+IF(30=E34,D34*assumptions!$G$75,0),0)</f>
        <v/>
      </c>
      <c r="AK34" s="17">
        <f>IF(AND(31&gt;=E34,OR(F34="",31&lt;=F34)),(D34*(1+assumptions!$G$76)^2/12*(1+assumptions!$G$70+assumptions!$G$71+IF(31&gt;=assumptions!$G$73,assumptions!$G$72,0))+assumptions!$G$74/12)+IF(31=E34,D34*assumptions!$G$75,0),0)</f>
        <v/>
      </c>
      <c r="AL34" s="17">
        <f>IF(AND(32&gt;=E34,OR(F34="",32&lt;=F34)),(D34*(1+assumptions!$G$76)^2/12*(1+assumptions!$G$70+assumptions!$G$71+IF(32&gt;=assumptions!$G$73,assumptions!$G$72,0))+assumptions!$G$74/12)+IF(32=E34,D34*assumptions!$G$75,0),0)</f>
        <v/>
      </c>
      <c r="AM34" s="17">
        <f>IF(AND(33&gt;=E34,OR(F34="",33&lt;=F34)),(D34*(1+assumptions!$G$76)^2/12*(1+assumptions!$G$70+assumptions!$G$71+IF(33&gt;=assumptions!$G$73,assumptions!$G$72,0))+assumptions!$G$74/12)+IF(33=E34,D34*assumptions!$G$75,0),0)</f>
        <v/>
      </c>
      <c r="AN34" s="17">
        <f>IF(AND(34&gt;=E34,OR(F34="",34&lt;=F34)),(D34*(1+assumptions!$G$76)^2/12*(1+assumptions!$G$70+assumptions!$G$71+IF(34&gt;=assumptions!$G$73,assumptions!$G$72,0))+assumptions!$G$74/12)+IF(34=E34,D34*assumptions!$G$75,0),0)</f>
        <v/>
      </c>
      <c r="AO34" s="17">
        <f>IF(AND(35&gt;=E34,OR(F34="",35&lt;=F34)),(D34*(1+assumptions!$G$76)^2/12*(1+assumptions!$G$70+assumptions!$G$71+IF(35&gt;=assumptions!$G$73,assumptions!$G$72,0))+assumptions!$G$74/12)+IF(35=E34,D34*assumptions!$G$75,0),0)</f>
        <v/>
      </c>
      <c r="AP34" s="17">
        <f>IF(AND(36&gt;=E34,OR(F34="",36&lt;=F34)),(D34*(1+assumptions!$G$76)^2/12*(1+assumptions!$G$70+assumptions!$G$71+IF(36&gt;=assumptions!$G$73,assumptions!$G$72,0))+assumptions!$G$74/12)+IF(36=E34,D34*assumptions!$G$75,0),0)</f>
        <v/>
      </c>
      <c r="AQ34" s="17">
        <f>IF(AND(37&gt;=E34,OR(F34="",37&lt;=F34)),(D34*(1+assumptions!$G$76)^3/12*(1+assumptions!$G$70+assumptions!$G$71+IF(37&gt;=assumptions!$G$73,assumptions!$G$72,0))+assumptions!$G$74/12)+IF(37=E34,D34*assumptions!$G$75,0),0)</f>
        <v/>
      </c>
      <c r="AR34" s="17">
        <f>IF(AND(38&gt;=E34,OR(F34="",38&lt;=F34)),(D34*(1+assumptions!$G$76)^3/12*(1+assumptions!$G$70+assumptions!$G$71+IF(38&gt;=assumptions!$G$73,assumptions!$G$72,0))+assumptions!$G$74/12)+IF(38=E34,D34*assumptions!$G$75,0),0)</f>
        <v/>
      </c>
      <c r="AS34" s="17">
        <f>IF(AND(39&gt;=E34,OR(F34="",39&lt;=F34)),(D34*(1+assumptions!$G$76)^3/12*(1+assumptions!$G$70+assumptions!$G$71+IF(39&gt;=assumptions!$G$73,assumptions!$G$72,0))+assumptions!$G$74/12)+IF(39=E34,D34*assumptions!$G$75,0),0)</f>
        <v/>
      </c>
      <c r="AT34" s="17">
        <f>IF(AND(40&gt;=E34,OR(F34="",40&lt;=F34)),(D34*(1+assumptions!$G$76)^3/12*(1+assumptions!$G$70+assumptions!$G$71+IF(40&gt;=assumptions!$G$73,assumptions!$G$72,0))+assumptions!$G$74/12)+IF(40=E34,D34*assumptions!$G$75,0),0)</f>
        <v/>
      </c>
      <c r="AU34" s="17">
        <f>IF(AND(41&gt;=E34,OR(F34="",41&lt;=F34)),(D34*(1+assumptions!$G$76)^3/12*(1+assumptions!$G$70+assumptions!$G$71+IF(41&gt;=assumptions!$G$73,assumptions!$G$72,0))+assumptions!$G$74/12)+IF(41=E34,D34*assumptions!$G$75,0),0)</f>
        <v/>
      </c>
      <c r="AV34" s="17">
        <f>IF(AND(42&gt;=E34,OR(F34="",42&lt;=F34)),(D34*(1+assumptions!$G$76)^3/12*(1+assumptions!$G$70+assumptions!$G$71+IF(42&gt;=assumptions!$G$73,assumptions!$G$72,0))+assumptions!$G$74/12)+IF(42=E34,D34*assumptions!$G$75,0),0)</f>
        <v/>
      </c>
      <c r="AW34" s="17">
        <f>IF(AND(43&gt;=E34,OR(F34="",43&lt;=F34)),(D34*(1+assumptions!$G$76)^3/12*(1+assumptions!$G$70+assumptions!$G$71+IF(43&gt;=assumptions!$G$73,assumptions!$G$72,0))+assumptions!$G$74/12)+IF(43=E34,D34*assumptions!$G$75,0),0)</f>
        <v/>
      </c>
      <c r="AX34" s="17">
        <f>IF(AND(44&gt;=E34,OR(F34="",44&lt;=F34)),(D34*(1+assumptions!$G$76)^3/12*(1+assumptions!$G$70+assumptions!$G$71+IF(44&gt;=assumptions!$G$73,assumptions!$G$72,0))+assumptions!$G$74/12)+IF(44=E34,D34*assumptions!$G$75,0),0)</f>
        <v/>
      </c>
      <c r="AY34" s="17">
        <f>IF(AND(45&gt;=E34,OR(F34="",45&lt;=F34)),(D34*(1+assumptions!$G$76)^3/12*(1+assumptions!$G$70+assumptions!$G$71+IF(45&gt;=assumptions!$G$73,assumptions!$G$72,0))+assumptions!$G$74/12)+IF(45=E34,D34*assumptions!$G$75,0),0)</f>
        <v/>
      </c>
      <c r="AZ34" s="17">
        <f>IF(AND(46&gt;=E34,OR(F34="",46&lt;=F34)),(D34*(1+assumptions!$G$76)^3/12*(1+assumptions!$G$70+assumptions!$G$71+IF(46&gt;=assumptions!$G$73,assumptions!$G$72,0))+assumptions!$G$74/12)+IF(46=E34,D34*assumptions!$G$75,0),0)</f>
        <v/>
      </c>
      <c r="BA34" s="17">
        <f>IF(AND(47&gt;=E34,OR(F34="",47&lt;=F34)),(D34*(1+assumptions!$G$76)^3/12*(1+assumptions!$G$70+assumptions!$G$71+IF(47&gt;=assumptions!$G$73,assumptions!$G$72,0))+assumptions!$G$74/12)+IF(47=E34,D34*assumptions!$G$75,0),0)</f>
        <v/>
      </c>
      <c r="BB34" s="17">
        <f>IF(AND(48&gt;=E34,OR(F34="",48&lt;=F34)),(D34*(1+assumptions!$G$76)^3/12*(1+assumptions!$G$70+assumptions!$G$71+IF(48&gt;=assumptions!$G$73,assumptions!$G$72,0))+assumptions!$G$74/12)+IF(48=E34,D34*assumptions!$G$75,0),0)</f>
        <v/>
      </c>
      <c r="BC34" s="17">
        <f>IF(AND(49&gt;=E34,OR(F34="",49&lt;=F34)),(D34*(1+assumptions!$G$76)^4/12*(1+assumptions!$G$70+assumptions!$G$71+IF(49&gt;=assumptions!$G$73,assumptions!$G$72,0))+assumptions!$G$74/12)+IF(49=E34,D34*assumptions!$G$75,0),0)</f>
        <v/>
      </c>
      <c r="BD34" s="17">
        <f>IF(AND(50&gt;=E34,OR(F34="",50&lt;=F34)),(D34*(1+assumptions!$G$76)^4/12*(1+assumptions!$G$70+assumptions!$G$71+IF(50&gt;=assumptions!$G$73,assumptions!$G$72,0))+assumptions!$G$74/12)+IF(50=E34,D34*assumptions!$G$75,0),0)</f>
        <v/>
      </c>
      <c r="BE34" s="17">
        <f>IF(AND(51&gt;=E34,OR(F34="",51&lt;=F34)),(D34*(1+assumptions!$G$76)^4/12*(1+assumptions!$G$70+assumptions!$G$71+IF(51&gt;=assumptions!$G$73,assumptions!$G$72,0))+assumptions!$G$74/12)+IF(51=E34,D34*assumptions!$G$75,0),0)</f>
        <v/>
      </c>
      <c r="BF34" s="17">
        <f>IF(AND(52&gt;=E34,OR(F34="",52&lt;=F34)),(D34*(1+assumptions!$G$76)^4/12*(1+assumptions!$G$70+assumptions!$G$71+IF(52&gt;=assumptions!$G$73,assumptions!$G$72,0))+assumptions!$G$74/12)+IF(52=E34,D34*assumptions!$G$75,0),0)</f>
        <v/>
      </c>
      <c r="BG34" s="17">
        <f>IF(AND(53&gt;=E34,OR(F34="",53&lt;=F34)),(D34*(1+assumptions!$G$76)^4/12*(1+assumptions!$G$70+assumptions!$G$71+IF(53&gt;=assumptions!$G$73,assumptions!$G$72,0))+assumptions!$G$74/12)+IF(53=E34,D34*assumptions!$G$75,0),0)</f>
        <v/>
      </c>
      <c r="BH34" s="17">
        <f>IF(AND(54&gt;=E34,OR(F34="",54&lt;=F34)),(D34*(1+assumptions!$G$76)^4/12*(1+assumptions!$G$70+assumptions!$G$71+IF(54&gt;=assumptions!$G$73,assumptions!$G$72,0))+assumptions!$G$74/12)+IF(54=E34,D34*assumptions!$G$75,0),0)</f>
        <v/>
      </c>
      <c r="BI34" s="17">
        <f>IF(AND(55&gt;=E34,OR(F34="",55&lt;=F34)),(D34*(1+assumptions!$G$76)^4/12*(1+assumptions!$G$70+assumptions!$G$71+IF(55&gt;=assumptions!$G$73,assumptions!$G$72,0))+assumptions!$G$74/12)+IF(55=E34,D34*assumptions!$G$75,0),0)</f>
        <v/>
      </c>
      <c r="BJ34" s="17">
        <f>IF(AND(56&gt;=E34,OR(F34="",56&lt;=F34)),(D34*(1+assumptions!$G$76)^4/12*(1+assumptions!$G$70+assumptions!$G$71+IF(56&gt;=assumptions!$G$73,assumptions!$G$72,0))+assumptions!$G$74/12)+IF(56=E34,D34*assumptions!$G$75,0),0)</f>
        <v/>
      </c>
      <c r="BK34" s="17">
        <f>IF(AND(57&gt;=E34,OR(F34="",57&lt;=F34)),(D34*(1+assumptions!$G$76)^4/12*(1+assumptions!$G$70+assumptions!$G$71+IF(57&gt;=assumptions!$G$73,assumptions!$G$72,0))+assumptions!$G$74/12)+IF(57=E34,D34*assumptions!$G$75,0),0)</f>
        <v/>
      </c>
      <c r="BL34" s="17">
        <f>IF(AND(58&gt;=E34,OR(F34="",58&lt;=F34)),(D34*(1+assumptions!$G$76)^4/12*(1+assumptions!$G$70+assumptions!$G$71+IF(58&gt;=assumptions!$G$73,assumptions!$G$72,0))+assumptions!$G$74/12)+IF(58=E34,D34*assumptions!$G$75,0),0)</f>
        <v/>
      </c>
      <c r="BM34" s="17">
        <f>IF(AND(59&gt;=E34,OR(F34="",59&lt;=F34)),(D34*(1+assumptions!$G$76)^4/12*(1+assumptions!$G$70+assumptions!$G$71+IF(59&gt;=assumptions!$G$73,assumptions!$G$72,0))+assumptions!$G$74/12)+IF(59=E34,D34*assumptions!$G$75,0),0)</f>
        <v/>
      </c>
      <c r="BN34" s="17">
        <f>IF(AND(60&gt;=E34,OR(F34="",60&lt;=F34)),(D34*(1+assumptions!$G$76)^4/12*(1+assumptions!$G$70+assumptions!$G$71+IF(60&gt;=assumptions!$G$73,assumptions!$G$72,0))+assumptions!$G$74/12)+IF(60=E34,D34*assumptions!$G$75,0),0)</f>
        <v/>
      </c>
    </row>
    <row r="35">
      <c r="A35" s="5" t="n">
        <v>32</v>
      </c>
      <c r="B35" s="5" t="inlineStr">
        <is>
          <t>Senior PM #2</t>
        </is>
      </c>
      <c r="C35" s="5" t="inlineStr">
        <is>
          <t>product</t>
        </is>
      </c>
      <c r="D35" s="15" t="n">
        <v>90000</v>
      </c>
      <c r="E35" s="32" t="n">
        <v>46</v>
      </c>
      <c r="F35" s="32" t="n"/>
      <c r="G35" s="17">
        <f>IF(AND(1&gt;=E35,OR(F35="",1&lt;=F35)),(D35*(1+assumptions!$G$76)^0/12*(1+assumptions!$G$70+assumptions!$G$71+IF(1&gt;=assumptions!$G$73,assumptions!$G$72,0))+assumptions!$G$74/12)+IF(1=E35,D35*assumptions!$G$75,0),0)</f>
        <v/>
      </c>
      <c r="H35" s="17">
        <f>IF(AND(2&gt;=E35,OR(F35="",2&lt;=F35)),(D35*(1+assumptions!$G$76)^0/12*(1+assumptions!$G$70+assumptions!$G$71+IF(2&gt;=assumptions!$G$73,assumptions!$G$72,0))+assumptions!$G$74/12)+IF(2=E35,D35*assumptions!$G$75,0),0)</f>
        <v/>
      </c>
      <c r="I35" s="17">
        <f>IF(AND(3&gt;=E35,OR(F35="",3&lt;=F35)),(D35*(1+assumptions!$G$76)^0/12*(1+assumptions!$G$70+assumptions!$G$71+IF(3&gt;=assumptions!$G$73,assumptions!$G$72,0))+assumptions!$G$74/12)+IF(3=E35,D35*assumptions!$G$75,0),0)</f>
        <v/>
      </c>
      <c r="J35" s="17">
        <f>IF(AND(4&gt;=E35,OR(F35="",4&lt;=F35)),(D35*(1+assumptions!$G$76)^0/12*(1+assumptions!$G$70+assumptions!$G$71+IF(4&gt;=assumptions!$G$73,assumptions!$G$72,0))+assumptions!$G$74/12)+IF(4=E35,D35*assumptions!$G$75,0),0)</f>
        <v/>
      </c>
      <c r="K35" s="17">
        <f>IF(AND(5&gt;=E35,OR(F35="",5&lt;=F35)),(D35*(1+assumptions!$G$76)^0/12*(1+assumptions!$G$70+assumptions!$G$71+IF(5&gt;=assumptions!$G$73,assumptions!$G$72,0))+assumptions!$G$74/12)+IF(5=E35,D35*assumptions!$G$75,0),0)</f>
        <v/>
      </c>
      <c r="L35" s="17">
        <f>IF(AND(6&gt;=E35,OR(F35="",6&lt;=F35)),(D35*(1+assumptions!$G$76)^0/12*(1+assumptions!$G$70+assumptions!$G$71+IF(6&gt;=assumptions!$G$73,assumptions!$G$72,0))+assumptions!$G$74/12)+IF(6=E35,D35*assumptions!$G$75,0),0)</f>
        <v/>
      </c>
      <c r="M35" s="17">
        <f>IF(AND(7&gt;=E35,OR(F35="",7&lt;=F35)),(D35*(1+assumptions!$G$76)^0/12*(1+assumptions!$G$70+assumptions!$G$71+IF(7&gt;=assumptions!$G$73,assumptions!$G$72,0))+assumptions!$G$74/12)+IF(7=E35,D35*assumptions!$G$75,0),0)</f>
        <v/>
      </c>
      <c r="N35" s="17">
        <f>IF(AND(8&gt;=E35,OR(F35="",8&lt;=F35)),(D35*(1+assumptions!$G$76)^0/12*(1+assumptions!$G$70+assumptions!$G$71+IF(8&gt;=assumptions!$G$73,assumptions!$G$72,0))+assumptions!$G$74/12)+IF(8=E35,D35*assumptions!$G$75,0),0)</f>
        <v/>
      </c>
      <c r="O35" s="17">
        <f>IF(AND(9&gt;=E35,OR(F35="",9&lt;=F35)),(D35*(1+assumptions!$G$76)^0/12*(1+assumptions!$G$70+assumptions!$G$71+IF(9&gt;=assumptions!$G$73,assumptions!$G$72,0))+assumptions!$G$74/12)+IF(9=E35,D35*assumptions!$G$75,0),0)</f>
        <v/>
      </c>
      <c r="P35" s="17">
        <f>IF(AND(10&gt;=E35,OR(F35="",10&lt;=F35)),(D35*(1+assumptions!$G$76)^0/12*(1+assumptions!$G$70+assumptions!$G$71+IF(10&gt;=assumptions!$G$73,assumptions!$G$72,0))+assumptions!$G$74/12)+IF(10=E35,D35*assumptions!$G$75,0),0)</f>
        <v/>
      </c>
      <c r="Q35" s="17">
        <f>IF(AND(11&gt;=E35,OR(F35="",11&lt;=F35)),(D35*(1+assumptions!$G$76)^0/12*(1+assumptions!$G$70+assumptions!$G$71+IF(11&gt;=assumptions!$G$73,assumptions!$G$72,0))+assumptions!$G$74/12)+IF(11=E35,D35*assumptions!$G$75,0),0)</f>
        <v/>
      </c>
      <c r="R35" s="17">
        <f>IF(AND(12&gt;=E35,OR(F35="",12&lt;=F35)),(D35*(1+assumptions!$G$76)^0/12*(1+assumptions!$G$70+assumptions!$G$71+IF(12&gt;=assumptions!$G$73,assumptions!$G$72,0))+assumptions!$G$74/12)+IF(12=E35,D35*assumptions!$G$75,0),0)</f>
        <v/>
      </c>
      <c r="S35" s="17">
        <f>IF(AND(13&gt;=E35,OR(F35="",13&lt;=F35)),(D35*(1+assumptions!$G$76)^1/12*(1+assumptions!$G$70+assumptions!$G$71+IF(13&gt;=assumptions!$G$73,assumptions!$G$72,0))+assumptions!$G$74/12)+IF(13=E35,D35*assumptions!$G$75,0),0)</f>
        <v/>
      </c>
      <c r="T35" s="17">
        <f>IF(AND(14&gt;=E35,OR(F35="",14&lt;=F35)),(D35*(1+assumptions!$G$76)^1/12*(1+assumptions!$G$70+assumptions!$G$71+IF(14&gt;=assumptions!$G$73,assumptions!$G$72,0))+assumptions!$G$74/12)+IF(14=E35,D35*assumptions!$G$75,0),0)</f>
        <v/>
      </c>
      <c r="U35" s="17">
        <f>IF(AND(15&gt;=E35,OR(F35="",15&lt;=F35)),(D35*(1+assumptions!$G$76)^1/12*(1+assumptions!$G$70+assumptions!$G$71+IF(15&gt;=assumptions!$G$73,assumptions!$G$72,0))+assumptions!$G$74/12)+IF(15=E35,D35*assumptions!$G$75,0),0)</f>
        <v/>
      </c>
      <c r="V35" s="17">
        <f>IF(AND(16&gt;=E35,OR(F35="",16&lt;=F35)),(D35*(1+assumptions!$G$76)^1/12*(1+assumptions!$G$70+assumptions!$G$71+IF(16&gt;=assumptions!$G$73,assumptions!$G$72,0))+assumptions!$G$74/12)+IF(16=E35,D35*assumptions!$G$75,0),0)</f>
        <v/>
      </c>
      <c r="W35" s="17">
        <f>IF(AND(17&gt;=E35,OR(F35="",17&lt;=F35)),(D35*(1+assumptions!$G$76)^1/12*(1+assumptions!$G$70+assumptions!$G$71+IF(17&gt;=assumptions!$G$73,assumptions!$G$72,0))+assumptions!$G$74/12)+IF(17=E35,D35*assumptions!$G$75,0),0)</f>
        <v/>
      </c>
      <c r="X35" s="17">
        <f>IF(AND(18&gt;=E35,OR(F35="",18&lt;=F35)),(D35*(1+assumptions!$G$76)^1/12*(1+assumptions!$G$70+assumptions!$G$71+IF(18&gt;=assumptions!$G$73,assumptions!$G$72,0))+assumptions!$G$74/12)+IF(18=E35,D35*assumptions!$G$75,0),0)</f>
        <v/>
      </c>
      <c r="Y35" s="17">
        <f>IF(AND(19&gt;=E35,OR(F35="",19&lt;=F35)),(D35*(1+assumptions!$G$76)^1/12*(1+assumptions!$G$70+assumptions!$G$71+IF(19&gt;=assumptions!$G$73,assumptions!$G$72,0))+assumptions!$G$74/12)+IF(19=E35,D35*assumptions!$G$75,0),0)</f>
        <v/>
      </c>
      <c r="Z35" s="17">
        <f>IF(AND(20&gt;=E35,OR(F35="",20&lt;=F35)),(D35*(1+assumptions!$G$76)^1/12*(1+assumptions!$G$70+assumptions!$G$71+IF(20&gt;=assumptions!$G$73,assumptions!$G$72,0))+assumptions!$G$74/12)+IF(20=E35,D35*assumptions!$G$75,0),0)</f>
        <v/>
      </c>
      <c r="AA35" s="17">
        <f>IF(AND(21&gt;=E35,OR(F35="",21&lt;=F35)),(D35*(1+assumptions!$G$76)^1/12*(1+assumptions!$G$70+assumptions!$G$71+IF(21&gt;=assumptions!$G$73,assumptions!$G$72,0))+assumptions!$G$74/12)+IF(21=E35,D35*assumptions!$G$75,0),0)</f>
        <v/>
      </c>
      <c r="AB35" s="17">
        <f>IF(AND(22&gt;=E35,OR(F35="",22&lt;=F35)),(D35*(1+assumptions!$G$76)^1/12*(1+assumptions!$G$70+assumptions!$G$71+IF(22&gt;=assumptions!$G$73,assumptions!$G$72,0))+assumptions!$G$74/12)+IF(22=E35,D35*assumptions!$G$75,0),0)</f>
        <v/>
      </c>
      <c r="AC35" s="17">
        <f>IF(AND(23&gt;=E35,OR(F35="",23&lt;=F35)),(D35*(1+assumptions!$G$76)^1/12*(1+assumptions!$G$70+assumptions!$G$71+IF(23&gt;=assumptions!$G$73,assumptions!$G$72,0))+assumptions!$G$74/12)+IF(23=E35,D35*assumptions!$G$75,0),0)</f>
        <v/>
      </c>
      <c r="AD35" s="17">
        <f>IF(AND(24&gt;=E35,OR(F35="",24&lt;=F35)),(D35*(1+assumptions!$G$76)^1/12*(1+assumptions!$G$70+assumptions!$G$71+IF(24&gt;=assumptions!$G$73,assumptions!$G$72,0))+assumptions!$G$74/12)+IF(24=E35,D35*assumptions!$G$75,0),0)</f>
        <v/>
      </c>
      <c r="AE35" s="17">
        <f>IF(AND(25&gt;=E35,OR(F35="",25&lt;=F35)),(D35*(1+assumptions!$G$76)^2/12*(1+assumptions!$G$70+assumptions!$G$71+IF(25&gt;=assumptions!$G$73,assumptions!$G$72,0))+assumptions!$G$74/12)+IF(25=E35,D35*assumptions!$G$75,0),0)</f>
        <v/>
      </c>
      <c r="AF35" s="17">
        <f>IF(AND(26&gt;=E35,OR(F35="",26&lt;=F35)),(D35*(1+assumptions!$G$76)^2/12*(1+assumptions!$G$70+assumptions!$G$71+IF(26&gt;=assumptions!$G$73,assumptions!$G$72,0))+assumptions!$G$74/12)+IF(26=E35,D35*assumptions!$G$75,0),0)</f>
        <v/>
      </c>
      <c r="AG35" s="17">
        <f>IF(AND(27&gt;=E35,OR(F35="",27&lt;=F35)),(D35*(1+assumptions!$G$76)^2/12*(1+assumptions!$G$70+assumptions!$G$71+IF(27&gt;=assumptions!$G$73,assumptions!$G$72,0))+assumptions!$G$74/12)+IF(27=E35,D35*assumptions!$G$75,0),0)</f>
        <v/>
      </c>
      <c r="AH35" s="17">
        <f>IF(AND(28&gt;=E35,OR(F35="",28&lt;=F35)),(D35*(1+assumptions!$G$76)^2/12*(1+assumptions!$G$70+assumptions!$G$71+IF(28&gt;=assumptions!$G$73,assumptions!$G$72,0))+assumptions!$G$74/12)+IF(28=E35,D35*assumptions!$G$75,0),0)</f>
        <v/>
      </c>
      <c r="AI35" s="17">
        <f>IF(AND(29&gt;=E35,OR(F35="",29&lt;=F35)),(D35*(1+assumptions!$G$76)^2/12*(1+assumptions!$G$70+assumptions!$G$71+IF(29&gt;=assumptions!$G$73,assumptions!$G$72,0))+assumptions!$G$74/12)+IF(29=E35,D35*assumptions!$G$75,0),0)</f>
        <v/>
      </c>
      <c r="AJ35" s="17">
        <f>IF(AND(30&gt;=E35,OR(F35="",30&lt;=F35)),(D35*(1+assumptions!$G$76)^2/12*(1+assumptions!$G$70+assumptions!$G$71+IF(30&gt;=assumptions!$G$73,assumptions!$G$72,0))+assumptions!$G$74/12)+IF(30=E35,D35*assumptions!$G$75,0),0)</f>
        <v/>
      </c>
      <c r="AK35" s="17">
        <f>IF(AND(31&gt;=E35,OR(F35="",31&lt;=F35)),(D35*(1+assumptions!$G$76)^2/12*(1+assumptions!$G$70+assumptions!$G$71+IF(31&gt;=assumptions!$G$73,assumptions!$G$72,0))+assumptions!$G$74/12)+IF(31=E35,D35*assumptions!$G$75,0),0)</f>
        <v/>
      </c>
      <c r="AL35" s="17">
        <f>IF(AND(32&gt;=E35,OR(F35="",32&lt;=F35)),(D35*(1+assumptions!$G$76)^2/12*(1+assumptions!$G$70+assumptions!$G$71+IF(32&gt;=assumptions!$G$73,assumptions!$G$72,0))+assumptions!$G$74/12)+IF(32=E35,D35*assumptions!$G$75,0),0)</f>
        <v/>
      </c>
      <c r="AM35" s="17">
        <f>IF(AND(33&gt;=E35,OR(F35="",33&lt;=F35)),(D35*(1+assumptions!$G$76)^2/12*(1+assumptions!$G$70+assumptions!$G$71+IF(33&gt;=assumptions!$G$73,assumptions!$G$72,0))+assumptions!$G$74/12)+IF(33=E35,D35*assumptions!$G$75,0),0)</f>
        <v/>
      </c>
      <c r="AN35" s="17">
        <f>IF(AND(34&gt;=E35,OR(F35="",34&lt;=F35)),(D35*(1+assumptions!$G$76)^2/12*(1+assumptions!$G$70+assumptions!$G$71+IF(34&gt;=assumptions!$G$73,assumptions!$G$72,0))+assumptions!$G$74/12)+IF(34=E35,D35*assumptions!$G$75,0),0)</f>
        <v/>
      </c>
      <c r="AO35" s="17">
        <f>IF(AND(35&gt;=E35,OR(F35="",35&lt;=F35)),(D35*(1+assumptions!$G$76)^2/12*(1+assumptions!$G$70+assumptions!$G$71+IF(35&gt;=assumptions!$G$73,assumptions!$G$72,0))+assumptions!$G$74/12)+IF(35=E35,D35*assumptions!$G$75,0),0)</f>
        <v/>
      </c>
      <c r="AP35" s="17">
        <f>IF(AND(36&gt;=E35,OR(F35="",36&lt;=F35)),(D35*(1+assumptions!$G$76)^2/12*(1+assumptions!$G$70+assumptions!$G$71+IF(36&gt;=assumptions!$G$73,assumptions!$G$72,0))+assumptions!$G$74/12)+IF(36=E35,D35*assumptions!$G$75,0),0)</f>
        <v/>
      </c>
      <c r="AQ35" s="17">
        <f>IF(AND(37&gt;=E35,OR(F35="",37&lt;=F35)),(D35*(1+assumptions!$G$76)^3/12*(1+assumptions!$G$70+assumptions!$G$71+IF(37&gt;=assumptions!$G$73,assumptions!$G$72,0))+assumptions!$G$74/12)+IF(37=E35,D35*assumptions!$G$75,0),0)</f>
        <v/>
      </c>
      <c r="AR35" s="17">
        <f>IF(AND(38&gt;=E35,OR(F35="",38&lt;=F35)),(D35*(1+assumptions!$G$76)^3/12*(1+assumptions!$G$70+assumptions!$G$71+IF(38&gt;=assumptions!$G$73,assumptions!$G$72,0))+assumptions!$G$74/12)+IF(38=E35,D35*assumptions!$G$75,0),0)</f>
        <v/>
      </c>
      <c r="AS35" s="17">
        <f>IF(AND(39&gt;=E35,OR(F35="",39&lt;=F35)),(D35*(1+assumptions!$G$76)^3/12*(1+assumptions!$G$70+assumptions!$G$71+IF(39&gt;=assumptions!$G$73,assumptions!$G$72,0))+assumptions!$G$74/12)+IF(39=E35,D35*assumptions!$G$75,0),0)</f>
        <v/>
      </c>
      <c r="AT35" s="17">
        <f>IF(AND(40&gt;=E35,OR(F35="",40&lt;=F35)),(D35*(1+assumptions!$G$76)^3/12*(1+assumptions!$G$70+assumptions!$G$71+IF(40&gt;=assumptions!$G$73,assumptions!$G$72,0))+assumptions!$G$74/12)+IF(40=E35,D35*assumptions!$G$75,0),0)</f>
        <v/>
      </c>
      <c r="AU35" s="17">
        <f>IF(AND(41&gt;=E35,OR(F35="",41&lt;=F35)),(D35*(1+assumptions!$G$76)^3/12*(1+assumptions!$G$70+assumptions!$G$71+IF(41&gt;=assumptions!$G$73,assumptions!$G$72,0))+assumptions!$G$74/12)+IF(41=E35,D35*assumptions!$G$75,0),0)</f>
        <v/>
      </c>
      <c r="AV35" s="17">
        <f>IF(AND(42&gt;=E35,OR(F35="",42&lt;=F35)),(D35*(1+assumptions!$G$76)^3/12*(1+assumptions!$G$70+assumptions!$G$71+IF(42&gt;=assumptions!$G$73,assumptions!$G$72,0))+assumptions!$G$74/12)+IF(42=E35,D35*assumptions!$G$75,0),0)</f>
        <v/>
      </c>
      <c r="AW35" s="17">
        <f>IF(AND(43&gt;=E35,OR(F35="",43&lt;=F35)),(D35*(1+assumptions!$G$76)^3/12*(1+assumptions!$G$70+assumptions!$G$71+IF(43&gt;=assumptions!$G$73,assumptions!$G$72,0))+assumptions!$G$74/12)+IF(43=E35,D35*assumptions!$G$75,0),0)</f>
        <v/>
      </c>
      <c r="AX35" s="17">
        <f>IF(AND(44&gt;=E35,OR(F35="",44&lt;=F35)),(D35*(1+assumptions!$G$76)^3/12*(1+assumptions!$G$70+assumptions!$G$71+IF(44&gt;=assumptions!$G$73,assumptions!$G$72,0))+assumptions!$G$74/12)+IF(44=E35,D35*assumptions!$G$75,0),0)</f>
        <v/>
      </c>
      <c r="AY35" s="17">
        <f>IF(AND(45&gt;=E35,OR(F35="",45&lt;=F35)),(D35*(1+assumptions!$G$76)^3/12*(1+assumptions!$G$70+assumptions!$G$71+IF(45&gt;=assumptions!$G$73,assumptions!$G$72,0))+assumptions!$G$74/12)+IF(45=E35,D35*assumptions!$G$75,0),0)</f>
        <v/>
      </c>
      <c r="AZ35" s="17">
        <f>IF(AND(46&gt;=E35,OR(F35="",46&lt;=F35)),(D35*(1+assumptions!$G$76)^3/12*(1+assumptions!$G$70+assumptions!$G$71+IF(46&gt;=assumptions!$G$73,assumptions!$G$72,0))+assumptions!$G$74/12)+IF(46=E35,D35*assumptions!$G$75,0),0)</f>
        <v/>
      </c>
      <c r="BA35" s="17">
        <f>IF(AND(47&gt;=E35,OR(F35="",47&lt;=F35)),(D35*(1+assumptions!$G$76)^3/12*(1+assumptions!$G$70+assumptions!$G$71+IF(47&gt;=assumptions!$G$73,assumptions!$G$72,0))+assumptions!$G$74/12)+IF(47=E35,D35*assumptions!$G$75,0),0)</f>
        <v/>
      </c>
      <c r="BB35" s="17">
        <f>IF(AND(48&gt;=E35,OR(F35="",48&lt;=F35)),(D35*(1+assumptions!$G$76)^3/12*(1+assumptions!$G$70+assumptions!$G$71+IF(48&gt;=assumptions!$G$73,assumptions!$G$72,0))+assumptions!$G$74/12)+IF(48=E35,D35*assumptions!$G$75,0),0)</f>
        <v/>
      </c>
      <c r="BC35" s="17">
        <f>IF(AND(49&gt;=E35,OR(F35="",49&lt;=F35)),(D35*(1+assumptions!$G$76)^4/12*(1+assumptions!$G$70+assumptions!$G$71+IF(49&gt;=assumptions!$G$73,assumptions!$G$72,0))+assumptions!$G$74/12)+IF(49=E35,D35*assumptions!$G$75,0),0)</f>
        <v/>
      </c>
      <c r="BD35" s="17">
        <f>IF(AND(50&gt;=E35,OR(F35="",50&lt;=F35)),(D35*(1+assumptions!$G$76)^4/12*(1+assumptions!$G$70+assumptions!$G$71+IF(50&gt;=assumptions!$G$73,assumptions!$G$72,0))+assumptions!$G$74/12)+IF(50=E35,D35*assumptions!$G$75,0),0)</f>
        <v/>
      </c>
      <c r="BE35" s="17">
        <f>IF(AND(51&gt;=E35,OR(F35="",51&lt;=F35)),(D35*(1+assumptions!$G$76)^4/12*(1+assumptions!$G$70+assumptions!$G$71+IF(51&gt;=assumptions!$G$73,assumptions!$G$72,0))+assumptions!$G$74/12)+IF(51=E35,D35*assumptions!$G$75,0),0)</f>
        <v/>
      </c>
      <c r="BF35" s="17">
        <f>IF(AND(52&gt;=E35,OR(F35="",52&lt;=F35)),(D35*(1+assumptions!$G$76)^4/12*(1+assumptions!$G$70+assumptions!$G$71+IF(52&gt;=assumptions!$G$73,assumptions!$G$72,0))+assumptions!$G$74/12)+IF(52=E35,D35*assumptions!$G$75,0),0)</f>
        <v/>
      </c>
      <c r="BG35" s="17">
        <f>IF(AND(53&gt;=E35,OR(F35="",53&lt;=F35)),(D35*(1+assumptions!$G$76)^4/12*(1+assumptions!$G$70+assumptions!$G$71+IF(53&gt;=assumptions!$G$73,assumptions!$G$72,0))+assumptions!$G$74/12)+IF(53=E35,D35*assumptions!$G$75,0),0)</f>
        <v/>
      </c>
      <c r="BH35" s="17">
        <f>IF(AND(54&gt;=E35,OR(F35="",54&lt;=F35)),(D35*(1+assumptions!$G$76)^4/12*(1+assumptions!$G$70+assumptions!$G$71+IF(54&gt;=assumptions!$G$73,assumptions!$G$72,0))+assumptions!$G$74/12)+IF(54=E35,D35*assumptions!$G$75,0),0)</f>
        <v/>
      </c>
      <c r="BI35" s="17">
        <f>IF(AND(55&gt;=E35,OR(F35="",55&lt;=F35)),(D35*(1+assumptions!$G$76)^4/12*(1+assumptions!$G$70+assumptions!$G$71+IF(55&gt;=assumptions!$G$73,assumptions!$G$72,0))+assumptions!$G$74/12)+IF(55=E35,D35*assumptions!$G$75,0),0)</f>
        <v/>
      </c>
      <c r="BJ35" s="17">
        <f>IF(AND(56&gt;=E35,OR(F35="",56&lt;=F35)),(D35*(1+assumptions!$G$76)^4/12*(1+assumptions!$G$70+assumptions!$G$71+IF(56&gt;=assumptions!$G$73,assumptions!$G$72,0))+assumptions!$G$74/12)+IF(56=E35,D35*assumptions!$G$75,0),0)</f>
        <v/>
      </c>
      <c r="BK35" s="17">
        <f>IF(AND(57&gt;=E35,OR(F35="",57&lt;=F35)),(D35*(1+assumptions!$G$76)^4/12*(1+assumptions!$G$70+assumptions!$G$71+IF(57&gt;=assumptions!$G$73,assumptions!$G$72,0))+assumptions!$G$74/12)+IF(57=E35,D35*assumptions!$G$75,0),0)</f>
        <v/>
      </c>
      <c r="BL35" s="17">
        <f>IF(AND(58&gt;=E35,OR(F35="",58&lt;=F35)),(D35*(1+assumptions!$G$76)^4/12*(1+assumptions!$G$70+assumptions!$G$71+IF(58&gt;=assumptions!$G$73,assumptions!$G$72,0))+assumptions!$G$74/12)+IF(58=E35,D35*assumptions!$G$75,0),0)</f>
        <v/>
      </c>
      <c r="BM35" s="17">
        <f>IF(AND(59&gt;=E35,OR(F35="",59&lt;=F35)),(D35*(1+assumptions!$G$76)^4/12*(1+assumptions!$G$70+assumptions!$G$71+IF(59&gt;=assumptions!$G$73,assumptions!$G$72,0))+assumptions!$G$74/12)+IF(59=E35,D35*assumptions!$G$75,0),0)</f>
        <v/>
      </c>
      <c r="BN35" s="17">
        <f>IF(AND(60&gt;=E35,OR(F35="",60&lt;=F35)),(D35*(1+assumptions!$G$76)^4/12*(1+assumptions!$G$70+assumptions!$G$71+IF(60&gt;=assumptions!$G$73,assumptions!$G$72,0))+assumptions!$G$74/12)+IF(60=E35,D35*assumptions!$G$75,0),0)</f>
        <v/>
      </c>
    </row>
    <row r="36">
      <c r="A36" s="5" t="n">
        <v>33</v>
      </c>
      <c r="B36" s="5" t="inlineStr">
        <is>
          <t>Creator success #3</t>
        </is>
      </c>
      <c r="C36" s="5" t="inlineStr">
        <is>
          <t>growth</t>
        </is>
      </c>
      <c r="D36" s="15" t="n">
        <v>55000</v>
      </c>
      <c r="E36" s="32" t="n">
        <v>48</v>
      </c>
      <c r="F36" s="32" t="n"/>
      <c r="G36" s="17">
        <f>IF(AND(1&gt;=E36,OR(F36="",1&lt;=F36)),(D36*(1+assumptions!$G$76)^0/12*(1+assumptions!$G$70+assumptions!$G$71+IF(1&gt;=assumptions!$G$73,assumptions!$G$72,0))+assumptions!$G$74/12)+IF(1=E36,D36*assumptions!$G$75,0),0)</f>
        <v/>
      </c>
      <c r="H36" s="17">
        <f>IF(AND(2&gt;=E36,OR(F36="",2&lt;=F36)),(D36*(1+assumptions!$G$76)^0/12*(1+assumptions!$G$70+assumptions!$G$71+IF(2&gt;=assumptions!$G$73,assumptions!$G$72,0))+assumptions!$G$74/12)+IF(2=E36,D36*assumptions!$G$75,0),0)</f>
        <v/>
      </c>
      <c r="I36" s="17">
        <f>IF(AND(3&gt;=E36,OR(F36="",3&lt;=F36)),(D36*(1+assumptions!$G$76)^0/12*(1+assumptions!$G$70+assumptions!$G$71+IF(3&gt;=assumptions!$G$73,assumptions!$G$72,0))+assumptions!$G$74/12)+IF(3=E36,D36*assumptions!$G$75,0),0)</f>
        <v/>
      </c>
      <c r="J36" s="17">
        <f>IF(AND(4&gt;=E36,OR(F36="",4&lt;=F36)),(D36*(1+assumptions!$G$76)^0/12*(1+assumptions!$G$70+assumptions!$G$71+IF(4&gt;=assumptions!$G$73,assumptions!$G$72,0))+assumptions!$G$74/12)+IF(4=E36,D36*assumptions!$G$75,0),0)</f>
        <v/>
      </c>
      <c r="K36" s="17">
        <f>IF(AND(5&gt;=E36,OR(F36="",5&lt;=F36)),(D36*(1+assumptions!$G$76)^0/12*(1+assumptions!$G$70+assumptions!$G$71+IF(5&gt;=assumptions!$G$73,assumptions!$G$72,0))+assumptions!$G$74/12)+IF(5=E36,D36*assumptions!$G$75,0),0)</f>
        <v/>
      </c>
      <c r="L36" s="17">
        <f>IF(AND(6&gt;=E36,OR(F36="",6&lt;=F36)),(D36*(1+assumptions!$G$76)^0/12*(1+assumptions!$G$70+assumptions!$G$71+IF(6&gt;=assumptions!$G$73,assumptions!$G$72,0))+assumptions!$G$74/12)+IF(6=E36,D36*assumptions!$G$75,0),0)</f>
        <v/>
      </c>
      <c r="M36" s="17">
        <f>IF(AND(7&gt;=E36,OR(F36="",7&lt;=F36)),(D36*(1+assumptions!$G$76)^0/12*(1+assumptions!$G$70+assumptions!$G$71+IF(7&gt;=assumptions!$G$73,assumptions!$G$72,0))+assumptions!$G$74/12)+IF(7=E36,D36*assumptions!$G$75,0),0)</f>
        <v/>
      </c>
      <c r="N36" s="17">
        <f>IF(AND(8&gt;=E36,OR(F36="",8&lt;=F36)),(D36*(1+assumptions!$G$76)^0/12*(1+assumptions!$G$70+assumptions!$G$71+IF(8&gt;=assumptions!$G$73,assumptions!$G$72,0))+assumptions!$G$74/12)+IF(8=E36,D36*assumptions!$G$75,0),0)</f>
        <v/>
      </c>
      <c r="O36" s="17">
        <f>IF(AND(9&gt;=E36,OR(F36="",9&lt;=F36)),(D36*(1+assumptions!$G$76)^0/12*(1+assumptions!$G$70+assumptions!$G$71+IF(9&gt;=assumptions!$G$73,assumptions!$G$72,0))+assumptions!$G$74/12)+IF(9=E36,D36*assumptions!$G$75,0),0)</f>
        <v/>
      </c>
      <c r="P36" s="17">
        <f>IF(AND(10&gt;=E36,OR(F36="",10&lt;=F36)),(D36*(1+assumptions!$G$76)^0/12*(1+assumptions!$G$70+assumptions!$G$71+IF(10&gt;=assumptions!$G$73,assumptions!$G$72,0))+assumptions!$G$74/12)+IF(10=E36,D36*assumptions!$G$75,0),0)</f>
        <v/>
      </c>
      <c r="Q36" s="17">
        <f>IF(AND(11&gt;=E36,OR(F36="",11&lt;=F36)),(D36*(1+assumptions!$G$76)^0/12*(1+assumptions!$G$70+assumptions!$G$71+IF(11&gt;=assumptions!$G$73,assumptions!$G$72,0))+assumptions!$G$74/12)+IF(11=E36,D36*assumptions!$G$75,0),0)</f>
        <v/>
      </c>
      <c r="R36" s="17">
        <f>IF(AND(12&gt;=E36,OR(F36="",12&lt;=F36)),(D36*(1+assumptions!$G$76)^0/12*(1+assumptions!$G$70+assumptions!$G$71+IF(12&gt;=assumptions!$G$73,assumptions!$G$72,0))+assumptions!$G$74/12)+IF(12=E36,D36*assumptions!$G$75,0),0)</f>
        <v/>
      </c>
      <c r="S36" s="17">
        <f>IF(AND(13&gt;=E36,OR(F36="",13&lt;=F36)),(D36*(1+assumptions!$G$76)^1/12*(1+assumptions!$G$70+assumptions!$G$71+IF(13&gt;=assumptions!$G$73,assumptions!$G$72,0))+assumptions!$G$74/12)+IF(13=E36,D36*assumptions!$G$75,0),0)</f>
        <v/>
      </c>
      <c r="T36" s="17">
        <f>IF(AND(14&gt;=E36,OR(F36="",14&lt;=F36)),(D36*(1+assumptions!$G$76)^1/12*(1+assumptions!$G$70+assumptions!$G$71+IF(14&gt;=assumptions!$G$73,assumptions!$G$72,0))+assumptions!$G$74/12)+IF(14=E36,D36*assumptions!$G$75,0),0)</f>
        <v/>
      </c>
      <c r="U36" s="17">
        <f>IF(AND(15&gt;=E36,OR(F36="",15&lt;=F36)),(D36*(1+assumptions!$G$76)^1/12*(1+assumptions!$G$70+assumptions!$G$71+IF(15&gt;=assumptions!$G$73,assumptions!$G$72,0))+assumptions!$G$74/12)+IF(15=E36,D36*assumptions!$G$75,0),0)</f>
        <v/>
      </c>
      <c r="V36" s="17">
        <f>IF(AND(16&gt;=E36,OR(F36="",16&lt;=F36)),(D36*(1+assumptions!$G$76)^1/12*(1+assumptions!$G$70+assumptions!$G$71+IF(16&gt;=assumptions!$G$73,assumptions!$G$72,0))+assumptions!$G$74/12)+IF(16=E36,D36*assumptions!$G$75,0),0)</f>
        <v/>
      </c>
      <c r="W36" s="17">
        <f>IF(AND(17&gt;=E36,OR(F36="",17&lt;=F36)),(D36*(1+assumptions!$G$76)^1/12*(1+assumptions!$G$70+assumptions!$G$71+IF(17&gt;=assumptions!$G$73,assumptions!$G$72,0))+assumptions!$G$74/12)+IF(17=E36,D36*assumptions!$G$75,0),0)</f>
        <v/>
      </c>
      <c r="X36" s="17">
        <f>IF(AND(18&gt;=E36,OR(F36="",18&lt;=F36)),(D36*(1+assumptions!$G$76)^1/12*(1+assumptions!$G$70+assumptions!$G$71+IF(18&gt;=assumptions!$G$73,assumptions!$G$72,0))+assumptions!$G$74/12)+IF(18=E36,D36*assumptions!$G$75,0),0)</f>
        <v/>
      </c>
      <c r="Y36" s="17">
        <f>IF(AND(19&gt;=E36,OR(F36="",19&lt;=F36)),(D36*(1+assumptions!$G$76)^1/12*(1+assumptions!$G$70+assumptions!$G$71+IF(19&gt;=assumptions!$G$73,assumptions!$G$72,0))+assumptions!$G$74/12)+IF(19=E36,D36*assumptions!$G$75,0),0)</f>
        <v/>
      </c>
      <c r="Z36" s="17">
        <f>IF(AND(20&gt;=E36,OR(F36="",20&lt;=F36)),(D36*(1+assumptions!$G$76)^1/12*(1+assumptions!$G$70+assumptions!$G$71+IF(20&gt;=assumptions!$G$73,assumptions!$G$72,0))+assumptions!$G$74/12)+IF(20=E36,D36*assumptions!$G$75,0),0)</f>
        <v/>
      </c>
      <c r="AA36" s="17">
        <f>IF(AND(21&gt;=E36,OR(F36="",21&lt;=F36)),(D36*(1+assumptions!$G$76)^1/12*(1+assumptions!$G$70+assumptions!$G$71+IF(21&gt;=assumptions!$G$73,assumptions!$G$72,0))+assumptions!$G$74/12)+IF(21=E36,D36*assumptions!$G$75,0),0)</f>
        <v/>
      </c>
      <c r="AB36" s="17">
        <f>IF(AND(22&gt;=E36,OR(F36="",22&lt;=F36)),(D36*(1+assumptions!$G$76)^1/12*(1+assumptions!$G$70+assumptions!$G$71+IF(22&gt;=assumptions!$G$73,assumptions!$G$72,0))+assumptions!$G$74/12)+IF(22=E36,D36*assumptions!$G$75,0),0)</f>
        <v/>
      </c>
      <c r="AC36" s="17">
        <f>IF(AND(23&gt;=E36,OR(F36="",23&lt;=F36)),(D36*(1+assumptions!$G$76)^1/12*(1+assumptions!$G$70+assumptions!$G$71+IF(23&gt;=assumptions!$G$73,assumptions!$G$72,0))+assumptions!$G$74/12)+IF(23=E36,D36*assumptions!$G$75,0),0)</f>
        <v/>
      </c>
      <c r="AD36" s="17">
        <f>IF(AND(24&gt;=E36,OR(F36="",24&lt;=F36)),(D36*(1+assumptions!$G$76)^1/12*(1+assumptions!$G$70+assumptions!$G$71+IF(24&gt;=assumptions!$G$73,assumptions!$G$72,0))+assumptions!$G$74/12)+IF(24=E36,D36*assumptions!$G$75,0),0)</f>
        <v/>
      </c>
      <c r="AE36" s="17">
        <f>IF(AND(25&gt;=E36,OR(F36="",25&lt;=F36)),(D36*(1+assumptions!$G$76)^2/12*(1+assumptions!$G$70+assumptions!$G$71+IF(25&gt;=assumptions!$G$73,assumptions!$G$72,0))+assumptions!$G$74/12)+IF(25=E36,D36*assumptions!$G$75,0),0)</f>
        <v/>
      </c>
      <c r="AF36" s="17">
        <f>IF(AND(26&gt;=E36,OR(F36="",26&lt;=F36)),(D36*(1+assumptions!$G$76)^2/12*(1+assumptions!$G$70+assumptions!$G$71+IF(26&gt;=assumptions!$G$73,assumptions!$G$72,0))+assumptions!$G$74/12)+IF(26=E36,D36*assumptions!$G$75,0),0)</f>
        <v/>
      </c>
      <c r="AG36" s="17">
        <f>IF(AND(27&gt;=E36,OR(F36="",27&lt;=F36)),(D36*(1+assumptions!$G$76)^2/12*(1+assumptions!$G$70+assumptions!$G$71+IF(27&gt;=assumptions!$G$73,assumptions!$G$72,0))+assumptions!$G$74/12)+IF(27=E36,D36*assumptions!$G$75,0),0)</f>
        <v/>
      </c>
      <c r="AH36" s="17">
        <f>IF(AND(28&gt;=E36,OR(F36="",28&lt;=F36)),(D36*(1+assumptions!$G$76)^2/12*(1+assumptions!$G$70+assumptions!$G$71+IF(28&gt;=assumptions!$G$73,assumptions!$G$72,0))+assumptions!$G$74/12)+IF(28=E36,D36*assumptions!$G$75,0),0)</f>
        <v/>
      </c>
      <c r="AI36" s="17">
        <f>IF(AND(29&gt;=E36,OR(F36="",29&lt;=F36)),(D36*(1+assumptions!$G$76)^2/12*(1+assumptions!$G$70+assumptions!$G$71+IF(29&gt;=assumptions!$G$73,assumptions!$G$72,0))+assumptions!$G$74/12)+IF(29=E36,D36*assumptions!$G$75,0),0)</f>
        <v/>
      </c>
      <c r="AJ36" s="17">
        <f>IF(AND(30&gt;=E36,OR(F36="",30&lt;=F36)),(D36*(1+assumptions!$G$76)^2/12*(1+assumptions!$G$70+assumptions!$G$71+IF(30&gt;=assumptions!$G$73,assumptions!$G$72,0))+assumptions!$G$74/12)+IF(30=E36,D36*assumptions!$G$75,0),0)</f>
        <v/>
      </c>
      <c r="AK36" s="17">
        <f>IF(AND(31&gt;=E36,OR(F36="",31&lt;=F36)),(D36*(1+assumptions!$G$76)^2/12*(1+assumptions!$G$70+assumptions!$G$71+IF(31&gt;=assumptions!$G$73,assumptions!$G$72,0))+assumptions!$G$74/12)+IF(31=E36,D36*assumptions!$G$75,0),0)</f>
        <v/>
      </c>
      <c r="AL36" s="17">
        <f>IF(AND(32&gt;=E36,OR(F36="",32&lt;=F36)),(D36*(1+assumptions!$G$76)^2/12*(1+assumptions!$G$70+assumptions!$G$71+IF(32&gt;=assumptions!$G$73,assumptions!$G$72,0))+assumptions!$G$74/12)+IF(32=E36,D36*assumptions!$G$75,0),0)</f>
        <v/>
      </c>
      <c r="AM36" s="17">
        <f>IF(AND(33&gt;=E36,OR(F36="",33&lt;=F36)),(D36*(1+assumptions!$G$76)^2/12*(1+assumptions!$G$70+assumptions!$G$71+IF(33&gt;=assumptions!$G$73,assumptions!$G$72,0))+assumptions!$G$74/12)+IF(33=E36,D36*assumptions!$G$75,0),0)</f>
        <v/>
      </c>
      <c r="AN36" s="17">
        <f>IF(AND(34&gt;=E36,OR(F36="",34&lt;=F36)),(D36*(1+assumptions!$G$76)^2/12*(1+assumptions!$G$70+assumptions!$G$71+IF(34&gt;=assumptions!$G$73,assumptions!$G$72,0))+assumptions!$G$74/12)+IF(34=E36,D36*assumptions!$G$75,0),0)</f>
        <v/>
      </c>
      <c r="AO36" s="17">
        <f>IF(AND(35&gt;=E36,OR(F36="",35&lt;=F36)),(D36*(1+assumptions!$G$76)^2/12*(1+assumptions!$G$70+assumptions!$G$71+IF(35&gt;=assumptions!$G$73,assumptions!$G$72,0))+assumptions!$G$74/12)+IF(35=E36,D36*assumptions!$G$75,0),0)</f>
        <v/>
      </c>
      <c r="AP36" s="17">
        <f>IF(AND(36&gt;=E36,OR(F36="",36&lt;=F36)),(D36*(1+assumptions!$G$76)^2/12*(1+assumptions!$G$70+assumptions!$G$71+IF(36&gt;=assumptions!$G$73,assumptions!$G$72,0))+assumptions!$G$74/12)+IF(36=E36,D36*assumptions!$G$75,0),0)</f>
        <v/>
      </c>
      <c r="AQ36" s="17">
        <f>IF(AND(37&gt;=E36,OR(F36="",37&lt;=F36)),(D36*(1+assumptions!$G$76)^3/12*(1+assumptions!$G$70+assumptions!$G$71+IF(37&gt;=assumptions!$G$73,assumptions!$G$72,0))+assumptions!$G$74/12)+IF(37=E36,D36*assumptions!$G$75,0),0)</f>
        <v/>
      </c>
      <c r="AR36" s="17">
        <f>IF(AND(38&gt;=E36,OR(F36="",38&lt;=F36)),(D36*(1+assumptions!$G$76)^3/12*(1+assumptions!$G$70+assumptions!$G$71+IF(38&gt;=assumptions!$G$73,assumptions!$G$72,0))+assumptions!$G$74/12)+IF(38=E36,D36*assumptions!$G$75,0),0)</f>
        <v/>
      </c>
      <c r="AS36" s="17">
        <f>IF(AND(39&gt;=E36,OR(F36="",39&lt;=F36)),(D36*(1+assumptions!$G$76)^3/12*(1+assumptions!$G$70+assumptions!$G$71+IF(39&gt;=assumptions!$G$73,assumptions!$G$72,0))+assumptions!$G$74/12)+IF(39=E36,D36*assumptions!$G$75,0),0)</f>
        <v/>
      </c>
      <c r="AT36" s="17">
        <f>IF(AND(40&gt;=E36,OR(F36="",40&lt;=F36)),(D36*(1+assumptions!$G$76)^3/12*(1+assumptions!$G$70+assumptions!$G$71+IF(40&gt;=assumptions!$G$73,assumptions!$G$72,0))+assumptions!$G$74/12)+IF(40=E36,D36*assumptions!$G$75,0),0)</f>
        <v/>
      </c>
      <c r="AU36" s="17">
        <f>IF(AND(41&gt;=E36,OR(F36="",41&lt;=F36)),(D36*(1+assumptions!$G$76)^3/12*(1+assumptions!$G$70+assumptions!$G$71+IF(41&gt;=assumptions!$G$73,assumptions!$G$72,0))+assumptions!$G$74/12)+IF(41=E36,D36*assumptions!$G$75,0),0)</f>
        <v/>
      </c>
      <c r="AV36" s="17">
        <f>IF(AND(42&gt;=E36,OR(F36="",42&lt;=F36)),(D36*(1+assumptions!$G$76)^3/12*(1+assumptions!$G$70+assumptions!$G$71+IF(42&gt;=assumptions!$G$73,assumptions!$G$72,0))+assumptions!$G$74/12)+IF(42=E36,D36*assumptions!$G$75,0),0)</f>
        <v/>
      </c>
      <c r="AW36" s="17">
        <f>IF(AND(43&gt;=E36,OR(F36="",43&lt;=F36)),(D36*(1+assumptions!$G$76)^3/12*(1+assumptions!$G$70+assumptions!$G$71+IF(43&gt;=assumptions!$G$73,assumptions!$G$72,0))+assumptions!$G$74/12)+IF(43=E36,D36*assumptions!$G$75,0),0)</f>
        <v/>
      </c>
      <c r="AX36" s="17">
        <f>IF(AND(44&gt;=E36,OR(F36="",44&lt;=F36)),(D36*(1+assumptions!$G$76)^3/12*(1+assumptions!$G$70+assumptions!$G$71+IF(44&gt;=assumptions!$G$73,assumptions!$G$72,0))+assumptions!$G$74/12)+IF(44=E36,D36*assumptions!$G$75,0),0)</f>
        <v/>
      </c>
      <c r="AY36" s="17">
        <f>IF(AND(45&gt;=E36,OR(F36="",45&lt;=F36)),(D36*(1+assumptions!$G$76)^3/12*(1+assumptions!$G$70+assumptions!$G$71+IF(45&gt;=assumptions!$G$73,assumptions!$G$72,0))+assumptions!$G$74/12)+IF(45=E36,D36*assumptions!$G$75,0),0)</f>
        <v/>
      </c>
      <c r="AZ36" s="17">
        <f>IF(AND(46&gt;=E36,OR(F36="",46&lt;=F36)),(D36*(1+assumptions!$G$76)^3/12*(1+assumptions!$G$70+assumptions!$G$71+IF(46&gt;=assumptions!$G$73,assumptions!$G$72,0))+assumptions!$G$74/12)+IF(46=E36,D36*assumptions!$G$75,0),0)</f>
        <v/>
      </c>
      <c r="BA36" s="17">
        <f>IF(AND(47&gt;=E36,OR(F36="",47&lt;=F36)),(D36*(1+assumptions!$G$76)^3/12*(1+assumptions!$G$70+assumptions!$G$71+IF(47&gt;=assumptions!$G$73,assumptions!$G$72,0))+assumptions!$G$74/12)+IF(47=E36,D36*assumptions!$G$75,0),0)</f>
        <v/>
      </c>
      <c r="BB36" s="17">
        <f>IF(AND(48&gt;=E36,OR(F36="",48&lt;=F36)),(D36*(1+assumptions!$G$76)^3/12*(1+assumptions!$G$70+assumptions!$G$71+IF(48&gt;=assumptions!$G$73,assumptions!$G$72,0))+assumptions!$G$74/12)+IF(48=E36,D36*assumptions!$G$75,0),0)</f>
        <v/>
      </c>
      <c r="BC36" s="17">
        <f>IF(AND(49&gt;=E36,OR(F36="",49&lt;=F36)),(D36*(1+assumptions!$G$76)^4/12*(1+assumptions!$G$70+assumptions!$G$71+IF(49&gt;=assumptions!$G$73,assumptions!$G$72,0))+assumptions!$G$74/12)+IF(49=E36,D36*assumptions!$G$75,0),0)</f>
        <v/>
      </c>
      <c r="BD36" s="17">
        <f>IF(AND(50&gt;=E36,OR(F36="",50&lt;=F36)),(D36*(1+assumptions!$G$76)^4/12*(1+assumptions!$G$70+assumptions!$G$71+IF(50&gt;=assumptions!$G$73,assumptions!$G$72,0))+assumptions!$G$74/12)+IF(50=E36,D36*assumptions!$G$75,0),0)</f>
        <v/>
      </c>
      <c r="BE36" s="17">
        <f>IF(AND(51&gt;=E36,OR(F36="",51&lt;=F36)),(D36*(1+assumptions!$G$76)^4/12*(1+assumptions!$G$70+assumptions!$G$71+IF(51&gt;=assumptions!$G$73,assumptions!$G$72,0))+assumptions!$G$74/12)+IF(51=E36,D36*assumptions!$G$75,0),0)</f>
        <v/>
      </c>
      <c r="BF36" s="17">
        <f>IF(AND(52&gt;=E36,OR(F36="",52&lt;=F36)),(D36*(1+assumptions!$G$76)^4/12*(1+assumptions!$G$70+assumptions!$G$71+IF(52&gt;=assumptions!$G$73,assumptions!$G$72,0))+assumptions!$G$74/12)+IF(52=E36,D36*assumptions!$G$75,0),0)</f>
        <v/>
      </c>
      <c r="BG36" s="17">
        <f>IF(AND(53&gt;=E36,OR(F36="",53&lt;=F36)),(D36*(1+assumptions!$G$76)^4/12*(1+assumptions!$G$70+assumptions!$G$71+IF(53&gt;=assumptions!$G$73,assumptions!$G$72,0))+assumptions!$G$74/12)+IF(53=E36,D36*assumptions!$G$75,0),0)</f>
        <v/>
      </c>
      <c r="BH36" s="17">
        <f>IF(AND(54&gt;=E36,OR(F36="",54&lt;=F36)),(D36*(1+assumptions!$G$76)^4/12*(1+assumptions!$G$70+assumptions!$G$71+IF(54&gt;=assumptions!$G$73,assumptions!$G$72,0))+assumptions!$G$74/12)+IF(54=E36,D36*assumptions!$G$75,0),0)</f>
        <v/>
      </c>
      <c r="BI36" s="17">
        <f>IF(AND(55&gt;=E36,OR(F36="",55&lt;=F36)),(D36*(1+assumptions!$G$76)^4/12*(1+assumptions!$G$70+assumptions!$G$71+IF(55&gt;=assumptions!$G$73,assumptions!$G$72,0))+assumptions!$G$74/12)+IF(55=E36,D36*assumptions!$G$75,0),0)</f>
        <v/>
      </c>
      <c r="BJ36" s="17">
        <f>IF(AND(56&gt;=E36,OR(F36="",56&lt;=F36)),(D36*(1+assumptions!$G$76)^4/12*(1+assumptions!$G$70+assumptions!$G$71+IF(56&gt;=assumptions!$G$73,assumptions!$G$72,0))+assumptions!$G$74/12)+IF(56=E36,D36*assumptions!$G$75,0),0)</f>
        <v/>
      </c>
      <c r="BK36" s="17">
        <f>IF(AND(57&gt;=E36,OR(F36="",57&lt;=F36)),(D36*(1+assumptions!$G$76)^4/12*(1+assumptions!$G$70+assumptions!$G$71+IF(57&gt;=assumptions!$G$73,assumptions!$G$72,0))+assumptions!$G$74/12)+IF(57=E36,D36*assumptions!$G$75,0),0)</f>
        <v/>
      </c>
      <c r="BL36" s="17">
        <f>IF(AND(58&gt;=E36,OR(F36="",58&lt;=F36)),(D36*(1+assumptions!$G$76)^4/12*(1+assumptions!$G$70+assumptions!$G$71+IF(58&gt;=assumptions!$G$73,assumptions!$G$72,0))+assumptions!$G$74/12)+IF(58=E36,D36*assumptions!$G$75,0),0)</f>
        <v/>
      </c>
      <c r="BM36" s="17">
        <f>IF(AND(59&gt;=E36,OR(F36="",59&lt;=F36)),(D36*(1+assumptions!$G$76)^4/12*(1+assumptions!$G$70+assumptions!$G$71+IF(59&gt;=assumptions!$G$73,assumptions!$G$72,0))+assumptions!$G$74/12)+IF(59=E36,D36*assumptions!$G$75,0),0)</f>
        <v/>
      </c>
      <c r="BN36" s="17">
        <f>IF(AND(60&gt;=E36,OR(F36="",60&lt;=F36)),(D36*(1+assumptions!$G$76)^4/12*(1+assumptions!$G$70+assumptions!$G$71+IF(60&gt;=assumptions!$G$73,assumptions!$G$72,0))+assumptions!$G$74/12)+IF(60=E36,D36*assumptions!$G$75,0),0)</f>
        <v/>
      </c>
    </row>
    <row r="37">
      <c r="A37" s="5" t="n">
        <v>34</v>
      </c>
      <c r="B37" s="5" t="inlineStr">
        <is>
          <t>Senior engineer #5</t>
        </is>
      </c>
      <c r="C37" s="5" t="inlineStr">
        <is>
          <t>eng</t>
        </is>
      </c>
      <c r="D37" s="15" t="n">
        <v>95000</v>
      </c>
      <c r="E37" s="32" t="n">
        <v>50</v>
      </c>
      <c r="F37" s="32" t="n"/>
      <c r="G37" s="17">
        <f>IF(AND(1&gt;=E37,OR(F37="",1&lt;=F37)),(D37*(1+assumptions!$G$76)^0/12*(1+assumptions!$G$70+assumptions!$G$71+IF(1&gt;=assumptions!$G$73,assumptions!$G$72,0))+assumptions!$G$74/12)+IF(1=E37,D37*assumptions!$G$75,0),0)</f>
        <v/>
      </c>
      <c r="H37" s="17">
        <f>IF(AND(2&gt;=E37,OR(F37="",2&lt;=F37)),(D37*(1+assumptions!$G$76)^0/12*(1+assumptions!$G$70+assumptions!$G$71+IF(2&gt;=assumptions!$G$73,assumptions!$G$72,0))+assumptions!$G$74/12)+IF(2=E37,D37*assumptions!$G$75,0),0)</f>
        <v/>
      </c>
      <c r="I37" s="17">
        <f>IF(AND(3&gt;=E37,OR(F37="",3&lt;=F37)),(D37*(1+assumptions!$G$76)^0/12*(1+assumptions!$G$70+assumptions!$G$71+IF(3&gt;=assumptions!$G$73,assumptions!$G$72,0))+assumptions!$G$74/12)+IF(3=E37,D37*assumptions!$G$75,0),0)</f>
        <v/>
      </c>
      <c r="J37" s="17">
        <f>IF(AND(4&gt;=E37,OR(F37="",4&lt;=F37)),(D37*(1+assumptions!$G$76)^0/12*(1+assumptions!$G$70+assumptions!$G$71+IF(4&gt;=assumptions!$G$73,assumptions!$G$72,0))+assumptions!$G$74/12)+IF(4=E37,D37*assumptions!$G$75,0),0)</f>
        <v/>
      </c>
      <c r="K37" s="17">
        <f>IF(AND(5&gt;=E37,OR(F37="",5&lt;=F37)),(D37*(1+assumptions!$G$76)^0/12*(1+assumptions!$G$70+assumptions!$G$71+IF(5&gt;=assumptions!$G$73,assumptions!$G$72,0))+assumptions!$G$74/12)+IF(5=E37,D37*assumptions!$G$75,0),0)</f>
        <v/>
      </c>
      <c r="L37" s="17">
        <f>IF(AND(6&gt;=E37,OR(F37="",6&lt;=F37)),(D37*(1+assumptions!$G$76)^0/12*(1+assumptions!$G$70+assumptions!$G$71+IF(6&gt;=assumptions!$G$73,assumptions!$G$72,0))+assumptions!$G$74/12)+IF(6=E37,D37*assumptions!$G$75,0),0)</f>
        <v/>
      </c>
      <c r="M37" s="17">
        <f>IF(AND(7&gt;=E37,OR(F37="",7&lt;=F37)),(D37*(1+assumptions!$G$76)^0/12*(1+assumptions!$G$70+assumptions!$G$71+IF(7&gt;=assumptions!$G$73,assumptions!$G$72,0))+assumptions!$G$74/12)+IF(7=E37,D37*assumptions!$G$75,0),0)</f>
        <v/>
      </c>
      <c r="N37" s="17">
        <f>IF(AND(8&gt;=E37,OR(F37="",8&lt;=F37)),(D37*(1+assumptions!$G$76)^0/12*(1+assumptions!$G$70+assumptions!$G$71+IF(8&gt;=assumptions!$G$73,assumptions!$G$72,0))+assumptions!$G$74/12)+IF(8=E37,D37*assumptions!$G$75,0),0)</f>
        <v/>
      </c>
      <c r="O37" s="17">
        <f>IF(AND(9&gt;=E37,OR(F37="",9&lt;=F37)),(D37*(1+assumptions!$G$76)^0/12*(1+assumptions!$G$70+assumptions!$G$71+IF(9&gt;=assumptions!$G$73,assumptions!$G$72,0))+assumptions!$G$74/12)+IF(9=E37,D37*assumptions!$G$75,0),0)</f>
        <v/>
      </c>
      <c r="P37" s="17">
        <f>IF(AND(10&gt;=E37,OR(F37="",10&lt;=F37)),(D37*(1+assumptions!$G$76)^0/12*(1+assumptions!$G$70+assumptions!$G$71+IF(10&gt;=assumptions!$G$73,assumptions!$G$72,0))+assumptions!$G$74/12)+IF(10=E37,D37*assumptions!$G$75,0),0)</f>
        <v/>
      </c>
      <c r="Q37" s="17">
        <f>IF(AND(11&gt;=E37,OR(F37="",11&lt;=F37)),(D37*(1+assumptions!$G$76)^0/12*(1+assumptions!$G$70+assumptions!$G$71+IF(11&gt;=assumptions!$G$73,assumptions!$G$72,0))+assumptions!$G$74/12)+IF(11=E37,D37*assumptions!$G$75,0),0)</f>
        <v/>
      </c>
      <c r="R37" s="17">
        <f>IF(AND(12&gt;=E37,OR(F37="",12&lt;=F37)),(D37*(1+assumptions!$G$76)^0/12*(1+assumptions!$G$70+assumptions!$G$71+IF(12&gt;=assumptions!$G$73,assumptions!$G$72,0))+assumptions!$G$74/12)+IF(12=E37,D37*assumptions!$G$75,0),0)</f>
        <v/>
      </c>
      <c r="S37" s="17">
        <f>IF(AND(13&gt;=E37,OR(F37="",13&lt;=F37)),(D37*(1+assumptions!$G$76)^1/12*(1+assumptions!$G$70+assumptions!$G$71+IF(13&gt;=assumptions!$G$73,assumptions!$G$72,0))+assumptions!$G$74/12)+IF(13=E37,D37*assumptions!$G$75,0),0)</f>
        <v/>
      </c>
      <c r="T37" s="17">
        <f>IF(AND(14&gt;=E37,OR(F37="",14&lt;=F37)),(D37*(1+assumptions!$G$76)^1/12*(1+assumptions!$G$70+assumptions!$G$71+IF(14&gt;=assumptions!$G$73,assumptions!$G$72,0))+assumptions!$G$74/12)+IF(14=E37,D37*assumptions!$G$75,0),0)</f>
        <v/>
      </c>
      <c r="U37" s="17">
        <f>IF(AND(15&gt;=E37,OR(F37="",15&lt;=F37)),(D37*(1+assumptions!$G$76)^1/12*(1+assumptions!$G$70+assumptions!$G$71+IF(15&gt;=assumptions!$G$73,assumptions!$G$72,0))+assumptions!$G$74/12)+IF(15=E37,D37*assumptions!$G$75,0),0)</f>
        <v/>
      </c>
      <c r="V37" s="17">
        <f>IF(AND(16&gt;=E37,OR(F37="",16&lt;=F37)),(D37*(1+assumptions!$G$76)^1/12*(1+assumptions!$G$70+assumptions!$G$71+IF(16&gt;=assumptions!$G$73,assumptions!$G$72,0))+assumptions!$G$74/12)+IF(16=E37,D37*assumptions!$G$75,0),0)</f>
        <v/>
      </c>
      <c r="W37" s="17">
        <f>IF(AND(17&gt;=E37,OR(F37="",17&lt;=F37)),(D37*(1+assumptions!$G$76)^1/12*(1+assumptions!$G$70+assumptions!$G$71+IF(17&gt;=assumptions!$G$73,assumptions!$G$72,0))+assumptions!$G$74/12)+IF(17=E37,D37*assumptions!$G$75,0),0)</f>
        <v/>
      </c>
      <c r="X37" s="17">
        <f>IF(AND(18&gt;=E37,OR(F37="",18&lt;=F37)),(D37*(1+assumptions!$G$76)^1/12*(1+assumptions!$G$70+assumptions!$G$71+IF(18&gt;=assumptions!$G$73,assumptions!$G$72,0))+assumptions!$G$74/12)+IF(18=E37,D37*assumptions!$G$75,0),0)</f>
        <v/>
      </c>
      <c r="Y37" s="17">
        <f>IF(AND(19&gt;=E37,OR(F37="",19&lt;=F37)),(D37*(1+assumptions!$G$76)^1/12*(1+assumptions!$G$70+assumptions!$G$71+IF(19&gt;=assumptions!$G$73,assumptions!$G$72,0))+assumptions!$G$74/12)+IF(19=E37,D37*assumptions!$G$75,0),0)</f>
        <v/>
      </c>
      <c r="Z37" s="17">
        <f>IF(AND(20&gt;=E37,OR(F37="",20&lt;=F37)),(D37*(1+assumptions!$G$76)^1/12*(1+assumptions!$G$70+assumptions!$G$71+IF(20&gt;=assumptions!$G$73,assumptions!$G$72,0))+assumptions!$G$74/12)+IF(20=E37,D37*assumptions!$G$75,0),0)</f>
        <v/>
      </c>
      <c r="AA37" s="17">
        <f>IF(AND(21&gt;=E37,OR(F37="",21&lt;=F37)),(D37*(1+assumptions!$G$76)^1/12*(1+assumptions!$G$70+assumptions!$G$71+IF(21&gt;=assumptions!$G$73,assumptions!$G$72,0))+assumptions!$G$74/12)+IF(21=E37,D37*assumptions!$G$75,0),0)</f>
        <v/>
      </c>
      <c r="AB37" s="17">
        <f>IF(AND(22&gt;=E37,OR(F37="",22&lt;=F37)),(D37*(1+assumptions!$G$76)^1/12*(1+assumptions!$G$70+assumptions!$G$71+IF(22&gt;=assumptions!$G$73,assumptions!$G$72,0))+assumptions!$G$74/12)+IF(22=E37,D37*assumptions!$G$75,0),0)</f>
        <v/>
      </c>
      <c r="AC37" s="17">
        <f>IF(AND(23&gt;=E37,OR(F37="",23&lt;=F37)),(D37*(1+assumptions!$G$76)^1/12*(1+assumptions!$G$70+assumptions!$G$71+IF(23&gt;=assumptions!$G$73,assumptions!$G$72,0))+assumptions!$G$74/12)+IF(23=E37,D37*assumptions!$G$75,0),0)</f>
        <v/>
      </c>
      <c r="AD37" s="17">
        <f>IF(AND(24&gt;=E37,OR(F37="",24&lt;=F37)),(D37*(1+assumptions!$G$76)^1/12*(1+assumptions!$G$70+assumptions!$G$71+IF(24&gt;=assumptions!$G$73,assumptions!$G$72,0))+assumptions!$G$74/12)+IF(24=E37,D37*assumptions!$G$75,0),0)</f>
        <v/>
      </c>
      <c r="AE37" s="17">
        <f>IF(AND(25&gt;=E37,OR(F37="",25&lt;=F37)),(D37*(1+assumptions!$G$76)^2/12*(1+assumptions!$G$70+assumptions!$G$71+IF(25&gt;=assumptions!$G$73,assumptions!$G$72,0))+assumptions!$G$74/12)+IF(25=E37,D37*assumptions!$G$75,0),0)</f>
        <v/>
      </c>
      <c r="AF37" s="17">
        <f>IF(AND(26&gt;=E37,OR(F37="",26&lt;=F37)),(D37*(1+assumptions!$G$76)^2/12*(1+assumptions!$G$70+assumptions!$G$71+IF(26&gt;=assumptions!$G$73,assumptions!$G$72,0))+assumptions!$G$74/12)+IF(26=E37,D37*assumptions!$G$75,0),0)</f>
        <v/>
      </c>
      <c r="AG37" s="17">
        <f>IF(AND(27&gt;=E37,OR(F37="",27&lt;=F37)),(D37*(1+assumptions!$G$76)^2/12*(1+assumptions!$G$70+assumptions!$G$71+IF(27&gt;=assumptions!$G$73,assumptions!$G$72,0))+assumptions!$G$74/12)+IF(27=E37,D37*assumptions!$G$75,0),0)</f>
        <v/>
      </c>
      <c r="AH37" s="17">
        <f>IF(AND(28&gt;=E37,OR(F37="",28&lt;=F37)),(D37*(1+assumptions!$G$76)^2/12*(1+assumptions!$G$70+assumptions!$G$71+IF(28&gt;=assumptions!$G$73,assumptions!$G$72,0))+assumptions!$G$74/12)+IF(28=E37,D37*assumptions!$G$75,0),0)</f>
        <v/>
      </c>
      <c r="AI37" s="17">
        <f>IF(AND(29&gt;=E37,OR(F37="",29&lt;=F37)),(D37*(1+assumptions!$G$76)^2/12*(1+assumptions!$G$70+assumptions!$G$71+IF(29&gt;=assumptions!$G$73,assumptions!$G$72,0))+assumptions!$G$74/12)+IF(29=E37,D37*assumptions!$G$75,0),0)</f>
        <v/>
      </c>
      <c r="AJ37" s="17">
        <f>IF(AND(30&gt;=E37,OR(F37="",30&lt;=F37)),(D37*(1+assumptions!$G$76)^2/12*(1+assumptions!$G$70+assumptions!$G$71+IF(30&gt;=assumptions!$G$73,assumptions!$G$72,0))+assumptions!$G$74/12)+IF(30=E37,D37*assumptions!$G$75,0),0)</f>
        <v/>
      </c>
      <c r="AK37" s="17">
        <f>IF(AND(31&gt;=E37,OR(F37="",31&lt;=F37)),(D37*(1+assumptions!$G$76)^2/12*(1+assumptions!$G$70+assumptions!$G$71+IF(31&gt;=assumptions!$G$73,assumptions!$G$72,0))+assumptions!$G$74/12)+IF(31=E37,D37*assumptions!$G$75,0),0)</f>
        <v/>
      </c>
      <c r="AL37" s="17">
        <f>IF(AND(32&gt;=E37,OR(F37="",32&lt;=F37)),(D37*(1+assumptions!$G$76)^2/12*(1+assumptions!$G$70+assumptions!$G$71+IF(32&gt;=assumptions!$G$73,assumptions!$G$72,0))+assumptions!$G$74/12)+IF(32=E37,D37*assumptions!$G$75,0),0)</f>
        <v/>
      </c>
      <c r="AM37" s="17">
        <f>IF(AND(33&gt;=E37,OR(F37="",33&lt;=F37)),(D37*(1+assumptions!$G$76)^2/12*(1+assumptions!$G$70+assumptions!$G$71+IF(33&gt;=assumptions!$G$73,assumptions!$G$72,0))+assumptions!$G$74/12)+IF(33=E37,D37*assumptions!$G$75,0),0)</f>
        <v/>
      </c>
      <c r="AN37" s="17">
        <f>IF(AND(34&gt;=E37,OR(F37="",34&lt;=F37)),(D37*(1+assumptions!$G$76)^2/12*(1+assumptions!$G$70+assumptions!$G$71+IF(34&gt;=assumptions!$G$73,assumptions!$G$72,0))+assumptions!$G$74/12)+IF(34=E37,D37*assumptions!$G$75,0),0)</f>
        <v/>
      </c>
      <c r="AO37" s="17">
        <f>IF(AND(35&gt;=E37,OR(F37="",35&lt;=F37)),(D37*(1+assumptions!$G$76)^2/12*(1+assumptions!$G$70+assumptions!$G$71+IF(35&gt;=assumptions!$G$73,assumptions!$G$72,0))+assumptions!$G$74/12)+IF(35=E37,D37*assumptions!$G$75,0),0)</f>
        <v/>
      </c>
      <c r="AP37" s="17">
        <f>IF(AND(36&gt;=E37,OR(F37="",36&lt;=F37)),(D37*(1+assumptions!$G$76)^2/12*(1+assumptions!$G$70+assumptions!$G$71+IF(36&gt;=assumptions!$G$73,assumptions!$G$72,0))+assumptions!$G$74/12)+IF(36=E37,D37*assumptions!$G$75,0),0)</f>
        <v/>
      </c>
      <c r="AQ37" s="17">
        <f>IF(AND(37&gt;=E37,OR(F37="",37&lt;=F37)),(D37*(1+assumptions!$G$76)^3/12*(1+assumptions!$G$70+assumptions!$G$71+IF(37&gt;=assumptions!$G$73,assumptions!$G$72,0))+assumptions!$G$74/12)+IF(37=E37,D37*assumptions!$G$75,0),0)</f>
        <v/>
      </c>
      <c r="AR37" s="17">
        <f>IF(AND(38&gt;=E37,OR(F37="",38&lt;=F37)),(D37*(1+assumptions!$G$76)^3/12*(1+assumptions!$G$70+assumptions!$G$71+IF(38&gt;=assumptions!$G$73,assumptions!$G$72,0))+assumptions!$G$74/12)+IF(38=E37,D37*assumptions!$G$75,0),0)</f>
        <v/>
      </c>
      <c r="AS37" s="17">
        <f>IF(AND(39&gt;=E37,OR(F37="",39&lt;=F37)),(D37*(1+assumptions!$G$76)^3/12*(1+assumptions!$G$70+assumptions!$G$71+IF(39&gt;=assumptions!$G$73,assumptions!$G$72,0))+assumptions!$G$74/12)+IF(39=E37,D37*assumptions!$G$75,0),0)</f>
        <v/>
      </c>
      <c r="AT37" s="17">
        <f>IF(AND(40&gt;=E37,OR(F37="",40&lt;=F37)),(D37*(1+assumptions!$G$76)^3/12*(1+assumptions!$G$70+assumptions!$G$71+IF(40&gt;=assumptions!$G$73,assumptions!$G$72,0))+assumptions!$G$74/12)+IF(40=E37,D37*assumptions!$G$75,0),0)</f>
        <v/>
      </c>
      <c r="AU37" s="17">
        <f>IF(AND(41&gt;=E37,OR(F37="",41&lt;=F37)),(D37*(1+assumptions!$G$76)^3/12*(1+assumptions!$G$70+assumptions!$G$71+IF(41&gt;=assumptions!$G$73,assumptions!$G$72,0))+assumptions!$G$74/12)+IF(41=E37,D37*assumptions!$G$75,0),0)</f>
        <v/>
      </c>
      <c r="AV37" s="17">
        <f>IF(AND(42&gt;=E37,OR(F37="",42&lt;=F37)),(D37*(1+assumptions!$G$76)^3/12*(1+assumptions!$G$70+assumptions!$G$71+IF(42&gt;=assumptions!$G$73,assumptions!$G$72,0))+assumptions!$G$74/12)+IF(42=E37,D37*assumptions!$G$75,0),0)</f>
        <v/>
      </c>
      <c r="AW37" s="17">
        <f>IF(AND(43&gt;=E37,OR(F37="",43&lt;=F37)),(D37*(1+assumptions!$G$76)^3/12*(1+assumptions!$G$70+assumptions!$G$71+IF(43&gt;=assumptions!$G$73,assumptions!$G$72,0))+assumptions!$G$74/12)+IF(43=E37,D37*assumptions!$G$75,0),0)</f>
        <v/>
      </c>
      <c r="AX37" s="17">
        <f>IF(AND(44&gt;=E37,OR(F37="",44&lt;=F37)),(D37*(1+assumptions!$G$76)^3/12*(1+assumptions!$G$70+assumptions!$G$71+IF(44&gt;=assumptions!$G$73,assumptions!$G$72,0))+assumptions!$G$74/12)+IF(44=E37,D37*assumptions!$G$75,0),0)</f>
        <v/>
      </c>
      <c r="AY37" s="17">
        <f>IF(AND(45&gt;=E37,OR(F37="",45&lt;=F37)),(D37*(1+assumptions!$G$76)^3/12*(1+assumptions!$G$70+assumptions!$G$71+IF(45&gt;=assumptions!$G$73,assumptions!$G$72,0))+assumptions!$G$74/12)+IF(45=E37,D37*assumptions!$G$75,0),0)</f>
        <v/>
      </c>
      <c r="AZ37" s="17">
        <f>IF(AND(46&gt;=E37,OR(F37="",46&lt;=F37)),(D37*(1+assumptions!$G$76)^3/12*(1+assumptions!$G$70+assumptions!$G$71+IF(46&gt;=assumptions!$G$73,assumptions!$G$72,0))+assumptions!$G$74/12)+IF(46=E37,D37*assumptions!$G$75,0),0)</f>
        <v/>
      </c>
      <c r="BA37" s="17">
        <f>IF(AND(47&gt;=E37,OR(F37="",47&lt;=F37)),(D37*(1+assumptions!$G$76)^3/12*(1+assumptions!$G$70+assumptions!$G$71+IF(47&gt;=assumptions!$G$73,assumptions!$G$72,0))+assumptions!$G$74/12)+IF(47=E37,D37*assumptions!$G$75,0),0)</f>
        <v/>
      </c>
      <c r="BB37" s="17">
        <f>IF(AND(48&gt;=E37,OR(F37="",48&lt;=F37)),(D37*(1+assumptions!$G$76)^3/12*(1+assumptions!$G$70+assumptions!$G$71+IF(48&gt;=assumptions!$G$73,assumptions!$G$72,0))+assumptions!$G$74/12)+IF(48=E37,D37*assumptions!$G$75,0),0)</f>
        <v/>
      </c>
      <c r="BC37" s="17">
        <f>IF(AND(49&gt;=E37,OR(F37="",49&lt;=F37)),(D37*(1+assumptions!$G$76)^4/12*(1+assumptions!$G$70+assumptions!$G$71+IF(49&gt;=assumptions!$G$73,assumptions!$G$72,0))+assumptions!$G$74/12)+IF(49=E37,D37*assumptions!$G$75,0),0)</f>
        <v/>
      </c>
      <c r="BD37" s="17">
        <f>IF(AND(50&gt;=E37,OR(F37="",50&lt;=F37)),(D37*(1+assumptions!$G$76)^4/12*(1+assumptions!$G$70+assumptions!$G$71+IF(50&gt;=assumptions!$G$73,assumptions!$G$72,0))+assumptions!$G$74/12)+IF(50=E37,D37*assumptions!$G$75,0),0)</f>
        <v/>
      </c>
      <c r="BE37" s="17">
        <f>IF(AND(51&gt;=E37,OR(F37="",51&lt;=F37)),(D37*(1+assumptions!$G$76)^4/12*(1+assumptions!$G$70+assumptions!$G$71+IF(51&gt;=assumptions!$G$73,assumptions!$G$72,0))+assumptions!$G$74/12)+IF(51=E37,D37*assumptions!$G$75,0),0)</f>
        <v/>
      </c>
      <c r="BF37" s="17">
        <f>IF(AND(52&gt;=E37,OR(F37="",52&lt;=F37)),(D37*(1+assumptions!$G$76)^4/12*(1+assumptions!$G$70+assumptions!$G$71+IF(52&gt;=assumptions!$G$73,assumptions!$G$72,0))+assumptions!$G$74/12)+IF(52=E37,D37*assumptions!$G$75,0),0)</f>
        <v/>
      </c>
      <c r="BG37" s="17">
        <f>IF(AND(53&gt;=E37,OR(F37="",53&lt;=F37)),(D37*(1+assumptions!$G$76)^4/12*(1+assumptions!$G$70+assumptions!$G$71+IF(53&gt;=assumptions!$G$73,assumptions!$G$72,0))+assumptions!$G$74/12)+IF(53=E37,D37*assumptions!$G$75,0),0)</f>
        <v/>
      </c>
      <c r="BH37" s="17">
        <f>IF(AND(54&gt;=E37,OR(F37="",54&lt;=F37)),(D37*(1+assumptions!$G$76)^4/12*(1+assumptions!$G$70+assumptions!$G$71+IF(54&gt;=assumptions!$G$73,assumptions!$G$72,0))+assumptions!$G$74/12)+IF(54=E37,D37*assumptions!$G$75,0),0)</f>
        <v/>
      </c>
      <c r="BI37" s="17">
        <f>IF(AND(55&gt;=E37,OR(F37="",55&lt;=F37)),(D37*(1+assumptions!$G$76)^4/12*(1+assumptions!$G$70+assumptions!$G$71+IF(55&gt;=assumptions!$G$73,assumptions!$G$72,0))+assumptions!$G$74/12)+IF(55=E37,D37*assumptions!$G$75,0),0)</f>
        <v/>
      </c>
      <c r="BJ37" s="17">
        <f>IF(AND(56&gt;=E37,OR(F37="",56&lt;=F37)),(D37*(1+assumptions!$G$76)^4/12*(1+assumptions!$G$70+assumptions!$G$71+IF(56&gt;=assumptions!$G$73,assumptions!$G$72,0))+assumptions!$G$74/12)+IF(56=E37,D37*assumptions!$G$75,0),0)</f>
        <v/>
      </c>
      <c r="BK37" s="17">
        <f>IF(AND(57&gt;=E37,OR(F37="",57&lt;=F37)),(D37*(1+assumptions!$G$76)^4/12*(1+assumptions!$G$70+assumptions!$G$71+IF(57&gt;=assumptions!$G$73,assumptions!$G$72,0))+assumptions!$G$74/12)+IF(57=E37,D37*assumptions!$G$75,0),0)</f>
        <v/>
      </c>
      <c r="BL37" s="17">
        <f>IF(AND(58&gt;=E37,OR(F37="",58&lt;=F37)),(D37*(1+assumptions!$G$76)^4/12*(1+assumptions!$G$70+assumptions!$G$71+IF(58&gt;=assumptions!$G$73,assumptions!$G$72,0))+assumptions!$G$74/12)+IF(58=E37,D37*assumptions!$G$75,0),0)</f>
        <v/>
      </c>
      <c r="BM37" s="17">
        <f>IF(AND(59&gt;=E37,OR(F37="",59&lt;=F37)),(D37*(1+assumptions!$G$76)^4/12*(1+assumptions!$G$70+assumptions!$G$71+IF(59&gt;=assumptions!$G$73,assumptions!$G$72,0))+assumptions!$G$74/12)+IF(59=E37,D37*assumptions!$G$75,0),0)</f>
        <v/>
      </c>
      <c r="BN37" s="17">
        <f>IF(AND(60&gt;=E37,OR(F37="",60&lt;=F37)),(D37*(1+assumptions!$G$76)^4/12*(1+assumptions!$G$70+assumptions!$G$71+IF(60&gt;=assumptions!$G$73,assumptions!$G$72,0))+assumptions!$G$74/12)+IF(60=E37,D37*assumptions!$G$75,0),0)</f>
        <v/>
      </c>
    </row>
    <row r="38">
      <c r="A38" s="5" t="n">
        <v>35</v>
      </c>
      <c r="B38" s="5" t="inlineStr">
        <is>
          <t>People &amp; Talent lead</t>
        </is>
      </c>
      <c r="C38" s="5" t="inlineStr">
        <is>
          <t>ga</t>
        </is>
      </c>
      <c r="D38" s="15" t="n">
        <v>75000</v>
      </c>
      <c r="E38" s="32" t="n">
        <v>52</v>
      </c>
      <c r="F38" s="32" t="n"/>
      <c r="G38" s="17">
        <f>IF(AND(1&gt;=E38,OR(F38="",1&lt;=F38)),(D38*(1+assumptions!$G$76)^0/12*(1+assumptions!$G$70+assumptions!$G$71+IF(1&gt;=assumptions!$G$73,assumptions!$G$72,0))+assumptions!$G$74/12)+IF(1=E38,D38*assumptions!$G$75,0),0)</f>
        <v/>
      </c>
      <c r="H38" s="17">
        <f>IF(AND(2&gt;=E38,OR(F38="",2&lt;=F38)),(D38*(1+assumptions!$G$76)^0/12*(1+assumptions!$G$70+assumptions!$G$71+IF(2&gt;=assumptions!$G$73,assumptions!$G$72,0))+assumptions!$G$74/12)+IF(2=E38,D38*assumptions!$G$75,0),0)</f>
        <v/>
      </c>
      <c r="I38" s="17">
        <f>IF(AND(3&gt;=E38,OR(F38="",3&lt;=F38)),(D38*(1+assumptions!$G$76)^0/12*(1+assumptions!$G$70+assumptions!$G$71+IF(3&gt;=assumptions!$G$73,assumptions!$G$72,0))+assumptions!$G$74/12)+IF(3=E38,D38*assumptions!$G$75,0),0)</f>
        <v/>
      </c>
      <c r="J38" s="17">
        <f>IF(AND(4&gt;=E38,OR(F38="",4&lt;=F38)),(D38*(1+assumptions!$G$76)^0/12*(1+assumptions!$G$70+assumptions!$G$71+IF(4&gt;=assumptions!$G$73,assumptions!$G$72,0))+assumptions!$G$74/12)+IF(4=E38,D38*assumptions!$G$75,0),0)</f>
        <v/>
      </c>
      <c r="K38" s="17">
        <f>IF(AND(5&gt;=E38,OR(F38="",5&lt;=F38)),(D38*(1+assumptions!$G$76)^0/12*(1+assumptions!$G$70+assumptions!$G$71+IF(5&gt;=assumptions!$G$73,assumptions!$G$72,0))+assumptions!$G$74/12)+IF(5=E38,D38*assumptions!$G$75,0),0)</f>
        <v/>
      </c>
      <c r="L38" s="17">
        <f>IF(AND(6&gt;=E38,OR(F38="",6&lt;=F38)),(D38*(1+assumptions!$G$76)^0/12*(1+assumptions!$G$70+assumptions!$G$71+IF(6&gt;=assumptions!$G$73,assumptions!$G$72,0))+assumptions!$G$74/12)+IF(6=E38,D38*assumptions!$G$75,0),0)</f>
        <v/>
      </c>
      <c r="M38" s="17">
        <f>IF(AND(7&gt;=E38,OR(F38="",7&lt;=F38)),(D38*(1+assumptions!$G$76)^0/12*(1+assumptions!$G$70+assumptions!$G$71+IF(7&gt;=assumptions!$G$73,assumptions!$G$72,0))+assumptions!$G$74/12)+IF(7=E38,D38*assumptions!$G$75,0),0)</f>
        <v/>
      </c>
      <c r="N38" s="17">
        <f>IF(AND(8&gt;=E38,OR(F38="",8&lt;=F38)),(D38*(1+assumptions!$G$76)^0/12*(1+assumptions!$G$70+assumptions!$G$71+IF(8&gt;=assumptions!$G$73,assumptions!$G$72,0))+assumptions!$G$74/12)+IF(8=E38,D38*assumptions!$G$75,0),0)</f>
        <v/>
      </c>
      <c r="O38" s="17">
        <f>IF(AND(9&gt;=E38,OR(F38="",9&lt;=F38)),(D38*(1+assumptions!$G$76)^0/12*(1+assumptions!$G$70+assumptions!$G$71+IF(9&gt;=assumptions!$G$73,assumptions!$G$72,0))+assumptions!$G$74/12)+IF(9=E38,D38*assumptions!$G$75,0),0)</f>
        <v/>
      </c>
      <c r="P38" s="17">
        <f>IF(AND(10&gt;=E38,OR(F38="",10&lt;=F38)),(D38*(1+assumptions!$G$76)^0/12*(1+assumptions!$G$70+assumptions!$G$71+IF(10&gt;=assumptions!$G$73,assumptions!$G$72,0))+assumptions!$G$74/12)+IF(10=E38,D38*assumptions!$G$75,0),0)</f>
        <v/>
      </c>
      <c r="Q38" s="17">
        <f>IF(AND(11&gt;=E38,OR(F38="",11&lt;=F38)),(D38*(1+assumptions!$G$76)^0/12*(1+assumptions!$G$70+assumptions!$G$71+IF(11&gt;=assumptions!$G$73,assumptions!$G$72,0))+assumptions!$G$74/12)+IF(11=E38,D38*assumptions!$G$75,0),0)</f>
        <v/>
      </c>
      <c r="R38" s="17">
        <f>IF(AND(12&gt;=E38,OR(F38="",12&lt;=F38)),(D38*(1+assumptions!$G$76)^0/12*(1+assumptions!$G$70+assumptions!$G$71+IF(12&gt;=assumptions!$G$73,assumptions!$G$72,0))+assumptions!$G$74/12)+IF(12=E38,D38*assumptions!$G$75,0),0)</f>
        <v/>
      </c>
      <c r="S38" s="17">
        <f>IF(AND(13&gt;=E38,OR(F38="",13&lt;=F38)),(D38*(1+assumptions!$G$76)^1/12*(1+assumptions!$G$70+assumptions!$G$71+IF(13&gt;=assumptions!$G$73,assumptions!$G$72,0))+assumptions!$G$74/12)+IF(13=E38,D38*assumptions!$G$75,0),0)</f>
        <v/>
      </c>
      <c r="T38" s="17">
        <f>IF(AND(14&gt;=E38,OR(F38="",14&lt;=F38)),(D38*(1+assumptions!$G$76)^1/12*(1+assumptions!$G$70+assumptions!$G$71+IF(14&gt;=assumptions!$G$73,assumptions!$G$72,0))+assumptions!$G$74/12)+IF(14=E38,D38*assumptions!$G$75,0),0)</f>
        <v/>
      </c>
      <c r="U38" s="17">
        <f>IF(AND(15&gt;=E38,OR(F38="",15&lt;=F38)),(D38*(1+assumptions!$G$76)^1/12*(1+assumptions!$G$70+assumptions!$G$71+IF(15&gt;=assumptions!$G$73,assumptions!$G$72,0))+assumptions!$G$74/12)+IF(15=E38,D38*assumptions!$G$75,0),0)</f>
        <v/>
      </c>
      <c r="V38" s="17">
        <f>IF(AND(16&gt;=E38,OR(F38="",16&lt;=F38)),(D38*(1+assumptions!$G$76)^1/12*(1+assumptions!$G$70+assumptions!$G$71+IF(16&gt;=assumptions!$G$73,assumptions!$G$72,0))+assumptions!$G$74/12)+IF(16=E38,D38*assumptions!$G$75,0),0)</f>
        <v/>
      </c>
      <c r="W38" s="17">
        <f>IF(AND(17&gt;=E38,OR(F38="",17&lt;=F38)),(D38*(1+assumptions!$G$76)^1/12*(1+assumptions!$G$70+assumptions!$G$71+IF(17&gt;=assumptions!$G$73,assumptions!$G$72,0))+assumptions!$G$74/12)+IF(17=E38,D38*assumptions!$G$75,0),0)</f>
        <v/>
      </c>
      <c r="X38" s="17">
        <f>IF(AND(18&gt;=E38,OR(F38="",18&lt;=F38)),(D38*(1+assumptions!$G$76)^1/12*(1+assumptions!$G$70+assumptions!$G$71+IF(18&gt;=assumptions!$G$73,assumptions!$G$72,0))+assumptions!$G$74/12)+IF(18=E38,D38*assumptions!$G$75,0),0)</f>
        <v/>
      </c>
      <c r="Y38" s="17">
        <f>IF(AND(19&gt;=E38,OR(F38="",19&lt;=F38)),(D38*(1+assumptions!$G$76)^1/12*(1+assumptions!$G$70+assumptions!$G$71+IF(19&gt;=assumptions!$G$73,assumptions!$G$72,0))+assumptions!$G$74/12)+IF(19=E38,D38*assumptions!$G$75,0),0)</f>
        <v/>
      </c>
      <c r="Z38" s="17">
        <f>IF(AND(20&gt;=E38,OR(F38="",20&lt;=F38)),(D38*(1+assumptions!$G$76)^1/12*(1+assumptions!$G$70+assumptions!$G$71+IF(20&gt;=assumptions!$G$73,assumptions!$G$72,0))+assumptions!$G$74/12)+IF(20=E38,D38*assumptions!$G$75,0),0)</f>
        <v/>
      </c>
      <c r="AA38" s="17">
        <f>IF(AND(21&gt;=E38,OR(F38="",21&lt;=F38)),(D38*(1+assumptions!$G$76)^1/12*(1+assumptions!$G$70+assumptions!$G$71+IF(21&gt;=assumptions!$G$73,assumptions!$G$72,0))+assumptions!$G$74/12)+IF(21=E38,D38*assumptions!$G$75,0),0)</f>
        <v/>
      </c>
      <c r="AB38" s="17">
        <f>IF(AND(22&gt;=E38,OR(F38="",22&lt;=F38)),(D38*(1+assumptions!$G$76)^1/12*(1+assumptions!$G$70+assumptions!$G$71+IF(22&gt;=assumptions!$G$73,assumptions!$G$72,0))+assumptions!$G$74/12)+IF(22=E38,D38*assumptions!$G$75,0),0)</f>
        <v/>
      </c>
      <c r="AC38" s="17">
        <f>IF(AND(23&gt;=E38,OR(F38="",23&lt;=F38)),(D38*(1+assumptions!$G$76)^1/12*(1+assumptions!$G$70+assumptions!$G$71+IF(23&gt;=assumptions!$G$73,assumptions!$G$72,0))+assumptions!$G$74/12)+IF(23=E38,D38*assumptions!$G$75,0),0)</f>
        <v/>
      </c>
      <c r="AD38" s="17">
        <f>IF(AND(24&gt;=E38,OR(F38="",24&lt;=F38)),(D38*(1+assumptions!$G$76)^1/12*(1+assumptions!$G$70+assumptions!$G$71+IF(24&gt;=assumptions!$G$73,assumptions!$G$72,0))+assumptions!$G$74/12)+IF(24=E38,D38*assumptions!$G$75,0),0)</f>
        <v/>
      </c>
      <c r="AE38" s="17">
        <f>IF(AND(25&gt;=E38,OR(F38="",25&lt;=F38)),(D38*(1+assumptions!$G$76)^2/12*(1+assumptions!$G$70+assumptions!$G$71+IF(25&gt;=assumptions!$G$73,assumptions!$G$72,0))+assumptions!$G$74/12)+IF(25=E38,D38*assumptions!$G$75,0),0)</f>
        <v/>
      </c>
      <c r="AF38" s="17">
        <f>IF(AND(26&gt;=E38,OR(F38="",26&lt;=F38)),(D38*(1+assumptions!$G$76)^2/12*(1+assumptions!$G$70+assumptions!$G$71+IF(26&gt;=assumptions!$G$73,assumptions!$G$72,0))+assumptions!$G$74/12)+IF(26=E38,D38*assumptions!$G$75,0),0)</f>
        <v/>
      </c>
      <c r="AG38" s="17">
        <f>IF(AND(27&gt;=E38,OR(F38="",27&lt;=F38)),(D38*(1+assumptions!$G$76)^2/12*(1+assumptions!$G$70+assumptions!$G$71+IF(27&gt;=assumptions!$G$73,assumptions!$G$72,0))+assumptions!$G$74/12)+IF(27=E38,D38*assumptions!$G$75,0),0)</f>
        <v/>
      </c>
      <c r="AH38" s="17">
        <f>IF(AND(28&gt;=E38,OR(F38="",28&lt;=F38)),(D38*(1+assumptions!$G$76)^2/12*(1+assumptions!$G$70+assumptions!$G$71+IF(28&gt;=assumptions!$G$73,assumptions!$G$72,0))+assumptions!$G$74/12)+IF(28=E38,D38*assumptions!$G$75,0),0)</f>
        <v/>
      </c>
      <c r="AI38" s="17">
        <f>IF(AND(29&gt;=E38,OR(F38="",29&lt;=F38)),(D38*(1+assumptions!$G$76)^2/12*(1+assumptions!$G$70+assumptions!$G$71+IF(29&gt;=assumptions!$G$73,assumptions!$G$72,0))+assumptions!$G$74/12)+IF(29=E38,D38*assumptions!$G$75,0),0)</f>
        <v/>
      </c>
      <c r="AJ38" s="17">
        <f>IF(AND(30&gt;=E38,OR(F38="",30&lt;=F38)),(D38*(1+assumptions!$G$76)^2/12*(1+assumptions!$G$70+assumptions!$G$71+IF(30&gt;=assumptions!$G$73,assumptions!$G$72,0))+assumptions!$G$74/12)+IF(30=E38,D38*assumptions!$G$75,0),0)</f>
        <v/>
      </c>
      <c r="AK38" s="17">
        <f>IF(AND(31&gt;=E38,OR(F38="",31&lt;=F38)),(D38*(1+assumptions!$G$76)^2/12*(1+assumptions!$G$70+assumptions!$G$71+IF(31&gt;=assumptions!$G$73,assumptions!$G$72,0))+assumptions!$G$74/12)+IF(31=E38,D38*assumptions!$G$75,0),0)</f>
        <v/>
      </c>
      <c r="AL38" s="17">
        <f>IF(AND(32&gt;=E38,OR(F38="",32&lt;=F38)),(D38*(1+assumptions!$G$76)^2/12*(1+assumptions!$G$70+assumptions!$G$71+IF(32&gt;=assumptions!$G$73,assumptions!$G$72,0))+assumptions!$G$74/12)+IF(32=E38,D38*assumptions!$G$75,0),0)</f>
        <v/>
      </c>
      <c r="AM38" s="17">
        <f>IF(AND(33&gt;=E38,OR(F38="",33&lt;=F38)),(D38*(1+assumptions!$G$76)^2/12*(1+assumptions!$G$70+assumptions!$G$71+IF(33&gt;=assumptions!$G$73,assumptions!$G$72,0))+assumptions!$G$74/12)+IF(33=E38,D38*assumptions!$G$75,0),0)</f>
        <v/>
      </c>
      <c r="AN38" s="17">
        <f>IF(AND(34&gt;=E38,OR(F38="",34&lt;=F38)),(D38*(1+assumptions!$G$76)^2/12*(1+assumptions!$G$70+assumptions!$G$71+IF(34&gt;=assumptions!$G$73,assumptions!$G$72,0))+assumptions!$G$74/12)+IF(34=E38,D38*assumptions!$G$75,0),0)</f>
        <v/>
      </c>
      <c r="AO38" s="17">
        <f>IF(AND(35&gt;=E38,OR(F38="",35&lt;=F38)),(D38*(1+assumptions!$G$76)^2/12*(1+assumptions!$G$70+assumptions!$G$71+IF(35&gt;=assumptions!$G$73,assumptions!$G$72,0))+assumptions!$G$74/12)+IF(35=E38,D38*assumptions!$G$75,0),0)</f>
        <v/>
      </c>
      <c r="AP38" s="17">
        <f>IF(AND(36&gt;=E38,OR(F38="",36&lt;=F38)),(D38*(1+assumptions!$G$76)^2/12*(1+assumptions!$G$70+assumptions!$G$71+IF(36&gt;=assumptions!$G$73,assumptions!$G$72,0))+assumptions!$G$74/12)+IF(36=E38,D38*assumptions!$G$75,0),0)</f>
        <v/>
      </c>
      <c r="AQ38" s="17">
        <f>IF(AND(37&gt;=E38,OR(F38="",37&lt;=F38)),(D38*(1+assumptions!$G$76)^3/12*(1+assumptions!$G$70+assumptions!$G$71+IF(37&gt;=assumptions!$G$73,assumptions!$G$72,0))+assumptions!$G$74/12)+IF(37=E38,D38*assumptions!$G$75,0),0)</f>
        <v/>
      </c>
      <c r="AR38" s="17">
        <f>IF(AND(38&gt;=E38,OR(F38="",38&lt;=F38)),(D38*(1+assumptions!$G$76)^3/12*(1+assumptions!$G$70+assumptions!$G$71+IF(38&gt;=assumptions!$G$73,assumptions!$G$72,0))+assumptions!$G$74/12)+IF(38=E38,D38*assumptions!$G$75,0),0)</f>
        <v/>
      </c>
      <c r="AS38" s="17">
        <f>IF(AND(39&gt;=E38,OR(F38="",39&lt;=F38)),(D38*(1+assumptions!$G$76)^3/12*(1+assumptions!$G$70+assumptions!$G$71+IF(39&gt;=assumptions!$G$73,assumptions!$G$72,0))+assumptions!$G$74/12)+IF(39=E38,D38*assumptions!$G$75,0),0)</f>
        <v/>
      </c>
      <c r="AT38" s="17">
        <f>IF(AND(40&gt;=E38,OR(F38="",40&lt;=F38)),(D38*(1+assumptions!$G$76)^3/12*(1+assumptions!$G$70+assumptions!$G$71+IF(40&gt;=assumptions!$G$73,assumptions!$G$72,0))+assumptions!$G$74/12)+IF(40=E38,D38*assumptions!$G$75,0),0)</f>
        <v/>
      </c>
      <c r="AU38" s="17">
        <f>IF(AND(41&gt;=E38,OR(F38="",41&lt;=F38)),(D38*(1+assumptions!$G$76)^3/12*(1+assumptions!$G$70+assumptions!$G$71+IF(41&gt;=assumptions!$G$73,assumptions!$G$72,0))+assumptions!$G$74/12)+IF(41=E38,D38*assumptions!$G$75,0),0)</f>
        <v/>
      </c>
      <c r="AV38" s="17">
        <f>IF(AND(42&gt;=E38,OR(F38="",42&lt;=F38)),(D38*(1+assumptions!$G$76)^3/12*(1+assumptions!$G$70+assumptions!$G$71+IF(42&gt;=assumptions!$G$73,assumptions!$G$72,0))+assumptions!$G$74/12)+IF(42=E38,D38*assumptions!$G$75,0),0)</f>
        <v/>
      </c>
      <c r="AW38" s="17">
        <f>IF(AND(43&gt;=E38,OR(F38="",43&lt;=F38)),(D38*(1+assumptions!$G$76)^3/12*(1+assumptions!$G$70+assumptions!$G$71+IF(43&gt;=assumptions!$G$73,assumptions!$G$72,0))+assumptions!$G$74/12)+IF(43=E38,D38*assumptions!$G$75,0),0)</f>
        <v/>
      </c>
      <c r="AX38" s="17">
        <f>IF(AND(44&gt;=E38,OR(F38="",44&lt;=F38)),(D38*(1+assumptions!$G$76)^3/12*(1+assumptions!$G$70+assumptions!$G$71+IF(44&gt;=assumptions!$G$73,assumptions!$G$72,0))+assumptions!$G$74/12)+IF(44=E38,D38*assumptions!$G$75,0),0)</f>
        <v/>
      </c>
      <c r="AY38" s="17">
        <f>IF(AND(45&gt;=E38,OR(F38="",45&lt;=F38)),(D38*(1+assumptions!$G$76)^3/12*(1+assumptions!$G$70+assumptions!$G$71+IF(45&gt;=assumptions!$G$73,assumptions!$G$72,0))+assumptions!$G$74/12)+IF(45=E38,D38*assumptions!$G$75,0),0)</f>
        <v/>
      </c>
      <c r="AZ38" s="17">
        <f>IF(AND(46&gt;=E38,OR(F38="",46&lt;=F38)),(D38*(1+assumptions!$G$76)^3/12*(1+assumptions!$G$70+assumptions!$G$71+IF(46&gt;=assumptions!$G$73,assumptions!$G$72,0))+assumptions!$G$74/12)+IF(46=E38,D38*assumptions!$G$75,0),0)</f>
        <v/>
      </c>
      <c r="BA38" s="17">
        <f>IF(AND(47&gt;=E38,OR(F38="",47&lt;=F38)),(D38*(1+assumptions!$G$76)^3/12*(1+assumptions!$G$70+assumptions!$G$71+IF(47&gt;=assumptions!$G$73,assumptions!$G$72,0))+assumptions!$G$74/12)+IF(47=E38,D38*assumptions!$G$75,0),0)</f>
        <v/>
      </c>
      <c r="BB38" s="17">
        <f>IF(AND(48&gt;=E38,OR(F38="",48&lt;=F38)),(D38*(1+assumptions!$G$76)^3/12*(1+assumptions!$G$70+assumptions!$G$71+IF(48&gt;=assumptions!$G$73,assumptions!$G$72,0))+assumptions!$G$74/12)+IF(48=E38,D38*assumptions!$G$75,0),0)</f>
        <v/>
      </c>
      <c r="BC38" s="17">
        <f>IF(AND(49&gt;=E38,OR(F38="",49&lt;=F38)),(D38*(1+assumptions!$G$76)^4/12*(1+assumptions!$G$70+assumptions!$G$71+IF(49&gt;=assumptions!$G$73,assumptions!$G$72,0))+assumptions!$G$74/12)+IF(49=E38,D38*assumptions!$G$75,0),0)</f>
        <v/>
      </c>
      <c r="BD38" s="17">
        <f>IF(AND(50&gt;=E38,OR(F38="",50&lt;=F38)),(D38*(1+assumptions!$G$76)^4/12*(1+assumptions!$G$70+assumptions!$G$71+IF(50&gt;=assumptions!$G$73,assumptions!$G$72,0))+assumptions!$G$74/12)+IF(50=E38,D38*assumptions!$G$75,0),0)</f>
        <v/>
      </c>
      <c r="BE38" s="17">
        <f>IF(AND(51&gt;=E38,OR(F38="",51&lt;=F38)),(D38*(1+assumptions!$G$76)^4/12*(1+assumptions!$G$70+assumptions!$G$71+IF(51&gt;=assumptions!$G$73,assumptions!$G$72,0))+assumptions!$G$74/12)+IF(51=E38,D38*assumptions!$G$75,0),0)</f>
        <v/>
      </c>
      <c r="BF38" s="17">
        <f>IF(AND(52&gt;=E38,OR(F38="",52&lt;=F38)),(D38*(1+assumptions!$G$76)^4/12*(1+assumptions!$G$70+assumptions!$G$71+IF(52&gt;=assumptions!$G$73,assumptions!$G$72,0))+assumptions!$G$74/12)+IF(52=E38,D38*assumptions!$G$75,0),0)</f>
        <v/>
      </c>
      <c r="BG38" s="17">
        <f>IF(AND(53&gt;=E38,OR(F38="",53&lt;=F38)),(D38*(1+assumptions!$G$76)^4/12*(1+assumptions!$G$70+assumptions!$G$71+IF(53&gt;=assumptions!$G$73,assumptions!$G$72,0))+assumptions!$G$74/12)+IF(53=E38,D38*assumptions!$G$75,0),0)</f>
        <v/>
      </c>
      <c r="BH38" s="17">
        <f>IF(AND(54&gt;=E38,OR(F38="",54&lt;=F38)),(D38*(1+assumptions!$G$76)^4/12*(1+assumptions!$G$70+assumptions!$G$71+IF(54&gt;=assumptions!$G$73,assumptions!$G$72,0))+assumptions!$G$74/12)+IF(54=E38,D38*assumptions!$G$75,0),0)</f>
        <v/>
      </c>
      <c r="BI38" s="17">
        <f>IF(AND(55&gt;=E38,OR(F38="",55&lt;=F38)),(D38*(1+assumptions!$G$76)^4/12*(1+assumptions!$G$70+assumptions!$G$71+IF(55&gt;=assumptions!$G$73,assumptions!$G$72,0))+assumptions!$G$74/12)+IF(55=E38,D38*assumptions!$G$75,0),0)</f>
        <v/>
      </c>
      <c r="BJ38" s="17">
        <f>IF(AND(56&gt;=E38,OR(F38="",56&lt;=F38)),(D38*(1+assumptions!$G$76)^4/12*(1+assumptions!$G$70+assumptions!$G$71+IF(56&gt;=assumptions!$G$73,assumptions!$G$72,0))+assumptions!$G$74/12)+IF(56=E38,D38*assumptions!$G$75,0),0)</f>
        <v/>
      </c>
      <c r="BK38" s="17">
        <f>IF(AND(57&gt;=E38,OR(F38="",57&lt;=F38)),(D38*(1+assumptions!$G$76)^4/12*(1+assumptions!$G$70+assumptions!$G$71+IF(57&gt;=assumptions!$G$73,assumptions!$G$72,0))+assumptions!$G$74/12)+IF(57=E38,D38*assumptions!$G$75,0),0)</f>
        <v/>
      </c>
      <c r="BL38" s="17">
        <f>IF(AND(58&gt;=E38,OR(F38="",58&lt;=F38)),(D38*(1+assumptions!$G$76)^4/12*(1+assumptions!$G$70+assumptions!$G$71+IF(58&gt;=assumptions!$G$73,assumptions!$G$72,0))+assumptions!$G$74/12)+IF(58=E38,D38*assumptions!$G$75,0),0)</f>
        <v/>
      </c>
      <c r="BM38" s="17">
        <f>IF(AND(59&gt;=E38,OR(F38="",59&lt;=F38)),(D38*(1+assumptions!$G$76)^4/12*(1+assumptions!$G$70+assumptions!$G$71+IF(59&gt;=assumptions!$G$73,assumptions!$G$72,0))+assumptions!$G$74/12)+IF(59=E38,D38*assumptions!$G$75,0),0)</f>
        <v/>
      </c>
      <c r="BN38" s="17">
        <f>IF(AND(60&gt;=E38,OR(F38="",60&lt;=F38)),(D38*(1+assumptions!$G$76)^4/12*(1+assumptions!$G$70+assumptions!$G$71+IF(60&gt;=assumptions!$G$73,assumptions!$G$72,0))+assumptions!$G$74/12)+IF(60=E38,D38*assumptions!$G$75,0),0)</f>
        <v/>
      </c>
    </row>
    <row r="39">
      <c r="A39" s="5" t="n">
        <v>36</v>
      </c>
      <c r="B39" s="5" t="inlineStr">
        <is>
          <t>Senior engineer #6</t>
        </is>
      </c>
      <c r="C39" s="5" t="inlineStr">
        <is>
          <t>eng</t>
        </is>
      </c>
      <c r="D39" s="15" t="n">
        <v>95000</v>
      </c>
      <c r="E39" s="32" t="n">
        <v>54</v>
      </c>
      <c r="F39" s="32" t="n"/>
      <c r="G39" s="17">
        <f>IF(AND(1&gt;=E39,OR(F39="",1&lt;=F39)),(D39*(1+assumptions!$G$76)^0/12*(1+assumptions!$G$70+assumptions!$G$71+IF(1&gt;=assumptions!$G$73,assumptions!$G$72,0))+assumptions!$G$74/12)+IF(1=E39,D39*assumptions!$G$75,0),0)</f>
        <v/>
      </c>
      <c r="H39" s="17">
        <f>IF(AND(2&gt;=E39,OR(F39="",2&lt;=F39)),(D39*(1+assumptions!$G$76)^0/12*(1+assumptions!$G$70+assumptions!$G$71+IF(2&gt;=assumptions!$G$73,assumptions!$G$72,0))+assumptions!$G$74/12)+IF(2=E39,D39*assumptions!$G$75,0),0)</f>
        <v/>
      </c>
      <c r="I39" s="17">
        <f>IF(AND(3&gt;=E39,OR(F39="",3&lt;=F39)),(D39*(1+assumptions!$G$76)^0/12*(1+assumptions!$G$70+assumptions!$G$71+IF(3&gt;=assumptions!$G$73,assumptions!$G$72,0))+assumptions!$G$74/12)+IF(3=E39,D39*assumptions!$G$75,0),0)</f>
        <v/>
      </c>
      <c r="J39" s="17">
        <f>IF(AND(4&gt;=E39,OR(F39="",4&lt;=F39)),(D39*(1+assumptions!$G$76)^0/12*(1+assumptions!$G$70+assumptions!$G$71+IF(4&gt;=assumptions!$G$73,assumptions!$G$72,0))+assumptions!$G$74/12)+IF(4=E39,D39*assumptions!$G$75,0),0)</f>
        <v/>
      </c>
      <c r="K39" s="17">
        <f>IF(AND(5&gt;=E39,OR(F39="",5&lt;=F39)),(D39*(1+assumptions!$G$76)^0/12*(1+assumptions!$G$70+assumptions!$G$71+IF(5&gt;=assumptions!$G$73,assumptions!$G$72,0))+assumptions!$G$74/12)+IF(5=E39,D39*assumptions!$G$75,0),0)</f>
        <v/>
      </c>
      <c r="L39" s="17">
        <f>IF(AND(6&gt;=E39,OR(F39="",6&lt;=F39)),(D39*(1+assumptions!$G$76)^0/12*(1+assumptions!$G$70+assumptions!$G$71+IF(6&gt;=assumptions!$G$73,assumptions!$G$72,0))+assumptions!$G$74/12)+IF(6=E39,D39*assumptions!$G$75,0),0)</f>
        <v/>
      </c>
      <c r="M39" s="17">
        <f>IF(AND(7&gt;=E39,OR(F39="",7&lt;=F39)),(D39*(1+assumptions!$G$76)^0/12*(1+assumptions!$G$70+assumptions!$G$71+IF(7&gt;=assumptions!$G$73,assumptions!$G$72,0))+assumptions!$G$74/12)+IF(7=E39,D39*assumptions!$G$75,0),0)</f>
        <v/>
      </c>
      <c r="N39" s="17">
        <f>IF(AND(8&gt;=E39,OR(F39="",8&lt;=F39)),(D39*(1+assumptions!$G$76)^0/12*(1+assumptions!$G$70+assumptions!$G$71+IF(8&gt;=assumptions!$G$73,assumptions!$G$72,0))+assumptions!$G$74/12)+IF(8=E39,D39*assumptions!$G$75,0),0)</f>
        <v/>
      </c>
      <c r="O39" s="17">
        <f>IF(AND(9&gt;=E39,OR(F39="",9&lt;=F39)),(D39*(1+assumptions!$G$76)^0/12*(1+assumptions!$G$70+assumptions!$G$71+IF(9&gt;=assumptions!$G$73,assumptions!$G$72,0))+assumptions!$G$74/12)+IF(9=E39,D39*assumptions!$G$75,0),0)</f>
        <v/>
      </c>
      <c r="P39" s="17">
        <f>IF(AND(10&gt;=E39,OR(F39="",10&lt;=F39)),(D39*(1+assumptions!$G$76)^0/12*(1+assumptions!$G$70+assumptions!$G$71+IF(10&gt;=assumptions!$G$73,assumptions!$G$72,0))+assumptions!$G$74/12)+IF(10=E39,D39*assumptions!$G$75,0),0)</f>
        <v/>
      </c>
      <c r="Q39" s="17">
        <f>IF(AND(11&gt;=E39,OR(F39="",11&lt;=F39)),(D39*(1+assumptions!$G$76)^0/12*(1+assumptions!$G$70+assumptions!$G$71+IF(11&gt;=assumptions!$G$73,assumptions!$G$72,0))+assumptions!$G$74/12)+IF(11=E39,D39*assumptions!$G$75,0),0)</f>
        <v/>
      </c>
      <c r="R39" s="17">
        <f>IF(AND(12&gt;=E39,OR(F39="",12&lt;=F39)),(D39*(1+assumptions!$G$76)^0/12*(1+assumptions!$G$70+assumptions!$G$71+IF(12&gt;=assumptions!$G$73,assumptions!$G$72,0))+assumptions!$G$74/12)+IF(12=E39,D39*assumptions!$G$75,0),0)</f>
        <v/>
      </c>
      <c r="S39" s="17">
        <f>IF(AND(13&gt;=E39,OR(F39="",13&lt;=F39)),(D39*(1+assumptions!$G$76)^1/12*(1+assumptions!$G$70+assumptions!$G$71+IF(13&gt;=assumptions!$G$73,assumptions!$G$72,0))+assumptions!$G$74/12)+IF(13=E39,D39*assumptions!$G$75,0),0)</f>
        <v/>
      </c>
      <c r="T39" s="17">
        <f>IF(AND(14&gt;=E39,OR(F39="",14&lt;=F39)),(D39*(1+assumptions!$G$76)^1/12*(1+assumptions!$G$70+assumptions!$G$71+IF(14&gt;=assumptions!$G$73,assumptions!$G$72,0))+assumptions!$G$74/12)+IF(14=E39,D39*assumptions!$G$75,0),0)</f>
        <v/>
      </c>
      <c r="U39" s="17">
        <f>IF(AND(15&gt;=E39,OR(F39="",15&lt;=F39)),(D39*(1+assumptions!$G$76)^1/12*(1+assumptions!$G$70+assumptions!$G$71+IF(15&gt;=assumptions!$G$73,assumptions!$G$72,0))+assumptions!$G$74/12)+IF(15=E39,D39*assumptions!$G$75,0),0)</f>
        <v/>
      </c>
      <c r="V39" s="17">
        <f>IF(AND(16&gt;=E39,OR(F39="",16&lt;=F39)),(D39*(1+assumptions!$G$76)^1/12*(1+assumptions!$G$70+assumptions!$G$71+IF(16&gt;=assumptions!$G$73,assumptions!$G$72,0))+assumptions!$G$74/12)+IF(16=E39,D39*assumptions!$G$75,0),0)</f>
        <v/>
      </c>
      <c r="W39" s="17">
        <f>IF(AND(17&gt;=E39,OR(F39="",17&lt;=F39)),(D39*(1+assumptions!$G$76)^1/12*(1+assumptions!$G$70+assumptions!$G$71+IF(17&gt;=assumptions!$G$73,assumptions!$G$72,0))+assumptions!$G$74/12)+IF(17=E39,D39*assumptions!$G$75,0),0)</f>
        <v/>
      </c>
      <c r="X39" s="17">
        <f>IF(AND(18&gt;=E39,OR(F39="",18&lt;=F39)),(D39*(1+assumptions!$G$76)^1/12*(1+assumptions!$G$70+assumptions!$G$71+IF(18&gt;=assumptions!$G$73,assumptions!$G$72,0))+assumptions!$G$74/12)+IF(18=E39,D39*assumptions!$G$75,0),0)</f>
        <v/>
      </c>
      <c r="Y39" s="17">
        <f>IF(AND(19&gt;=E39,OR(F39="",19&lt;=F39)),(D39*(1+assumptions!$G$76)^1/12*(1+assumptions!$G$70+assumptions!$G$71+IF(19&gt;=assumptions!$G$73,assumptions!$G$72,0))+assumptions!$G$74/12)+IF(19=E39,D39*assumptions!$G$75,0),0)</f>
        <v/>
      </c>
      <c r="Z39" s="17">
        <f>IF(AND(20&gt;=E39,OR(F39="",20&lt;=F39)),(D39*(1+assumptions!$G$76)^1/12*(1+assumptions!$G$70+assumptions!$G$71+IF(20&gt;=assumptions!$G$73,assumptions!$G$72,0))+assumptions!$G$74/12)+IF(20=E39,D39*assumptions!$G$75,0),0)</f>
        <v/>
      </c>
      <c r="AA39" s="17">
        <f>IF(AND(21&gt;=E39,OR(F39="",21&lt;=F39)),(D39*(1+assumptions!$G$76)^1/12*(1+assumptions!$G$70+assumptions!$G$71+IF(21&gt;=assumptions!$G$73,assumptions!$G$72,0))+assumptions!$G$74/12)+IF(21=E39,D39*assumptions!$G$75,0),0)</f>
        <v/>
      </c>
      <c r="AB39" s="17">
        <f>IF(AND(22&gt;=E39,OR(F39="",22&lt;=F39)),(D39*(1+assumptions!$G$76)^1/12*(1+assumptions!$G$70+assumptions!$G$71+IF(22&gt;=assumptions!$G$73,assumptions!$G$72,0))+assumptions!$G$74/12)+IF(22=E39,D39*assumptions!$G$75,0),0)</f>
        <v/>
      </c>
      <c r="AC39" s="17">
        <f>IF(AND(23&gt;=E39,OR(F39="",23&lt;=F39)),(D39*(1+assumptions!$G$76)^1/12*(1+assumptions!$G$70+assumptions!$G$71+IF(23&gt;=assumptions!$G$73,assumptions!$G$72,0))+assumptions!$G$74/12)+IF(23=E39,D39*assumptions!$G$75,0),0)</f>
        <v/>
      </c>
      <c r="AD39" s="17">
        <f>IF(AND(24&gt;=E39,OR(F39="",24&lt;=F39)),(D39*(1+assumptions!$G$76)^1/12*(1+assumptions!$G$70+assumptions!$G$71+IF(24&gt;=assumptions!$G$73,assumptions!$G$72,0))+assumptions!$G$74/12)+IF(24=E39,D39*assumptions!$G$75,0),0)</f>
        <v/>
      </c>
      <c r="AE39" s="17">
        <f>IF(AND(25&gt;=E39,OR(F39="",25&lt;=F39)),(D39*(1+assumptions!$G$76)^2/12*(1+assumptions!$G$70+assumptions!$G$71+IF(25&gt;=assumptions!$G$73,assumptions!$G$72,0))+assumptions!$G$74/12)+IF(25=E39,D39*assumptions!$G$75,0),0)</f>
        <v/>
      </c>
      <c r="AF39" s="17">
        <f>IF(AND(26&gt;=E39,OR(F39="",26&lt;=F39)),(D39*(1+assumptions!$G$76)^2/12*(1+assumptions!$G$70+assumptions!$G$71+IF(26&gt;=assumptions!$G$73,assumptions!$G$72,0))+assumptions!$G$74/12)+IF(26=E39,D39*assumptions!$G$75,0),0)</f>
        <v/>
      </c>
      <c r="AG39" s="17">
        <f>IF(AND(27&gt;=E39,OR(F39="",27&lt;=F39)),(D39*(1+assumptions!$G$76)^2/12*(1+assumptions!$G$70+assumptions!$G$71+IF(27&gt;=assumptions!$G$73,assumptions!$G$72,0))+assumptions!$G$74/12)+IF(27=E39,D39*assumptions!$G$75,0),0)</f>
        <v/>
      </c>
      <c r="AH39" s="17">
        <f>IF(AND(28&gt;=E39,OR(F39="",28&lt;=F39)),(D39*(1+assumptions!$G$76)^2/12*(1+assumptions!$G$70+assumptions!$G$71+IF(28&gt;=assumptions!$G$73,assumptions!$G$72,0))+assumptions!$G$74/12)+IF(28=E39,D39*assumptions!$G$75,0),0)</f>
        <v/>
      </c>
      <c r="AI39" s="17">
        <f>IF(AND(29&gt;=E39,OR(F39="",29&lt;=F39)),(D39*(1+assumptions!$G$76)^2/12*(1+assumptions!$G$70+assumptions!$G$71+IF(29&gt;=assumptions!$G$73,assumptions!$G$72,0))+assumptions!$G$74/12)+IF(29=E39,D39*assumptions!$G$75,0),0)</f>
        <v/>
      </c>
      <c r="AJ39" s="17">
        <f>IF(AND(30&gt;=E39,OR(F39="",30&lt;=F39)),(D39*(1+assumptions!$G$76)^2/12*(1+assumptions!$G$70+assumptions!$G$71+IF(30&gt;=assumptions!$G$73,assumptions!$G$72,0))+assumptions!$G$74/12)+IF(30=E39,D39*assumptions!$G$75,0),0)</f>
        <v/>
      </c>
      <c r="AK39" s="17">
        <f>IF(AND(31&gt;=E39,OR(F39="",31&lt;=F39)),(D39*(1+assumptions!$G$76)^2/12*(1+assumptions!$G$70+assumptions!$G$71+IF(31&gt;=assumptions!$G$73,assumptions!$G$72,0))+assumptions!$G$74/12)+IF(31=E39,D39*assumptions!$G$75,0),0)</f>
        <v/>
      </c>
      <c r="AL39" s="17">
        <f>IF(AND(32&gt;=E39,OR(F39="",32&lt;=F39)),(D39*(1+assumptions!$G$76)^2/12*(1+assumptions!$G$70+assumptions!$G$71+IF(32&gt;=assumptions!$G$73,assumptions!$G$72,0))+assumptions!$G$74/12)+IF(32=E39,D39*assumptions!$G$75,0),0)</f>
        <v/>
      </c>
      <c r="AM39" s="17">
        <f>IF(AND(33&gt;=E39,OR(F39="",33&lt;=F39)),(D39*(1+assumptions!$G$76)^2/12*(1+assumptions!$G$70+assumptions!$G$71+IF(33&gt;=assumptions!$G$73,assumptions!$G$72,0))+assumptions!$G$74/12)+IF(33=E39,D39*assumptions!$G$75,0),0)</f>
        <v/>
      </c>
      <c r="AN39" s="17">
        <f>IF(AND(34&gt;=E39,OR(F39="",34&lt;=F39)),(D39*(1+assumptions!$G$76)^2/12*(1+assumptions!$G$70+assumptions!$G$71+IF(34&gt;=assumptions!$G$73,assumptions!$G$72,0))+assumptions!$G$74/12)+IF(34=E39,D39*assumptions!$G$75,0),0)</f>
        <v/>
      </c>
      <c r="AO39" s="17">
        <f>IF(AND(35&gt;=E39,OR(F39="",35&lt;=F39)),(D39*(1+assumptions!$G$76)^2/12*(1+assumptions!$G$70+assumptions!$G$71+IF(35&gt;=assumptions!$G$73,assumptions!$G$72,0))+assumptions!$G$74/12)+IF(35=E39,D39*assumptions!$G$75,0),0)</f>
        <v/>
      </c>
      <c r="AP39" s="17">
        <f>IF(AND(36&gt;=E39,OR(F39="",36&lt;=F39)),(D39*(1+assumptions!$G$76)^2/12*(1+assumptions!$G$70+assumptions!$G$71+IF(36&gt;=assumptions!$G$73,assumptions!$G$72,0))+assumptions!$G$74/12)+IF(36=E39,D39*assumptions!$G$75,0),0)</f>
        <v/>
      </c>
      <c r="AQ39" s="17">
        <f>IF(AND(37&gt;=E39,OR(F39="",37&lt;=F39)),(D39*(1+assumptions!$G$76)^3/12*(1+assumptions!$G$70+assumptions!$G$71+IF(37&gt;=assumptions!$G$73,assumptions!$G$72,0))+assumptions!$G$74/12)+IF(37=E39,D39*assumptions!$G$75,0),0)</f>
        <v/>
      </c>
      <c r="AR39" s="17">
        <f>IF(AND(38&gt;=E39,OR(F39="",38&lt;=F39)),(D39*(1+assumptions!$G$76)^3/12*(1+assumptions!$G$70+assumptions!$G$71+IF(38&gt;=assumptions!$G$73,assumptions!$G$72,0))+assumptions!$G$74/12)+IF(38=E39,D39*assumptions!$G$75,0),0)</f>
        <v/>
      </c>
      <c r="AS39" s="17">
        <f>IF(AND(39&gt;=E39,OR(F39="",39&lt;=F39)),(D39*(1+assumptions!$G$76)^3/12*(1+assumptions!$G$70+assumptions!$G$71+IF(39&gt;=assumptions!$G$73,assumptions!$G$72,0))+assumptions!$G$74/12)+IF(39=E39,D39*assumptions!$G$75,0),0)</f>
        <v/>
      </c>
      <c r="AT39" s="17">
        <f>IF(AND(40&gt;=E39,OR(F39="",40&lt;=F39)),(D39*(1+assumptions!$G$76)^3/12*(1+assumptions!$G$70+assumptions!$G$71+IF(40&gt;=assumptions!$G$73,assumptions!$G$72,0))+assumptions!$G$74/12)+IF(40=E39,D39*assumptions!$G$75,0),0)</f>
        <v/>
      </c>
      <c r="AU39" s="17">
        <f>IF(AND(41&gt;=E39,OR(F39="",41&lt;=F39)),(D39*(1+assumptions!$G$76)^3/12*(1+assumptions!$G$70+assumptions!$G$71+IF(41&gt;=assumptions!$G$73,assumptions!$G$72,0))+assumptions!$G$74/12)+IF(41=E39,D39*assumptions!$G$75,0),0)</f>
        <v/>
      </c>
      <c r="AV39" s="17">
        <f>IF(AND(42&gt;=E39,OR(F39="",42&lt;=F39)),(D39*(1+assumptions!$G$76)^3/12*(1+assumptions!$G$70+assumptions!$G$71+IF(42&gt;=assumptions!$G$73,assumptions!$G$72,0))+assumptions!$G$74/12)+IF(42=E39,D39*assumptions!$G$75,0),0)</f>
        <v/>
      </c>
      <c r="AW39" s="17">
        <f>IF(AND(43&gt;=E39,OR(F39="",43&lt;=F39)),(D39*(1+assumptions!$G$76)^3/12*(1+assumptions!$G$70+assumptions!$G$71+IF(43&gt;=assumptions!$G$73,assumptions!$G$72,0))+assumptions!$G$74/12)+IF(43=E39,D39*assumptions!$G$75,0),0)</f>
        <v/>
      </c>
      <c r="AX39" s="17">
        <f>IF(AND(44&gt;=E39,OR(F39="",44&lt;=F39)),(D39*(1+assumptions!$G$76)^3/12*(1+assumptions!$G$70+assumptions!$G$71+IF(44&gt;=assumptions!$G$73,assumptions!$G$72,0))+assumptions!$G$74/12)+IF(44=E39,D39*assumptions!$G$75,0),0)</f>
        <v/>
      </c>
      <c r="AY39" s="17">
        <f>IF(AND(45&gt;=E39,OR(F39="",45&lt;=F39)),(D39*(1+assumptions!$G$76)^3/12*(1+assumptions!$G$70+assumptions!$G$71+IF(45&gt;=assumptions!$G$73,assumptions!$G$72,0))+assumptions!$G$74/12)+IF(45=E39,D39*assumptions!$G$75,0),0)</f>
        <v/>
      </c>
      <c r="AZ39" s="17">
        <f>IF(AND(46&gt;=E39,OR(F39="",46&lt;=F39)),(D39*(1+assumptions!$G$76)^3/12*(1+assumptions!$G$70+assumptions!$G$71+IF(46&gt;=assumptions!$G$73,assumptions!$G$72,0))+assumptions!$G$74/12)+IF(46=E39,D39*assumptions!$G$75,0),0)</f>
        <v/>
      </c>
      <c r="BA39" s="17">
        <f>IF(AND(47&gt;=E39,OR(F39="",47&lt;=F39)),(D39*(1+assumptions!$G$76)^3/12*(1+assumptions!$G$70+assumptions!$G$71+IF(47&gt;=assumptions!$G$73,assumptions!$G$72,0))+assumptions!$G$74/12)+IF(47=E39,D39*assumptions!$G$75,0),0)</f>
        <v/>
      </c>
      <c r="BB39" s="17">
        <f>IF(AND(48&gt;=E39,OR(F39="",48&lt;=F39)),(D39*(1+assumptions!$G$76)^3/12*(1+assumptions!$G$70+assumptions!$G$71+IF(48&gt;=assumptions!$G$73,assumptions!$G$72,0))+assumptions!$G$74/12)+IF(48=E39,D39*assumptions!$G$75,0),0)</f>
        <v/>
      </c>
      <c r="BC39" s="17">
        <f>IF(AND(49&gt;=E39,OR(F39="",49&lt;=F39)),(D39*(1+assumptions!$G$76)^4/12*(1+assumptions!$G$70+assumptions!$G$71+IF(49&gt;=assumptions!$G$73,assumptions!$G$72,0))+assumptions!$G$74/12)+IF(49=E39,D39*assumptions!$G$75,0),0)</f>
        <v/>
      </c>
      <c r="BD39" s="17">
        <f>IF(AND(50&gt;=E39,OR(F39="",50&lt;=F39)),(D39*(1+assumptions!$G$76)^4/12*(1+assumptions!$G$70+assumptions!$G$71+IF(50&gt;=assumptions!$G$73,assumptions!$G$72,0))+assumptions!$G$74/12)+IF(50=E39,D39*assumptions!$G$75,0),0)</f>
        <v/>
      </c>
      <c r="BE39" s="17">
        <f>IF(AND(51&gt;=E39,OR(F39="",51&lt;=F39)),(D39*(1+assumptions!$G$76)^4/12*(1+assumptions!$G$70+assumptions!$G$71+IF(51&gt;=assumptions!$G$73,assumptions!$G$72,0))+assumptions!$G$74/12)+IF(51=E39,D39*assumptions!$G$75,0),0)</f>
        <v/>
      </c>
      <c r="BF39" s="17">
        <f>IF(AND(52&gt;=E39,OR(F39="",52&lt;=F39)),(D39*(1+assumptions!$G$76)^4/12*(1+assumptions!$G$70+assumptions!$G$71+IF(52&gt;=assumptions!$G$73,assumptions!$G$72,0))+assumptions!$G$74/12)+IF(52=E39,D39*assumptions!$G$75,0),0)</f>
        <v/>
      </c>
      <c r="BG39" s="17">
        <f>IF(AND(53&gt;=E39,OR(F39="",53&lt;=F39)),(D39*(1+assumptions!$G$76)^4/12*(1+assumptions!$G$70+assumptions!$G$71+IF(53&gt;=assumptions!$G$73,assumptions!$G$72,0))+assumptions!$G$74/12)+IF(53=E39,D39*assumptions!$G$75,0),0)</f>
        <v/>
      </c>
      <c r="BH39" s="17">
        <f>IF(AND(54&gt;=E39,OR(F39="",54&lt;=F39)),(D39*(1+assumptions!$G$76)^4/12*(1+assumptions!$G$70+assumptions!$G$71+IF(54&gt;=assumptions!$G$73,assumptions!$G$72,0))+assumptions!$G$74/12)+IF(54=E39,D39*assumptions!$G$75,0),0)</f>
        <v/>
      </c>
      <c r="BI39" s="17">
        <f>IF(AND(55&gt;=E39,OR(F39="",55&lt;=F39)),(D39*(1+assumptions!$G$76)^4/12*(1+assumptions!$G$70+assumptions!$G$71+IF(55&gt;=assumptions!$G$73,assumptions!$G$72,0))+assumptions!$G$74/12)+IF(55=E39,D39*assumptions!$G$75,0),0)</f>
        <v/>
      </c>
      <c r="BJ39" s="17">
        <f>IF(AND(56&gt;=E39,OR(F39="",56&lt;=F39)),(D39*(1+assumptions!$G$76)^4/12*(1+assumptions!$G$70+assumptions!$G$71+IF(56&gt;=assumptions!$G$73,assumptions!$G$72,0))+assumptions!$G$74/12)+IF(56=E39,D39*assumptions!$G$75,0),0)</f>
        <v/>
      </c>
      <c r="BK39" s="17">
        <f>IF(AND(57&gt;=E39,OR(F39="",57&lt;=F39)),(D39*(1+assumptions!$G$76)^4/12*(1+assumptions!$G$70+assumptions!$G$71+IF(57&gt;=assumptions!$G$73,assumptions!$G$72,0))+assumptions!$G$74/12)+IF(57=E39,D39*assumptions!$G$75,0),0)</f>
        <v/>
      </c>
      <c r="BL39" s="17">
        <f>IF(AND(58&gt;=E39,OR(F39="",58&lt;=F39)),(D39*(1+assumptions!$G$76)^4/12*(1+assumptions!$G$70+assumptions!$G$71+IF(58&gt;=assumptions!$G$73,assumptions!$G$72,0))+assumptions!$G$74/12)+IF(58=E39,D39*assumptions!$G$75,0),0)</f>
        <v/>
      </c>
      <c r="BM39" s="17">
        <f>IF(AND(59&gt;=E39,OR(F39="",59&lt;=F39)),(D39*(1+assumptions!$G$76)^4/12*(1+assumptions!$G$70+assumptions!$G$71+IF(59&gt;=assumptions!$G$73,assumptions!$G$72,0))+assumptions!$G$74/12)+IF(59=E39,D39*assumptions!$G$75,0),0)</f>
        <v/>
      </c>
      <c r="BN39" s="17">
        <f>IF(AND(60&gt;=E39,OR(F39="",60&lt;=F39)),(D39*(1+assumptions!$G$76)^4/12*(1+assumptions!$G$70+assumptions!$G$71+IF(60&gt;=assumptions!$G$73,assumptions!$G$72,0))+assumptions!$G$74/12)+IF(60=E39,D39*assumptions!$G$75,0),0)</f>
        <v/>
      </c>
    </row>
    <row r="40">
      <c r="A40" s="5" t="n">
        <v>37</v>
      </c>
      <c r="B40" s="5" t="inlineStr">
        <is>
          <t>Trust &amp; Safety lead</t>
        </is>
      </c>
      <c r="C40" s="5" t="inlineStr">
        <is>
          <t>ops</t>
        </is>
      </c>
      <c r="D40" s="15" t="n">
        <v>70000</v>
      </c>
      <c r="E40" s="32" t="n">
        <v>56</v>
      </c>
      <c r="F40" s="32" t="n"/>
      <c r="G40" s="17">
        <f>IF(AND(1&gt;=E40,OR(F40="",1&lt;=F40)),(D40*(1+assumptions!$G$76)^0/12*(1+assumptions!$G$70+assumptions!$G$71+IF(1&gt;=assumptions!$G$73,assumptions!$G$72,0))+assumptions!$G$74/12)+IF(1=E40,D40*assumptions!$G$75,0),0)</f>
        <v/>
      </c>
      <c r="H40" s="17">
        <f>IF(AND(2&gt;=E40,OR(F40="",2&lt;=F40)),(D40*(1+assumptions!$G$76)^0/12*(1+assumptions!$G$70+assumptions!$G$71+IF(2&gt;=assumptions!$G$73,assumptions!$G$72,0))+assumptions!$G$74/12)+IF(2=E40,D40*assumptions!$G$75,0),0)</f>
        <v/>
      </c>
      <c r="I40" s="17">
        <f>IF(AND(3&gt;=E40,OR(F40="",3&lt;=F40)),(D40*(1+assumptions!$G$76)^0/12*(1+assumptions!$G$70+assumptions!$G$71+IF(3&gt;=assumptions!$G$73,assumptions!$G$72,0))+assumptions!$G$74/12)+IF(3=E40,D40*assumptions!$G$75,0),0)</f>
        <v/>
      </c>
      <c r="J40" s="17">
        <f>IF(AND(4&gt;=E40,OR(F40="",4&lt;=F40)),(D40*(1+assumptions!$G$76)^0/12*(1+assumptions!$G$70+assumptions!$G$71+IF(4&gt;=assumptions!$G$73,assumptions!$G$72,0))+assumptions!$G$74/12)+IF(4=E40,D40*assumptions!$G$75,0),0)</f>
        <v/>
      </c>
      <c r="K40" s="17">
        <f>IF(AND(5&gt;=E40,OR(F40="",5&lt;=F40)),(D40*(1+assumptions!$G$76)^0/12*(1+assumptions!$G$70+assumptions!$G$71+IF(5&gt;=assumptions!$G$73,assumptions!$G$72,0))+assumptions!$G$74/12)+IF(5=E40,D40*assumptions!$G$75,0),0)</f>
        <v/>
      </c>
      <c r="L40" s="17">
        <f>IF(AND(6&gt;=E40,OR(F40="",6&lt;=F40)),(D40*(1+assumptions!$G$76)^0/12*(1+assumptions!$G$70+assumptions!$G$71+IF(6&gt;=assumptions!$G$73,assumptions!$G$72,0))+assumptions!$G$74/12)+IF(6=E40,D40*assumptions!$G$75,0),0)</f>
        <v/>
      </c>
      <c r="M40" s="17">
        <f>IF(AND(7&gt;=E40,OR(F40="",7&lt;=F40)),(D40*(1+assumptions!$G$76)^0/12*(1+assumptions!$G$70+assumptions!$G$71+IF(7&gt;=assumptions!$G$73,assumptions!$G$72,0))+assumptions!$G$74/12)+IF(7=E40,D40*assumptions!$G$75,0),0)</f>
        <v/>
      </c>
      <c r="N40" s="17">
        <f>IF(AND(8&gt;=E40,OR(F40="",8&lt;=F40)),(D40*(1+assumptions!$G$76)^0/12*(1+assumptions!$G$70+assumptions!$G$71+IF(8&gt;=assumptions!$G$73,assumptions!$G$72,0))+assumptions!$G$74/12)+IF(8=E40,D40*assumptions!$G$75,0),0)</f>
        <v/>
      </c>
      <c r="O40" s="17">
        <f>IF(AND(9&gt;=E40,OR(F40="",9&lt;=F40)),(D40*(1+assumptions!$G$76)^0/12*(1+assumptions!$G$70+assumptions!$G$71+IF(9&gt;=assumptions!$G$73,assumptions!$G$72,0))+assumptions!$G$74/12)+IF(9=E40,D40*assumptions!$G$75,0),0)</f>
        <v/>
      </c>
      <c r="P40" s="17">
        <f>IF(AND(10&gt;=E40,OR(F40="",10&lt;=F40)),(D40*(1+assumptions!$G$76)^0/12*(1+assumptions!$G$70+assumptions!$G$71+IF(10&gt;=assumptions!$G$73,assumptions!$G$72,0))+assumptions!$G$74/12)+IF(10=E40,D40*assumptions!$G$75,0),0)</f>
        <v/>
      </c>
      <c r="Q40" s="17">
        <f>IF(AND(11&gt;=E40,OR(F40="",11&lt;=F40)),(D40*(1+assumptions!$G$76)^0/12*(1+assumptions!$G$70+assumptions!$G$71+IF(11&gt;=assumptions!$G$73,assumptions!$G$72,0))+assumptions!$G$74/12)+IF(11=E40,D40*assumptions!$G$75,0),0)</f>
        <v/>
      </c>
      <c r="R40" s="17">
        <f>IF(AND(12&gt;=E40,OR(F40="",12&lt;=F40)),(D40*(1+assumptions!$G$76)^0/12*(1+assumptions!$G$70+assumptions!$G$71+IF(12&gt;=assumptions!$G$73,assumptions!$G$72,0))+assumptions!$G$74/12)+IF(12=E40,D40*assumptions!$G$75,0),0)</f>
        <v/>
      </c>
      <c r="S40" s="17">
        <f>IF(AND(13&gt;=E40,OR(F40="",13&lt;=F40)),(D40*(1+assumptions!$G$76)^1/12*(1+assumptions!$G$70+assumptions!$G$71+IF(13&gt;=assumptions!$G$73,assumptions!$G$72,0))+assumptions!$G$74/12)+IF(13=E40,D40*assumptions!$G$75,0),0)</f>
        <v/>
      </c>
      <c r="T40" s="17">
        <f>IF(AND(14&gt;=E40,OR(F40="",14&lt;=F40)),(D40*(1+assumptions!$G$76)^1/12*(1+assumptions!$G$70+assumptions!$G$71+IF(14&gt;=assumptions!$G$73,assumptions!$G$72,0))+assumptions!$G$74/12)+IF(14=E40,D40*assumptions!$G$75,0),0)</f>
        <v/>
      </c>
      <c r="U40" s="17">
        <f>IF(AND(15&gt;=E40,OR(F40="",15&lt;=F40)),(D40*(1+assumptions!$G$76)^1/12*(1+assumptions!$G$70+assumptions!$G$71+IF(15&gt;=assumptions!$G$73,assumptions!$G$72,0))+assumptions!$G$74/12)+IF(15=E40,D40*assumptions!$G$75,0),0)</f>
        <v/>
      </c>
      <c r="V40" s="17">
        <f>IF(AND(16&gt;=E40,OR(F40="",16&lt;=F40)),(D40*(1+assumptions!$G$76)^1/12*(1+assumptions!$G$70+assumptions!$G$71+IF(16&gt;=assumptions!$G$73,assumptions!$G$72,0))+assumptions!$G$74/12)+IF(16=E40,D40*assumptions!$G$75,0),0)</f>
        <v/>
      </c>
      <c r="W40" s="17">
        <f>IF(AND(17&gt;=E40,OR(F40="",17&lt;=F40)),(D40*(1+assumptions!$G$76)^1/12*(1+assumptions!$G$70+assumptions!$G$71+IF(17&gt;=assumptions!$G$73,assumptions!$G$72,0))+assumptions!$G$74/12)+IF(17=E40,D40*assumptions!$G$75,0),0)</f>
        <v/>
      </c>
      <c r="X40" s="17">
        <f>IF(AND(18&gt;=E40,OR(F40="",18&lt;=F40)),(D40*(1+assumptions!$G$76)^1/12*(1+assumptions!$G$70+assumptions!$G$71+IF(18&gt;=assumptions!$G$73,assumptions!$G$72,0))+assumptions!$G$74/12)+IF(18=E40,D40*assumptions!$G$75,0),0)</f>
        <v/>
      </c>
      <c r="Y40" s="17">
        <f>IF(AND(19&gt;=E40,OR(F40="",19&lt;=F40)),(D40*(1+assumptions!$G$76)^1/12*(1+assumptions!$G$70+assumptions!$G$71+IF(19&gt;=assumptions!$G$73,assumptions!$G$72,0))+assumptions!$G$74/12)+IF(19=E40,D40*assumptions!$G$75,0),0)</f>
        <v/>
      </c>
      <c r="Z40" s="17">
        <f>IF(AND(20&gt;=E40,OR(F40="",20&lt;=F40)),(D40*(1+assumptions!$G$76)^1/12*(1+assumptions!$G$70+assumptions!$G$71+IF(20&gt;=assumptions!$G$73,assumptions!$G$72,0))+assumptions!$G$74/12)+IF(20=E40,D40*assumptions!$G$75,0),0)</f>
        <v/>
      </c>
      <c r="AA40" s="17">
        <f>IF(AND(21&gt;=E40,OR(F40="",21&lt;=F40)),(D40*(1+assumptions!$G$76)^1/12*(1+assumptions!$G$70+assumptions!$G$71+IF(21&gt;=assumptions!$G$73,assumptions!$G$72,0))+assumptions!$G$74/12)+IF(21=E40,D40*assumptions!$G$75,0),0)</f>
        <v/>
      </c>
      <c r="AB40" s="17">
        <f>IF(AND(22&gt;=E40,OR(F40="",22&lt;=F40)),(D40*(1+assumptions!$G$76)^1/12*(1+assumptions!$G$70+assumptions!$G$71+IF(22&gt;=assumptions!$G$73,assumptions!$G$72,0))+assumptions!$G$74/12)+IF(22=E40,D40*assumptions!$G$75,0),0)</f>
        <v/>
      </c>
      <c r="AC40" s="17">
        <f>IF(AND(23&gt;=E40,OR(F40="",23&lt;=F40)),(D40*(1+assumptions!$G$76)^1/12*(1+assumptions!$G$70+assumptions!$G$71+IF(23&gt;=assumptions!$G$73,assumptions!$G$72,0))+assumptions!$G$74/12)+IF(23=E40,D40*assumptions!$G$75,0),0)</f>
        <v/>
      </c>
      <c r="AD40" s="17">
        <f>IF(AND(24&gt;=E40,OR(F40="",24&lt;=F40)),(D40*(1+assumptions!$G$76)^1/12*(1+assumptions!$G$70+assumptions!$G$71+IF(24&gt;=assumptions!$G$73,assumptions!$G$72,0))+assumptions!$G$74/12)+IF(24=E40,D40*assumptions!$G$75,0),0)</f>
        <v/>
      </c>
      <c r="AE40" s="17">
        <f>IF(AND(25&gt;=E40,OR(F40="",25&lt;=F40)),(D40*(1+assumptions!$G$76)^2/12*(1+assumptions!$G$70+assumptions!$G$71+IF(25&gt;=assumptions!$G$73,assumptions!$G$72,0))+assumptions!$G$74/12)+IF(25=E40,D40*assumptions!$G$75,0),0)</f>
        <v/>
      </c>
      <c r="AF40" s="17">
        <f>IF(AND(26&gt;=E40,OR(F40="",26&lt;=F40)),(D40*(1+assumptions!$G$76)^2/12*(1+assumptions!$G$70+assumptions!$G$71+IF(26&gt;=assumptions!$G$73,assumptions!$G$72,0))+assumptions!$G$74/12)+IF(26=E40,D40*assumptions!$G$75,0),0)</f>
        <v/>
      </c>
      <c r="AG40" s="17">
        <f>IF(AND(27&gt;=E40,OR(F40="",27&lt;=F40)),(D40*(1+assumptions!$G$76)^2/12*(1+assumptions!$G$70+assumptions!$G$71+IF(27&gt;=assumptions!$G$73,assumptions!$G$72,0))+assumptions!$G$74/12)+IF(27=E40,D40*assumptions!$G$75,0),0)</f>
        <v/>
      </c>
      <c r="AH40" s="17">
        <f>IF(AND(28&gt;=E40,OR(F40="",28&lt;=F40)),(D40*(1+assumptions!$G$76)^2/12*(1+assumptions!$G$70+assumptions!$G$71+IF(28&gt;=assumptions!$G$73,assumptions!$G$72,0))+assumptions!$G$74/12)+IF(28=E40,D40*assumptions!$G$75,0),0)</f>
        <v/>
      </c>
      <c r="AI40" s="17">
        <f>IF(AND(29&gt;=E40,OR(F40="",29&lt;=F40)),(D40*(1+assumptions!$G$76)^2/12*(1+assumptions!$G$70+assumptions!$G$71+IF(29&gt;=assumptions!$G$73,assumptions!$G$72,0))+assumptions!$G$74/12)+IF(29=E40,D40*assumptions!$G$75,0),0)</f>
        <v/>
      </c>
      <c r="AJ40" s="17">
        <f>IF(AND(30&gt;=E40,OR(F40="",30&lt;=F40)),(D40*(1+assumptions!$G$76)^2/12*(1+assumptions!$G$70+assumptions!$G$71+IF(30&gt;=assumptions!$G$73,assumptions!$G$72,0))+assumptions!$G$74/12)+IF(30=E40,D40*assumptions!$G$75,0),0)</f>
        <v/>
      </c>
      <c r="AK40" s="17">
        <f>IF(AND(31&gt;=E40,OR(F40="",31&lt;=F40)),(D40*(1+assumptions!$G$76)^2/12*(1+assumptions!$G$70+assumptions!$G$71+IF(31&gt;=assumptions!$G$73,assumptions!$G$72,0))+assumptions!$G$74/12)+IF(31=E40,D40*assumptions!$G$75,0),0)</f>
        <v/>
      </c>
      <c r="AL40" s="17">
        <f>IF(AND(32&gt;=E40,OR(F40="",32&lt;=F40)),(D40*(1+assumptions!$G$76)^2/12*(1+assumptions!$G$70+assumptions!$G$71+IF(32&gt;=assumptions!$G$73,assumptions!$G$72,0))+assumptions!$G$74/12)+IF(32=E40,D40*assumptions!$G$75,0),0)</f>
        <v/>
      </c>
      <c r="AM40" s="17">
        <f>IF(AND(33&gt;=E40,OR(F40="",33&lt;=F40)),(D40*(1+assumptions!$G$76)^2/12*(1+assumptions!$G$70+assumptions!$G$71+IF(33&gt;=assumptions!$G$73,assumptions!$G$72,0))+assumptions!$G$74/12)+IF(33=E40,D40*assumptions!$G$75,0),0)</f>
        <v/>
      </c>
      <c r="AN40" s="17">
        <f>IF(AND(34&gt;=E40,OR(F40="",34&lt;=F40)),(D40*(1+assumptions!$G$76)^2/12*(1+assumptions!$G$70+assumptions!$G$71+IF(34&gt;=assumptions!$G$73,assumptions!$G$72,0))+assumptions!$G$74/12)+IF(34=E40,D40*assumptions!$G$75,0),0)</f>
        <v/>
      </c>
      <c r="AO40" s="17">
        <f>IF(AND(35&gt;=E40,OR(F40="",35&lt;=F40)),(D40*(1+assumptions!$G$76)^2/12*(1+assumptions!$G$70+assumptions!$G$71+IF(35&gt;=assumptions!$G$73,assumptions!$G$72,0))+assumptions!$G$74/12)+IF(35=E40,D40*assumptions!$G$75,0),0)</f>
        <v/>
      </c>
      <c r="AP40" s="17">
        <f>IF(AND(36&gt;=E40,OR(F40="",36&lt;=F40)),(D40*(1+assumptions!$G$76)^2/12*(1+assumptions!$G$70+assumptions!$G$71+IF(36&gt;=assumptions!$G$73,assumptions!$G$72,0))+assumptions!$G$74/12)+IF(36=E40,D40*assumptions!$G$75,0),0)</f>
        <v/>
      </c>
      <c r="AQ40" s="17">
        <f>IF(AND(37&gt;=E40,OR(F40="",37&lt;=F40)),(D40*(1+assumptions!$G$76)^3/12*(1+assumptions!$G$70+assumptions!$G$71+IF(37&gt;=assumptions!$G$73,assumptions!$G$72,0))+assumptions!$G$74/12)+IF(37=E40,D40*assumptions!$G$75,0),0)</f>
        <v/>
      </c>
      <c r="AR40" s="17">
        <f>IF(AND(38&gt;=E40,OR(F40="",38&lt;=F40)),(D40*(1+assumptions!$G$76)^3/12*(1+assumptions!$G$70+assumptions!$G$71+IF(38&gt;=assumptions!$G$73,assumptions!$G$72,0))+assumptions!$G$74/12)+IF(38=E40,D40*assumptions!$G$75,0),0)</f>
        <v/>
      </c>
      <c r="AS40" s="17">
        <f>IF(AND(39&gt;=E40,OR(F40="",39&lt;=F40)),(D40*(1+assumptions!$G$76)^3/12*(1+assumptions!$G$70+assumptions!$G$71+IF(39&gt;=assumptions!$G$73,assumptions!$G$72,0))+assumptions!$G$74/12)+IF(39=E40,D40*assumptions!$G$75,0),0)</f>
        <v/>
      </c>
      <c r="AT40" s="17">
        <f>IF(AND(40&gt;=E40,OR(F40="",40&lt;=F40)),(D40*(1+assumptions!$G$76)^3/12*(1+assumptions!$G$70+assumptions!$G$71+IF(40&gt;=assumptions!$G$73,assumptions!$G$72,0))+assumptions!$G$74/12)+IF(40=E40,D40*assumptions!$G$75,0),0)</f>
        <v/>
      </c>
      <c r="AU40" s="17">
        <f>IF(AND(41&gt;=E40,OR(F40="",41&lt;=F40)),(D40*(1+assumptions!$G$76)^3/12*(1+assumptions!$G$70+assumptions!$G$71+IF(41&gt;=assumptions!$G$73,assumptions!$G$72,0))+assumptions!$G$74/12)+IF(41=E40,D40*assumptions!$G$75,0),0)</f>
        <v/>
      </c>
      <c r="AV40" s="17">
        <f>IF(AND(42&gt;=E40,OR(F40="",42&lt;=F40)),(D40*(1+assumptions!$G$76)^3/12*(1+assumptions!$G$70+assumptions!$G$71+IF(42&gt;=assumptions!$G$73,assumptions!$G$72,0))+assumptions!$G$74/12)+IF(42=E40,D40*assumptions!$G$75,0),0)</f>
        <v/>
      </c>
      <c r="AW40" s="17">
        <f>IF(AND(43&gt;=E40,OR(F40="",43&lt;=F40)),(D40*(1+assumptions!$G$76)^3/12*(1+assumptions!$G$70+assumptions!$G$71+IF(43&gt;=assumptions!$G$73,assumptions!$G$72,0))+assumptions!$G$74/12)+IF(43=E40,D40*assumptions!$G$75,0),0)</f>
        <v/>
      </c>
      <c r="AX40" s="17">
        <f>IF(AND(44&gt;=E40,OR(F40="",44&lt;=F40)),(D40*(1+assumptions!$G$76)^3/12*(1+assumptions!$G$70+assumptions!$G$71+IF(44&gt;=assumptions!$G$73,assumptions!$G$72,0))+assumptions!$G$74/12)+IF(44=E40,D40*assumptions!$G$75,0),0)</f>
        <v/>
      </c>
      <c r="AY40" s="17">
        <f>IF(AND(45&gt;=E40,OR(F40="",45&lt;=F40)),(D40*(1+assumptions!$G$76)^3/12*(1+assumptions!$G$70+assumptions!$G$71+IF(45&gt;=assumptions!$G$73,assumptions!$G$72,0))+assumptions!$G$74/12)+IF(45=E40,D40*assumptions!$G$75,0),0)</f>
        <v/>
      </c>
      <c r="AZ40" s="17">
        <f>IF(AND(46&gt;=E40,OR(F40="",46&lt;=F40)),(D40*(1+assumptions!$G$76)^3/12*(1+assumptions!$G$70+assumptions!$G$71+IF(46&gt;=assumptions!$G$73,assumptions!$G$72,0))+assumptions!$G$74/12)+IF(46=E40,D40*assumptions!$G$75,0),0)</f>
        <v/>
      </c>
      <c r="BA40" s="17">
        <f>IF(AND(47&gt;=E40,OR(F40="",47&lt;=F40)),(D40*(1+assumptions!$G$76)^3/12*(1+assumptions!$G$70+assumptions!$G$71+IF(47&gt;=assumptions!$G$73,assumptions!$G$72,0))+assumptions!$G$74/12)+IF(47=E40,D40*assumptions!$G$75,0),0)</f>
        <v/>
      </c>
      <c r="BB40" s="17">
        <f>IF(AND(48&gt;=E40,OR(F40="",48&lt;=F40)),(D40*(1+assumptions!$G$76)^3/12*(1+assumptions!$G$70+assumptions!$G$71+IF(48&gt;=assumptions!$G$73,assumptions!$G$72,0))+assumptions!$G$74/12)+IF(48=E40,D40*assumptions!$G$75,0),0)</f>
        <v/>
      </c>
      <c r="BC40" s="17">
        <f>IF(AND(49&gt;=E40,OR(F40="",49&lt;=F40)),(D40*(1+assumptions!$G$76)^4/12*(1+assumptions!$G$70+assumptions!$G$71+IF(49&gt;=assumptions!$G$73,assumptions!$G$72,0))+assumptions!$G$74/12)+IF(49=E40,D40*assumptions!$G$75,0),0)</f>
        <v/>
      </c>
      <c r="BD40" s="17">
        <f>IF(AND(50&gt;=E40,OR(F40="",50&lt;=F40)),(D40*(1+assumptions!$G$76)^4/12*(1+assumptions!$G$70+assumptions!$G$71+IF(50&gt;=assumptions!$G$73,assumptions!$G$72,0))+assumptions!$G$74/12)+IF(50=E40,D40*assumptions!$G$75,0),0)</f>
        <v/>
      </c>
      <c r="BE40" s="17">
        <f>IF(AND(51&gt;=E40,OR(F40="",51&lt;=F40)),(D40*(1+assumptions!$G$76)^4/12*(1+assumptions!$G$70+assumptions!$G$71+IF(51&gt;=assumptions!$G$73,assumptions!$G$72,0))+assumptions!$G$74/12)+IF(51=E40,D40*assumptions!$G$75,0),0)</f>
        <v/>
      </c>
      <c r="BF40" s="17">
        <f>IF(AND(52&gt;=E40,OR(F40="",52&lt;=F40)),(D40*(1+assumptions!$G$76)^4/12*(1+assumptions!$G$70+assumptions!$G$71+IF(52&gt;=assumptions!$G$73,assumptions!$G$72,0))+assumptions!$G$74/12)+IF(52=E40,D40*assumptions!$G$75,0),0)</f>
        <v/>
      </c>
      <c r="BG40" s="17">
        <f>IF(AND(53&gt;=E40,OR(F40="",53&lt;=F40)),(D40*(1+assumptions!$G$76)^4/12*(1+assumptions!$G$70+assumptions!$G$71+IF(53&gt;=assumptions!$G$73,assumptions!$G$72,0))+assumptions!$G$74/12)+IF(53=E40,D40*assumptions!$G$75,0),0)</f>
        <v/>
      </c>
      <c r="BH40" s="17">
        <f>IF(AND(54&gt;=E40,OR(F40="",54&lt;=F40)),(D40*(1+assumptions!$G$76)^4/12*(1+assumptions!$G$70+assumptions!$G$71+IF(54&gt;=assumptions!$G$73,assumptions!$G$72,0))+assumptions!$G$74/12)+IF(54=E40,D40*assumptions!$G$75,0),0)</f>
        <v/>
      </c>
      <c r="BI40" s="17">
        <f>IF(AND(55&gt;=E40,OR(F40="",55&lt;=F40)),(D40*(1+assumptions!$G$76)^4/12*(1+assumptions!$G$70+assumptions!$G$71+IF(55&gt;=assumptions!$G$73,assumptions!$G$72,0))+assumptions!$G$74/12)+IF(55=E40,D40*assumptions!$G$75,0),0)</f>
        <v/>
      </c>
      <c r="BJ40" s="17">
        <f>IF(AND(56&gt;=E40,OR(F40="",56&lt;=F40)),(D40*(1+assumptions!$G$76)^4/12*(1+assumptions!$G$70+assumptions!$G$71+IF(56&gt;=assumptions!$G$73,assumptions!$G$72,0))+assumptions!$G$74/12)+IF(56=E40,D40*assumptions!$G$75,0),0)</f>
        <v/>
      </c>
      <c r="BK40" s="17">
        <f>IF(AND(57&gt;=E40,OR(F40="",57&lt;=F40)),(D40*(1+assumptions!$G$76)^4/12*(1+assumptions!$G$70+assumptions!$G$71+IF(57&gt;=assumptions!$G$73,assumptions!$G$72,0))+assumptions!$G$74/12)+IF(57=E40,D40*assumptions!$G$75,0),0)</f>
        <v/>
      </c>
      <c r="BL40" s="17">
        <f>IF(AND(58&gt;=E40,OR(F40="",58&lt;=F40)),(D40*(1+assumptions!$G$76)^4/12*(1+assumptions!$G$70+assumptions!$G$71+IF(58&gt;=assumptions!$G$73,assumptions!$G$72,0))+assumptions!$G$74/12)+IF(58=E40,D40*assumptions!$G$75,0),0)</f>
        <v/>
      </c>
      <c r="BM40" s="17">
        <f>IF(AND(59&gt;=E40,OR(F40="",59&lt;=F40)),(D40*(1+assumptions!$G$76)^4/12*(1+assumptions!$G$70+assumptions!$G$71+IF(59&gt;=assumptions!$G$73,assumptions!$G$72,0))+assumptions!$G$74/12)+IF(59=E40,D40*assumptions!$G$75,0),0)</f>
        <v/>
      </c>
      <c r="BN40" s="17">
        <f>IF(AND(60&gt;=E40,OR(F40="",60&lt;=F40)),(D40*(1+assumptions!$G$76)^4/12*(1+assumptions!$G$70+assumptions!$G$71+IF(60&gt;=assumptions!$G$73,assumptions!$G$72,0))+assumptions!$G$74/12)+IF(60=E40,D40*assumptions!$G$75,0),0)</f>
        <v/>
      </c>
    </row>
    <row r="41">
      <c r="A41" s="5" t="n">
        <v>38</v>
      </c>
      <c r="B41" s="5" t="inlineStr">
        <is>
          <t>Senior PM #3</t>
        </is>
      </c>
      <c r="C41" s="5" t="inlineStr">
        <is>
          <t>product</t>
        </is>
      </c>
      <c r="D41" s="15" t="n">
        <v>90000</v>
      </c>
      <c r="E41" s="32" t="n">
        <v>58</v>
      </c>
      <c r="F41" s="32" t="n"/>
      <c r="G41" s="17">
        <f>IF(AND(1&gt;=E41,OR(F41="",1&lt;=F41)),(D41*(1+assumptions!$G$76)^0/12*(1+assumptions!$G$70+assumptions!$G$71+IF(1&gt;=assumptions!$G$73,assumptions!$G$72,0))+assumptions!$G$74/12)+IF(1=E41,D41*assumptions!$G$75,0),0)</f>
        <v/>
      </c>
      <c r="H41" s="17">
        <f>IF(AND(2&gt;=E41,OR(F41="",2&lt;=F41)),(D41*(1+assumptions!$G$76)^0/12*(1+assumptions!$G$70+assumptions!$G$71+IF(2&gt;=assumptions!$G$73,assumptions!$G$72,0))+assumptions!$G$74/12)+IF(2=E41,D41*assumptions!$G$75,0),0)</f>
        <v/>
      </c>
      <c r="I41" s="17">
        <f>IF(AND(3&gt;=E41,OR(F41="",3&lt;=F41)),(D41*(1+assumptions!$G$76)^0/12*(1+assumptions!$G$70+assumptions!$G$71+IF(3&gt;=assumptions!$G$73,assumptions!$G$72,0))+assumptions!$G$74/12)+IF(3=E41,D41*assumptions!$G$75,0),0)</f>
        <v/>
      </c>
      <c r="J41" s="17">
        <f>IF(AND(4&gt;=E41,OR(F41="",4&lt;=F41)),(D41*(1+assumptions!$G$76)^0/12*(1+assumptions!$G$70+assumptions!$G$71+IF(4&gt;=assumptions!$G$73,assumptions!$G$72,0))+assumptions!$G$74/12)+IF(4=E41,D41*assumptions!$G$75,0),0)</f>
        <v/>
      </c>
      <c r="K41" s="17">
        <f>IF(AND(5&gt;=E41,OR(F41="",5&lt;=F41)),(D41*(1+assumptions!$G$76)^0/12*(1+assumptions!$G$70+assumptions!$G$71+IF(5&gt;=assumptions!$G$73,assumptions!$G$72,0))+assumptions!$G$74/12)+IF(5=E41,D41*assumptions!$G$75,0),0)</f>
        <v/>
      </c>
      <c r="L41" s="17">
        <f>IF(AND(6&gt;=E41,OR(F41="",6&lt;=F41)),(D41*(1+assumptions!$G$76)^0/12*(1+assumptions!$G$70+assumptions!$G$71+IF(6&gt;=assumptions!$G$73,assumptions!$G$72,0))+assumptions!$G$74/12)+IF(6=E41,D41*assumptions!$G$75,0),0)</f>
        <v/>
      </c>
      <c r="M41" s="17">
        <f>IF(AND(7&gt;=E41,OR(F41="",7&lt;=F41)),(D41*(1+assumptions!$G$76)^0/12*(1+assumptions!$G$70+assumptions!$G$71+IF(7&gt;=assumptions!$G$73,assumptions!$G$72,0))+assumptions!$G$74/12)+IF(7=E41,D41*assumptions!$G$75,0),0)</f>
        <v/>
      </c>
      <c r="N41" s="17">
        <f>IF(AND(8&gt;=E41,OR(F41="",8&lt;=F41)),(D41*(1+assumptions!$G$76)^0/12*(1+assumptions!$G$70+assumptions!$G$71+IF(8&gt;=assumptions!$G$73,assumptions!$G$72,0))+assumptions!$G$74/12)+IF(8=E41,D41*assumptions!$G$75,0),0)</f>
        <v/>
      </c>
      <c r="O41" s="17">
        <f>IF(AND(9&gt;=E41,OR(F41="",9&lt;=F41)),(D41*(1+assumptions!$G$76)^0/12*(1+assumptions!$G$70+assumptions!$G$71+IF(9&gt;=assumptions!$G$73,assumptions!$G$72,0))+assumptions!$G$74/12)+IF(9=E41,D41*assumptions!$G$75,0),0)</f>
        <v/>
      </c>
      <c r="P41" s="17">
        <f>IF(AND(10&gt;=E41,OR(F41="",10&lt;=F41)),(D41*(1+assumptions!$G$76)^0/12*(1+assumptions!$G$70+assumptions!$G$71+IF(10&gt;=assumptions!$G$73,assumptions!$G$72,0))+assumptions!$G$74/12)+IF(10=E41,D41*assumptions!$G$75,0),0)</f>
        <v/>
      </c>
      <c r="Q41" s="17">
        <f>IF(AND(11&gt;=E41,OR(F41="",11&lt;=F41)),(D41*(1+assumptions!$G$76)^0/12*(1+assumptions!$G$70+assumptions!$G$71+IF(11&gt;=assumptions!$G$73,assumptions!$G$72,0))+assumptions!$G$74/12)+IF(11=E41,D41*assumptions!$G$75,0),0)</f>
        <v/>
      </c>
      <c r="R41" s="17">
        <f>IF(AND(12&gt;=E41,OR(F41="",12&lt;=F41)),(D41*(1+assumptions!$G$76)^0/12*(1+assumptions!$G$70+assumptions!$G$71+IF(12&gt;=assumptions!$G$73,assumptions!$G$72,0))+assumptions!$G$74/12)+IF(12=E41,D41*assumptions!$G$75,0),0)</f>
        <v/>
      </c>
      <c r="S41" s="17">
        <f>IF(AND(13&gt;=E41,OR(F41="",13&lt;=F41)),(D41*(1+assumptions!$G$76)^1/12*(1+assumptions!$G$70+assumptions!$G$71+IF(13&gt;=assumptions!$G$73,assumptions!$G$72,0))+assumptions!$G$74/12)+IF(13=E41,D41*assumptions!$G$75,0),0)</f>
        <v/>
      </c>
      <c r="T41" s="17">
        <f>IF(AND(14&gt;=E41,OR(F41="",14&lt;=F41)),(D41*(1+assumptions!$G$76)^1/12*(1+assumptions!$G$70+assumptions!$G$71+IF(14&gt;=assumptions!$G$73,assumptions!$G$72,0))+assumptions!$G$74/12)+IF(14=E41,D41*assumptions!$G$75,0),0)</f>
        <v/>
      </c>
      <c r="U41" s="17">
        <f>IF(AND(15&gt;=E41,OR(F41="",15&lt;=F41)),(D41*(1+assumptions!$G$76)^1/12*(1+assumptions!$G$70+assumptions!$G$71+IF(15&gt;=assumptions!$G$73,assumptions!$G$72,0))+assumptions!$G$74/12)+IF(15=E41,D41*assumptions!$G$75,0),0)</f>
        <v/>
      </c>
      <c r="V41" s="17">
        <f>IF(AND(16&gt;=E41,OR(F41="",16&lt;=F41)),(D41*(1+assumptions!$G$76)^1/12*(1+assumptions!$G$70+assumptions!$G$71+IF(16&gt;=assumptions!$G$73,assumptions!$G$72,0))+assumptions!$G$74/12)+IF(16=E41,D41*assumptions!$G$75,0),0)</f>
        <v/>
      </c>
      <c r="W41" s="17">
        <f>IF(AND(17&gt;=E41,OR(F41="",17&lt;=F41)),(D41*(1+assumptions!$G$76)^1/12*(1+assumptions!$G$70+assumptions!$G$71+IF(17&gt;=assumptions!$G$73,assumptions!$G$72,0))+assumptions!$G$74/12)+IF(17=E41,D41*assumptions!$G$75,0),0)</f>
        <v/>
      </c>
      <c r="X41" s="17">
        <f>IF(AND(18&gt;=E41,OR(F41="",18&lt;=F41)),(D41*(1+assumptions!$G$76)^1/12*(1+assumptions!$G$70+assumptions!$G$71+IF(18&gt;=assumptions!$G$73,assumptions!$G$72,0))+assumptions!$G$74/12)+IF(18=E41,D41*assumptions!$G$75,0),0)</f>
        <v/>
      </c>
      <c r="Y41" s="17">
        <f>IF(AND(19&gt;=E41,OR(F41="",19&lt;=F41)),(D41*(1+assumptions!$G$76)^1/12*(1+assumptions!$G$70+assumptions!$G$71+IF(19&gt;=assumptions!$G$73,assumptions!$G$72,0))+assumptions!$G$74/12)+IF(19=E41,D41*assumptions!$G$75,0),0)</f>
        <v/>
      </c>
      <c r="Z41" s="17">
        <f>IF(AND(20&gt;=E41,OR(F41="",20&lt;=F41)),(D41*(1+assumptions!$G$76)^1/12*(1+assumptions!$G$70+assumptions!$G$71+IF(20&gt;=assumptions!$G$73,assumptions!$G$72,0))+assumptions!$G$74/12)+IF(20=E41,D41*assumptions!$G$75,0),0)</f>
        <v/>
      </c>
      <c r="AA41" s="17">
        <f>IF(AND(21&gt;=E41,OR(F41="",21&lt;=F41)),(D41*(1+assumptions!$G$76)^1/12*(1+assumptions!$G$70+assumptions!$G$71+IF(21&gt;=assumptions!$G$73,assumptions!$G$72,0))+assumptions!$G$74/12)+IF(21=E41,D41*assumptions!$G$75,0),0)</f>
        <v/>
      </c>
      <c r="AB41" s="17">
        <f>IF(AND(22&gt;=E41,OR(F41="",22&lt;=F41)),(D41*(1+assumptions!$G$76)^1/12*(1+assumptions!$G$70+assumptions!$G$71+IF(22&gt;=assumptions!$G$73,assumptions!$G$72,0))+assumptions!$G$74/12)+IF(22=E41,D41*assumptions!$G$75,0),0)</f>
        <v/>
      </c>
      <c r="AC41" s="17">
        <f>IF(AND(23&gt;=E41,OR(F41="",23&lt;=F41)),(D41*(1+assumptions!$G$76)^1/12*(1+assumptions!$G$70+assumptions!$G$71+IF(23&gt;=assumptions!$G$73,assumptions!$G$72,0))+assumptions!$G$74/12)+IF(23=E41,D41*assumptions!$G$75,0),0)</f>
        <v/>
      </c>
      <c r="AD41" s="17">
        <f>IF(AND(24&gt;=E41,OR(F41="",24&lt;=F41)),(D41*(1+assumptions!$G$76)^1/12*(1+assumptions!$G$70+assumptions!$G$71+IF(24&gt;=assumptions!$G$73,assumptions!$G$72,0))+assumptions!$G$74/12)+IF(24=E41,D41*assumptions!$G$75,0),0)</f>
        <v/>
      </c>
      <c r="AE41" s="17">
        <f>IF(AND(25&gt;=E41,OR(F41="",25&lt;=F41)),(D41*(1+assumptions!$G$76)^2/12*(1+assumptions!$G$70+assumptions!$G$71+IF(25&gt;=assumptions!$G$73,assumptions!$G$72,0))+assumptions!$G$74/12)+IF(25=E41,D41*assumptions!$G$75,0),0)</f>
        <v/>
      </c>
      <c r="AF41" s="17">
        <f>IF(AND(26&gt;=E41,OR(F41="",26&lt;=F41)),(D41*(1+assumptions!$G$76)^2/12*(1+assumptions!$G$70+assumptions!$G$71+IF(26&gt;=assumptions!$G$73,assumptions!$G$72,0))+assumptions!$G$74/12)+IF(26=E41,D41*assumptions!$G$75,0),0)</f>
        <v/>
      </c>
      <c r="AG41" s="17">
        <f>IF(AND(27&gt;=E41,OR(F41="",27&lt;=F41)),(D41*(1+assumptions!$G$76)^2/12*(1+assumptions!$G$70+assumptions!$G$71+IF(27&gt;=assumptions!$G$73,assumptions!$G$72,0))+assumptions!$G$74/12)+IF(27=E41,D41*assumptions!$G$75,0),0)</f>
        <v/>
      </c>
      <c r="AH41" s="17">
        <f>IF(AND(28&gt;=E41,OR(F41="",28&lt;=F41)),(D41*(1+assumptions!$G$76)^2/12*(1+assumptions!$G$70+assumptions!$G$71+IF(28&gt;=assumptions!$G$73,assumptions!$G$72,0))+assumptions!$G$74/12)+IF(28=E41,D41*assumptions!$G$75,0),0)</f>
        <v/>
      </c>
      <c r="AI41" s="17">
        <f>IF(AND(29&gt;=E41,OR(F41="",29&lt;=F41)),(D41*(1+assumptions!$G$76)^2/12*(1+assumptions!$G$70+assumptions!$G$71+IF(29&gt;=assumptions!$G$73,assumptions!$G$72,0))+assumptions!$G$74/12)+IF(29=E41,D41*assumptions!$G$75,0),0)</f>
        <v/>
      </c>
      <c r="AJ41" s="17">
        <f>IF(AND(30&gt;=E41,OR(F41="",30&lt;=F41)),(D41*(1+assumptions!$G$76)^2/12*(1+assumptions!$G$70+assumptions!$G$71+IF(30&gt;=assumptions!$G$73,assumptions!$G$72,0))+assumptions!$G$74/12)+IF(30=E41,D41*assumptions!$G$75,0),0)</f>
        <v/>
      </c>
      <c r="AK41" s="17">
        <f>IF(AND(31&gt;=E41,OR(F41="",31&lt;=F41)),(D41*(1+assumptions!$G$76)^2/12*(1+assumptions!$G$70+assumptions!$G$71+IF(31&gt;=assumptions!$G$73,assumptions!$G$72,0))+assumptions!$G$74/12)+IF(31=E41,D41*assumptions!$G$75,0),0)</f>
        <v/>
      </c>
      <c r="AL41" s="17">
        <f>IF(AND(32&gt;=E41,OR(F41="",32&lt;=F41)),(D41*(1+assumptions!$G$76)^2/12*(1+assumptions!$G$70+assumptions!$G$71+IF(32&gt;=assumptions!$G$73,assumptions!$G$72,0))+assumptions!$G$74/12)+IF(32=E41,D41*assumptions!$G$75,0),0)</f>
        <v/>
      </c>
      <c r="AM41" s="17">
        <f>IF(AND(33&gt;=E41,OR(F41="",33&lt;=F41)),(D41*(1+assumptions!$G$76)^2/12*(1+assumptions!$G$70+assumptions!$G$71+IF(33&gt;=assumptions!$G$73,assumptions!$G$72,0))+assumptions!$G$74/12)+IF(33=E41,D41*assumptions!$G$75,0),0)</f>
        <v/>
      </c>
      <c r="AN41" s="17">
        <f>IF(AND(34&gt;=E41,OR(F41="",34&lt;=F41)),(D41*(1+assumptions!$G$76)^2/12*(1+assumptions!$G$70+assumptions!$G$71+IF(34&gt;=assumptions!$G$73,assumptions!$G$72,0))+assumptions!$G$74/12)+IF(34=E41,D41*assumptions!$G$75,0),0)</f>
        <v/>
      </c>
      <c r="AO41" s="17">
        <f>IF(AND(35&gt;=E41,OR(F41="",35&lt;=F41)),(D41*(1+assumptions!$G$76)^2/12*(1+assumptions!$G$70+assumptions!$G$71+IF(35&gt;=assumptions!$G$73,assumptions!$G$72,0))+assumptions!$G$74/12)+IF(35=E41,D41*assumptions!$G$75,0),0)</f>
        <v/>
      </c>
      <c r="AP41" s="17">
        <f>IF(AND(36&gt;=E41,OR(F41="",36&lt;=F41)),(D41*(1+assumptions!$G$76)^2/12*(1+assumptions!$G$70+assumptions!$G$71+IF(36&gt;=assumptions!$G$73,assumptions!$G$72,0))+assumptions!$G$74/12)+IF(36=E41,D41*assumptions!$G$75,0),0)</f>
        <v/>
      </c>
      <c r="AQ41" s="17">
        <f>IF(AND(37&gt;=E41,OR(F41="",37&lt;=F41)),(D41*(1+assumptions!$G$76)^3/12*(1+assumptions!$G$70+assumptions!$G$71+IF(37&gt;=assumptions!$G$73,assumptions!$G$72,0))+assumptions!$G$74/12)+IF(37=E41,D41*assumptions!$G$75,0),0)</f>
        <v/>
      </c>
      <c r="AR41" s="17">
        <f>IF(AND(38&gt;=E41,OR(F41="",38&lt;=F41)),(D41*(1+assumptions!$G$76)^3/12*(1+assumptions!$G$70+assumptions!$G$71+IF(38&gt;=assumptions!$G$73,assumptions!$G$72,0))+assumptions!$G$74/12)+IF(38=E41,D41*assumptions!$G$75,0),0)</f>
        <v/>
      </c>
      <c r="AS41" s="17">
        <f>IF(AND(39&gt;=E41,OR(F41="",39&lt;=F41)),(D41*(1+assumptions!$G$76)^3/12*(1+assumptions!$G$70+assumptions!$G$71+IF(39&gt;=assumptions!$G$73,assumptions!$G$72,0))+assumptions!$G$74/12)+IF(39=E41,D41*assumptions!$G$75,0),0)</f>
        <v/>
      </c>
      <c r="AT41" s="17">
        <f>IF(AND(40&gt;=E41,OR(F41="",40&lt;=F41)),(D41*(1+assumptions!$G$76)^3/12*(1+assumptions!$G$70+assumptions!$G$71+IF(40&gt;=assumptions!$G$73,assumptions!$G$72,0))+assumptions!$G$74/12)+IF(40=E41,D41*assumptions!$G$75,0),0)</f>
        <v/>
      </c>
      <c r="AU41" s="17">
        <f>IF(AND(41&gt;=E41,OR(F41="",41&lt;=F41)),(D41*(1+assumptions!$G$76)^3/12*(1+assumptions!$G$70+assumptions!$G$71+IF(41&gt;=assumptions!$G$73,assumptions!$G$72,0))+assumptions!$G$74/12)+IF(41=E41,D41*assumptions!$G$75,0),0)</f>
        <v/>
      </c>
      <c r="AV41" s="17">
        <f>IF(AND(42&gt;=E41,OR(F41="",42&lt;=F41)),(D41*(1+assumptions!$G$76)^3/12*(1+assumptions!$G$70+assumptions!$G$71+IF(42&gt;=assumptions!$G$73,assumptions!$G$72,0))+assumptions!$G$74/12)+IF(42=E41,D41*assumptions!$G$75,0),0)</f>
        <v/>
      </c>
      <c r="AW41" s="17">
        <f>IF(AND(43&gt;=E41,OR(F41="",43&lt;=F41)),(D41*(1+assumptions!$G$76)^3/12*(1+assumptions!$G$70+assumptions!$G$71+IF(43&gt;=assumptions!$G$73,assumptions!$G$72,0))+assumptions!$G$74/12)+IF(43=E41,D41*assumptions!$G$75,0),0)</f>
        <v/>
      </c>
      <c r="AX41" s="17">
        <f>IF(AND(44&gt;=E41,OR(F41="",44&lt;=F41)),(D41*(1+assumptions!$G$76)^3/12*(1+assumptions!$G$70+assumptions!$G$71+IF(44&gt;=assumptions!$G$73,assumptions!$G$72,0))+assumptions!$G$74/12)+IF(44=E41,D41*assumptions!$G$75,0),0)</f>
        <v/>
      </c>
      <c r="AY41" s="17">
        <f>IF(AND(45&gt;=E41,OR(F41="",45&lt;=F41)),(D41*(1+assumptions!$G$76)^3/12*(1+assumptions!$G$70+assumptions!$G$71+IF(45&gt;=assumptions!$G$73,assumptions!$G$72,0))+assumptions!$G$74/12)+IF(45=E41,D41*assumptions!$G$75,0),0)</f>
        <v/>
      </c>
      <c r="AZ41" s="17">
        <f>IF(AND(46&gt;=E41,OR(F41="",46&lt;=F41)),(D41*(1+assumptions!$G$76)^3/12*(1+assumptions!$G$70+assumptions!$G$71+IF(46&gt;=assumptions!$G$73,assumptions!$G$72,0))+assumptions!$G$74/12)+IF(46=E41,D41*assumptions!$G$75,0),0)</f>
        <v/>
      </c>
      <c r="BA41" s="17">
        <f>IF(AND(47&gt;=E41,OR(F41="",47&lt;=F41)),(D41*(1+assumptions!$G$76)^3/12*(1+assumptions!$G$70+assumptions!$G$71+IF(47&gt;=assumptions!$G$73,assumptions!$G$72,0))+assumptions!$G$74/12)+IF(47=E41,D41*assumptions!$G$75,0),0)</f>
        <v/>
      </c>
      <c r="BB41" s="17">
        <f>IF(AND(48&gt;=E41,OR(F41="",48&lt;=F41)),(D41*(1+assumptions!$G$76)^3/12*(1+assumptions!$G$70+assumptions!$G$71+IF(48&gt;=assumptions!$G$73,assumptions!$G$72,0))+assumptions!$G$74/12)+IF(48=E41,D41*assumptions!$G$75,0),0)</f>
        <v/>
      </c>
      <c r="BC41" s="17">
        <f>IF(AND(49&gt;=E41,OR(F41="",49&lt;=F41)),(D41*(1+assumptions!$G$76)^4/12*(1+assumptions!$G$70+assumptions!$G$71+IF(49&gt;=assumptions!$G$73,assumptions!$G$72,0))+assumptions!$G$74/12)+IF(49=E41,D41*assumptions!$G$75,0),0)</f>
        <v/>
      </c>
      <c r="BD41" s="17">
        <f>IF(AND(50&gt;=E41,OR(F41="",50&lt;=F41)),(D41*(1+assumptions!$G$76)^4/12*(1+assumptions!$G$70+assumptions!$G$71+IF(50&gt;=assumptions!$G$73,assumptions!$G$72,0))+assumptions!$G$74/12)+IF(50=E41,D41*assumptions!$G$75,0),0)</f>
        <v/>
      </c>
      <c r="BE41" s="17">
        <f>IF(AND(51&gt;=E41,OR(F41="",51&lt;=F41)),(D41*(1+assumptions!$G$76)^4/12*(1+assumptions!$G$70+assumptions!$G$71+IF(51&gt;=assumptions!$G$73,assumptions!$G$72,0))+assumptions!$G$74/12)+IF(51=E41,D41*assumptions!$G$75,0),0)</f>
        <v/>
      </c>
      <c r="BF41" s="17">
        <f>IF(AND(52&gt;=E41,OR(F41="",52&lt;=F41)),(D41*(1+assumptions!$G$76)^4/12*(1+assumptions!$G$70+assumptions!$G$71+IF(52&gt;=assumptions!$G$73,assumptions!$G$72,0))+assumptions!$G$74/12)+IF(52=E41,D41*assumptions!$G$75,0),0)</f>
        <v/>
      </c>
      <c r="BG41" s="17">
        <f>IF(AND(53&gt;=E41,OR(F41="",53&lt;=F41)),(D41*(1+assumptions!$G$76)^4/12*(1+assumptions!$G$70+assumptions!$G$71+IF(53&gt;=assumptions!$G$73,assumptions!$G$72,0))+assumptions!$G$74/12)+IF(53=E41,D41*assumptions!$G$75,0),0)</f>
        <v/>
      </c>
      <c r="BH41" s="17">
        <f>IF(AND(54&gt;=E41,OR(F41="",54&lt;=F41)),(D41*(1+assumptions!$G$76)^4/12*(1+assumptions!$G$70+assumptions!$G$71+IF(54&gt;=assumptions!$G$73,assumptions!$G$72,0))+assumptions!$G$74/12)+IF(54=E41,D41*assumptions!$G$75,0),0)</f>
        <v/>
      </c>
      <c r="BI41" s="17">
        <f>IF(AND(55&gt;=E41,OR(F41="",55&lt;=F41)),(D41*(1+assumptions!$G$76)^4/12*(1+assumptions!$G$70+assumptions!$G$71+IF(55&gt;=assumptions!$G$73,assumptions!$G$72,0))+assumptions!$G$74/12)+IF(55=E41,D41*assumptions!$G$75,0),0)</f>
        <v/>
      </c>
      <c r="BJ41" s="17">
        <f>IF(AND(56&gt;=E41,OR(F41="",56&lt;=F41)),(D41*(1+assumptions!$G$76)^4/12*(1+assumptions!$G$70+assumptions!$G$71+IF(56&gt;=assumptions!$G$73,assumptions!$G$72,0))+assumptions!$G$74/12)+IF(56=E41,D41*assumptions!$G$75,0),0)</f>
        <v/>
      </c>
      <c r="BK41" s="17">
        <f>IF(AND(57&gt;=E41,OR(F41="",57&lt;=F41)),(D41*(1+assumptions!$G$76)^4/12*(1+assumptions!$G$70+assumptions!$G$71+IF(57&gt;=assumptions!$G$73,assumptions!$G$72,0))+assumptions!$G$74/12)+IF(57=E41,D41*assumptions!$G$75,0),0)</f>
        <v/>
      </c>
      <c r="BL41" s="17">
        <f>IF(AND(58&gt;=E41,OR(F41="",58&lt;=F41)),(D41*(1+assumptions!$G$76)^4/12*(1+assumptions!$G$70+assumptions!$G$71+IF(58&gt;=assumptions!$G$73,assumptions!$G$72,0))+assumptions!$G$74/12)+IF(58=E41,D41*assumptions!$G$75,0),0)</f>
        <v/>
      </c>
      <c r="BM41" s="17">
        <f>IF(AND(59&gt;=E41,OR(F41="",59&lt;=F41)),(D41*(1+assumptions!$G$76)^4/12*(1+assumptions!$G$70+assumptions!$G$71+IF(59&gt;=assumptions!$G$73,assumptions!$G$72,0))+assumptions!$G$74/12)+IF(59=E41,D41*assumptions!$G$75,0),0)</f>
        <v/>
      </c>
      <c r="BN41" s="17">
        <f>IF(AND(60&gt;=E41,OR(F41="",60&lt;=F41)),(D41*(1+assumptions!$G$76)^4/12*(1+assumptions!$G$70+assumptions!$G$71+IF(60&gt;=assumptions!$G$73,assumptions!$G$72,0))+assumptions!$G$74/12)+IF(60=E41,D41*assumptions!$G$75,0),0)</f>
        <v/>
      </c>
    </row>
    <row r="42">
      <c r="A42" s="5" t="n">
        <v>39</v>
      </c>
      <c r="B42" s="5" t="inlineStr">
        <is>
          <t>Head of International</t>
        </is>
      </c>
      <c r="C42" s="5" t="inlineStr">
        <is>
          <t>exec</t>
        </is>
      </c>
      <c r="D42" s="15" t="n">
        <v>110000</v>
      </c>
      <c r="E42" s="32" t="n">
        <v>60</v>
      </c>
      <c r="F42" s="32" t="n"/>
      <c r="G42" s="17">
        <f>IF(AND(1&gt;=E42,OR(F42="",1&lt;=F42)),(D42*(1+assumptions!$G$76)^0/12*(1+assumptions!$G$70+assumptions!$G$71+IF(1&gt;=assumptions!$G$73,assumptions!$G$72,0))+assumptions!$G$74/12)+IF(1=E42,D42*assumptions!$G$75,0),0)</f>
        <v/>
      </c>
      <c r="H42" s="17">
        <f>IF(AND(2&gt;=E42,OR(F42="",2&lt;=F42)),(D42*(1+assumptions!$G$76)^0/12*(1+assumptions!$G$70+assumptions!$G$71+IF(2&gt;=assumptions!$G$73,assumptions!$G$72,0))+assumptions!$G$74/12)+IF(2=E42,D42*assumptions!$G$75,0),0)</f>
        <v/>
      </c>
      <c r="I42" s="17">
        <f>IF(AND(3&gt;=E42,OR(F42="",3&lt;=F42)),(D42*(1+assumptions!$G$76)^0/12*(1+assumptions!$G$70+assumptions!$G$71+IF(3&gt;=assumptions!$G$73,assumptions!$G$72,0))+assumptions!$G$74/12)+IF(3=E42,D42*assumptions!$G$75,0),0)</f>
        <v/>
      </c>
      <c r="J42" s="17">
        <f>IF(AND(4&gt;=E42,OR(F42="",4&lt;=F42)),(D42*(1+assumptions!$G$76)^0/12*(1+assumptions!$G$70+assumptions!$G$71+IF(4&gt;=assumptions!$G$73,assumptions!$G$72,0))+assumptions!$G$74/12)+IF(4=E42,D42*assumptions!$G$75,0),0)</f>
        <v/>
      </c>
      <c r="K42" s="17">
        <f>IF(AND(5&gt;=E42,OR(F42="",5&lt;=F42)),(D42*(1+assumptions!$G$76)^0/12*(1+assumptions!$G$70+assumptions!$G$71+IF(5&gt;=assumptions!$G$73,assumptions!$G$72,0))+assumptions!$G$74/12)+IF(5=E42,D42*assumptions!$G$75,0),0)</f>
        <v/>
      </c>
      <c r="L42" s="17">
        <f>IF(AND(6&gt;=E42,OR(F42="",6&lt;=F42)),(D42*(1+assumptions!$G$76)^0/12*(1+assumptions!$G$70+assumptions!$G$71+IF(6&gt;=assumptions!$G$73,assumptions!$G$72,0))+assumptions!$G$74/12)+IF(6=E42,D42*assumptions!$G$75,0),0)</f>
        <v/>
      </c>
      <c r="M42" s="17">
        <f>IF(AND(7&gt;=E42,OR(F42="",7&lt;=F42)),(D42*(1+assumptions!$G$76)^0/12*(1+assumptions!$G$70+assumptions!$G$71+IF(7&gt;=assumptions!$G$73,assumptions!$G$72,0))+assumptions!$G$74/12)+IF(7=E42,D42*assumptions!$G$75,0),0)</f>
        <v/>
      </c>
      <c r="N42" s="17">
        <f>IF(AND(8&gt;=E42,OR(F42="",8&lt;=F42)),(D42*(1+assumptions!$G$76)^0/12*(1+assumptions!$G$70+assumptions!$G$71+IF(8&gt;=assumptions!$G$73,assumptions!$G$72,0))+assumptions!$G$74/12)+IF(8=E42,D42*assumptions!$G$75,0),0)</f>
        <v/>
      </c>
      <c r="O42" s="17">
        <f>IF(AND(9&gt;=E42,OR(F42="",9&lt;=F42)),(D42*(1+assumptions!$G$76)^0/12*(1+assumptions!$G$70+assumptions!$G$71+IF(9&gt;=assumptions!$G$73,assumptions!$G$72,0))+assumptions!$G$74/12)+IF(9=E42,D42*assumptions!$G$75,0),0)</f>
        <v/>
      </c>
      <c r="P42" s="17">
        <f>IF(AND(10&gt;=E42,OR(F42="",10&lt;=F42)),(D42*(1+assumptions!$G$76)^0/12*(1+assumptions!$G$70+assumptions!$G$71+IF(10&gt;=assumptions!$G$73,assumptions!$G$72,0))+assumptions!$G$74/12)+IF(10=E42,D42*assumptions!$G$75,0),0)</f>
        <v/>
      </c>
      <c r="Q42" s="17">
        <f>IF(AND(11&gt;=E42,OR(F42="",11&lt;=F42)),(D42*(1+assumptions!$G$76)^0/12*(1+assumptions!$G$70+assumptions!$G$71+IF(11&gt;=assumptions!$G$73,assumptions!$G$72,0))+assumptions!$G$74/12)+IF(11=E42,D42*assumptions!$G$75,0),0)</f>
        <v/>
      </c>
      <c r="R42" s="17">
        <f>IF(AND(12&gt;=E42,OR(F42="",12&lt;=F42)),(D42*(1+assumptions!$G$76)^0/12*(1+assumptions!$G$70+assumptions!$G$71+IF(12&gt;=assumptions!$G$73,assumptions!$G$72,0))+assumptions!$G$74/12)+IF(12=E42,D42*assumptions!$G$75,0),0)</f>
        <v/>
      </c>
      <c r="S42" s="17">
        <f>IF(AND(13&gt;=E42,OR(F42="",13&lt;=F42)),(D42*(1+assumptions!$G$76)^1/12*(1+assumptions!$G$70+assumptions!$G$71+IF(13&gt;=assumptions!$G$73,assumptions!$G$72,0))+assumptions!$G$74/12)+IF(13=E42,D42*assumptions!$G$75,0),0)</f>
        <v/>
      </c>
      <c r="T42" s="17">
        <f>IF(AND(14&gt;=E42,OR(F42="",14&lt;=F42)),(D42*(1+assumptions!$G$76)^1/12*(1+assumptions!$G$70+assumptions!$G$71+IF(14&gt;=assumptions!$G$73,assumptions!$G$72,0))+assumptions!$G$74/12)+IF(14=E42,D42*assumptions!$G$75,0),0)</f>
        <v/>
      </c>
      <c r="U42" s="17">
        <f>IF(AND(15&gt;=E42,OR(F42="",15&lt;=F42)),(D42*(1+assumptions!$G$76)^1/12*(1+assumptions!$G$70+assumptions!$G$71+IF(15&gt;=assumptions!$G$73,assumptions!$G$72,0))+assumptions!$G$74/12)+IF(15=E42,D42*assumptions!$G$75,0),0)</f>
        <v/>
      </c>
      <c r="V42" s="17">
        <f>IF(AND(16&gt;=E42,OR(F42="",16&lt;=F42)),(D42*(1+assumptions!$G$76)^1/12*(1+assumptions!$G$70+assumptions!$G$71+IF(16&gt;=assumptions!$G$73,assumptions!$G$72,0))+assumptions!$G$74/12)+IF(16=E42,D42*assumptions!$G$75,0),0)</f>
        <v/>
      </c>
      <c r="W42" s="17">
        <f>IF(AND(17&gt;=E42,OR(F42="",17&lt;=F42)),(D42*(1+assumptions!$G$76)^1/12*(1+assumptions!$G$70+assumptions!$G$71+IF(17&gt;=assumptions!$G$73,assumptions!$G$72,0))+assumptions!$G$74/12)+IF(17=E42,D42*assumptions!$G$75,0),0)</f>
        <v/>
      </c>
      <c r="X42" s="17">
        <f>IF(AND(18&gt;=E42,OR(F42="",18&lt;=F42)),(D42*(1+assumptions!$G$76)^1/12*(1+assumptions!$G$70+assumptions!$G$71+IF(18&gt;=assumptions!$G$73,assumptions!$G$72,0))+assumptions!$G$74/12)+IF(18=E42,D42*assumptions!$G$75,0),0)</f>
        <v/>
      </c>
      <c r="Y42" s="17">
        <f>IF(AND(19&gt;=E42,OR(F42="",19&lt;=F42)),(D42*(1+assumptions!$G$76)^1/12*(1+assumptions!$G$70+assumptions!$G$71+IF(19&gt;=assumptions!$G$73,assumptions!$G$72,0))+assumptions!$G$74/12)+IF(19=E42,D42*assumptions!$G$75,0),0)</f>
        <v/>
      </c>
      <c r="Z42" s="17">
        <f>IF(AND(20&gt;=E42,OR(F42="",20&lt;=F42)),(D42*(1+assumptions!$G$76)^1/12*(1+assumptions!$G$70+assumptions!$G$71+IF(20&gt;=assumptions!$G$73,assumptions!$G$72,0))+assumptions!$G$74/12)+IF(20=E42,D42*assumptions!$G$75,0),0)</f>
        <v/>
      </c>
      <c r="AA42" s="17">
        <f>IF(AND(21&gt;=E42,OR(F42="",21&lt;=F42)),(D42*(1+assumptions!$G$76)^1/12*(1+assumptions!$G$70+assumptions!$G$71+IF(21&gt;=assumptions!$G$73,assumptions!$G$72,0))+assumptions!$G$74/12)+IF(21=E42,D42*assumptions!$G$75,0),0)</f>
        <v/>
      </c>
      <c r="AB42" s="17">
        <f>IF(AND(22&gt;=E42,OR(F42="",22&lt;=F42)),(D42*(1+assumptions!$G$76)^1/12*(1+assumptions!$G$70+assumptions!$G$71+IF(22&gt;=assumptions!$G$73,assumptions!$G$72,0))+assumptions!$G$74/12)+IF(22=E42,D42*assumptions!$G$75,0),0)</f>
        <v/>
      </c>
      <c r="AC42" s="17">
        <f>IF(AND(23&gt;=E42,OR(F42="",23&lt;=F42)),(D42*(1+assumptions!$G$76)^1/12*(1+assumptions!$G$70+assumptions!$G$71+IF(23&gt;=assumptions!$G$73,assumptions!$G$72,0))+assumptions!$G$74/12)+IF(23=E42,D42*assumptions!$G$75,0),0)</f>
        <v/>
      </c>
      <c r="AD42" s="17">
        <f>IF(AND(24&gt;=E42,OR(F42="",24&lt;=F42)),(D42*(1+assumptions!$G$76)^1/12*(1+assumptions!$G$70+assumptions!$G$71+IF(24&gt;=assumptions!$G$73,assumptions!$G$72,0))+assumptions!$G$74/12)+IF(24=E42,D42*assumptions!$G$75,0),0)</f>
        <v/>
      </c>
      <c r="AE42" s="17">
        <f>IF(AND(25&gt;=E42,OR(F42="",25&lt;=F42)),(D42*(1+assumptions!$G$76)^2/12*(1+assumptions!$G$70+assumptions!$G$71+IF(25&gt;=assumptions!$G$73,assumptions!$G$72,0))+assumptions!$G$74/12)+IF(25=E42,D42*assumptions!$G$75,0),0)</f>
        <v/>
      </c>
      <c r="AF42" s="17">
        <f>IF(AND(26&gt;=E42,OR(F42="",26&lt;=F42)),(D42*(1+assumptions!$G$76)^2/12*(1+assumptions!$G$70+assumptions!$G$71+IF(26&gt;=assumptions!$G$73,assumptions!$G$72,0))+assumptions!$G$74/12)+IF(26=E42,D42*assumptions!$G$75,0),0)</f>
        <v/>
      </c>
      <c r="AG42" s="17">
        <f>IF(AND(27&gt;=E42,OR(F42="",27&lt;=F42)),(D42*(1+assumptions!$G$76)^2/12*(1+assumptions!$G$70+assumptions!$G$71+IF(27&gt;=assumptions!$G$73,assumptions!$G$72,0))+assumptions!$G$74/12)+IF(27=E42,D42*assumptions!$G$75,0),0)</f>
        <v/>
      </c>
      <c r="AH42" s="17">
        <f>IF(AND(28&gt;=E42,OR(F42="",28&lt;=F42)),(D42*(1+assumptions!$G$76)^2/12*(1+assumptions!$G$70+assumptions!$G$71+IF(28&gt;=assumptions!$G$73,assumptions!$G$72,0))+assumptions!$G$74/12)+IF(28=E42,D42*assumptions!$G$75,0),0)</f>
        <v/>
      </c>
      <c r="AI42" s="17">
        <f>IF(AND(29&gt;=E42,OR(F42="",29&lt;=F42)),(D42*(1+assumptions!$G$76)^2/12*(1+assumptions!$G$70+assumptions!$G$71+IF(29&gt;=assumptions!$G$73,assumptions!$G$72,0))+assumptions!$G$74/12)+IF(29=E42,D42*assumptions!$G$75,0),0)</f>
        <v/>
      </c>
      <c r="AJ42" s="17">
        <f>IF(AND(30&gt;=E42,OR(F42="",30&lt;=F42)),(D42*(1+assumptions!$G$76)^2/12*(1+assumptions!$G$70+assumptions!$G$71+IF(30&gt;=assumptions!$G$73,assumptions!$G$72,0))+assumptions!$G$74/12)+IF(30=E42,D42*assumptions!$G$75,0),0)</f>
        <v/>
      </c>
      <c r="AK42" s="17">
        <f>IF(AND(31&gt;=E42,OR(F42="",31&lt;=F42)),(D42*(1+assumptions!$G$76)^2/12*(1+assumptions!$G$70+assumptions!$G$71+IF(31&gt;=assumptions!$G$73,assumptions!$G$72,0))+assumptions!$G$74/12)+IF(31=E42,D42*assumptions!$G$75,0),0)</f>
        <v/>
      </c>
      <c r="AL42" s="17">
        <f>IF(AND(32&gt;=E42,OR(F42="",32&lt;=F42)),(D42*(1+assumptions!$G$76)^2/12*(1+assumptions!$G$70+assumptions!$G$71+IF(32&gt;=assumptions!$G$73,assumptions!$G$72,0))+assumptions!$G$74/12)+IF(32=E42,D42*assumptions!$G$75,0),0)</f>
        <v/>
      </c>
      <c r="AM42" s="17">
        <f>IF(AND(33&gt;=E42,OR(F42="",33&lt;=F42)),(D42*(1+assumptions!$G$76)^2/12*(1+assumptions!$G$70+assumptions!$G$71+IF(33&gt;=assumptions!$G$73,assumptions!$G$72,0))+assumptions!$G$74/12)+IF(33=E42,D42*assumptions!$G$75,0),0)</f>
        <v/>
      </c>
      <c r="AN42" s="17">
        <f>IF(AND(34&gt;=E42,OR(F42="",34&lt;=F42)),(D42*(1+assumptions!$G$76)^2/12*(1+assumptions!$G$70+assumptions!$G$71+IF(34&gt;=assumptions!$G$73,assumptions!$G$72,0))+assumptions!$G$74/12)+IF(34=E42,D42*assumptions!$G$75,0),0)</f>
        <v/>
      </c>
      <c r="AO42" s="17">
        <f>IF(AND(35&gt;=E42,OR(F42="",35&lt;=F42)),(D42*(1+assumptions!$G$76)^2/12*(1+assumptions!$G$70+assumptions!$G$71+IF(35&gt;=assumptions!$G$73,assumptions!$G$72,0))+assumptions!$G$74/12)+IF(35=E42,D42*assumptions!$G$75,0),0)</f>
        <v/>
      </c>
      <c r="AP42" s="17">
        <f>IF(AND(36&gt;=E42,OR(F42="",36&lt;=F42)),(D42*(1+assumptions!$G$76)^2/12*(1+assumptions!$G$70+assumptions!$G$71+IF(36&gt;=assumptions!$G$73,assumptions!$G$72,0))+assumptions!$G$74/12)+IF(36=E42,D42*assumptions!$G$75,0),0)</f>
        <v/>
      </c>
      <c r="AQ42" s="17">
        <f>IF(AND(37&gt;=E42,OR(F42="",37&lt;=F42)),(D42*(1+assumptions!$G$76)^3/12*(1+assumptions!$G$70+assumptions!$G$71+IF(37&gt;=assumptions!$G$73,assumptions!$G$72,0))+assumptions!$G$74/12)+IF(37=E42,D42*assumptions!$G$75,0),0)</f>
        <v/>
      </c>
      <c r="AR42" s="17">
        <f>IF(AND(38&gt;=E42,OR(F42="",38&lt;=F42)),(D42*(1+assumptions!$G$76)^3/12*(1+assumptions!$G$70+assumptions!$G$71+IF(38&gt;=assumptions!$G$73,assumptions!$G$72,0))+assumptions!$G$74/12)+IF(38=E42,D42*assumptions!$G$75,0),0)</f>
        <v/>
      </c>
      <c r="AS42" s="17">
        <f>IF(AND(39&gt;=E42,OR(F42="",39&lt;=F42)),(D42*(1+assumptions!$G$76)^3/12*(1+assumptions!$G$70+assumptions!$G$71+IF(39&gt;=assumptions!$G$73,assumptions!$G$72,0))+assumptions!$G$74/12)+IF(39=E42,D42*assumptions!$G$75,0),0)</f>
        <v/>
      </c>
      <c r="AT42" s="17">
        <f>IF(AND(40&gt;=E42,OR(F42="",40&lt;=F42)),(D42*(1+assumptions!$G$76)^3/12*(1+assumptions!$G$70+assumptions!$G$71+IF(40&gt;=assumptions!$G$73,assumptions!$G$72,0))+assumptions!$G$74/12)+IF(40=E42,D42*assumptions!$G$75,0),0)</f>
        <v/>
      </c>
      <c r="AU42" s="17">
        <f>IF(AND(41&gt;=E42,OR(F42="",41&lt;=F42)),(D42*(1+assumptions!$G$76)^3/12*(1+assumptions!$G$70+assumptions!$G$71+IF(41&gt;=assumptions!$G$73,assumptions!$G$72,0))+assumptions!$G$74/12)+IF(41=E42,D42*assumptions!$G$75,0),0)</f>
        <v/>
      </c>
      <c r="AV42" s="17">
        <f>IF(AND(42&gt;=E42,OR(F42="",42&lt;=F42)),(D42*(1+assumptions!$G$76)^3/12*(1+assumptions!$G$70+assumptions!$G$71+IF(42&gt;=assumptions!$G$73,assumptions!$G$72,0))+assumptions!$G$74/12)+IF(42=E42,D42*assumptions!$G$75,0),0)</f>
        <v/>
      </c>
      <c r="AW42" s="17">
        <f>IF(AND(43&gt;=E42,OR(F42="",43&lt;=F42)),(D42*(1+assumptions!$G$76)^3/12*(1+assumptions!$G$70+assumptions!$G$71+IF(43&gt;=assumptions!$G$73,assumptions!$G$72,0))+assumptions!$G$74/12)+IF(43=E42,D42*assumptions!$G$75,0),0)</f>
        <v/>
      </c>
      <c r="AX42" s="17">
        <f>IF(AND(44&gt;=E42,OR(F42="",44&lt;=F42)),(D42*(1+assumptions!$G$76)^3/12*(1+assumptions!$G$70+assumptions!$G$71+IF(44&gt;=assumptions!$G$73,assumptions!$G$72,0))+assumptions!$G$74/12)+IF(44=E42,D42*assumptions!$G$75,0),0)</f>
        <v/>
      </c>
      <c r="AY42" s="17">
        <f>IF(AND(45&gt;=E42,OR(F42="",45&lt;=F42)),(D42*(1+assumptions!$G$76)^3/12*(1+assumptions!$G$70+assumptions!$G$71+IF(45&gt;=assumptions!$G$73,assumptions!$G$72,0))+assumptions!$G$74/12)+IF(45=E42,D42*assumptions!$G$75,0),0)</f>
        <v/>
      </c>
      <c r="AZ42" s="17">
        <f>IF(AND(46&gt;=E42,OR(F42="",46&lt;=F42)),(D42*(1+assumptions!$G$76)^3/12*(1+assumptions!$G$70+assumptions!$G$71+IF(46&gt;=assumptions!$G$73,assumptions!$G$72,0))+assumptions!$G$74/12)+IF(46=E42,D42*assumptions!$G$75,0),0)</f>
        <v/>
      </c>
      <c r="BA42" s="17">
        <f>IF(AND(47&gt;=E42,OR(F42="",47&lt;=F42)),(D42*(1+assumptions!$G$76)^3/12*(1+assumptions!$G$70+assumptions!$G$71+IF(47&gt;=assumptions!$G$73,assumptions!$G$72,0))+assumptions!$G$74/12)+IF(47=E42,D42*assumptions!$G$75,0),0)</f>
        <v/>
      </c>
      <c r="BB42" s="17">
        <f>IF(AND(48&gt;=E42,OR(F42="",48&lt;=F42)),(D42*(1+assumptions!$G$76)^3/12*(1+assumptions!$G$70+assumptions!$G$71+IF(48&gt;=assumptions!$G$73,assumptions!$G$72,0))+assumptions!$G$74/12)+IF(48=E42,D42*assumptions!$G$75,0),0)</f>
        <v/>
      </c>
      <c r="BC42" s="17">
        <f>IF(AND(49&gt;=E42,OR(F42="",49&lt;=F42)),(D42*(1+assumptions!$G$76)^4/12*(1+assumptions!$G$70+assumptions!$G$71+IF(49&gt;=assumptions!$G$73,assumptions!$G$72,0))+assumptions!$G$74/12)+IF(49=E42,D42*assumptions!$G$75,0),0)</f>
        <v/>
      </c>
      <c r="BD42" s="17">
        <f>IF(AND(50&gt;=E42,OR(F42="",50&lt;=F42)),(D42*(1+assumptions!$G$76)^4/12*(1+assumptions!$G$70+assumptions!$G$71+IF(50&gt;=assumptions!$G$73,assumptions!$G$72,0))+assumptions!$G$74/12)+IF(50=E42,D42*assumptions!$G$75,0),0)</f>
        <v/>
      </c>
      <c r="BE42" s="17">
        <f>IF(AND(51&gt;=E42,OR(F42="",51&lt;=F42)),(D42*(1+assumptions!$G$76)^4/12*(1+assumptions!$G$70+assumptions!$G$71+IF(51&gt;=assumptions!$G$73,assumptions!$G$72,0))+assumptions!$G$74/12)+IF(51=E42,D42*assumptions!$G$75,0),0)</f>
        <v/>
      </c>
      <c r="BF42" s="17">
        <f>IF(AND(52&gt;=E42,OR(F42="",52&lt;=F42)),(D42*(1+assumptions!$G$76)^4/12*(1+assumptions!$G$70+assumptions!$G$71+IF(52&gt;=assumptions!$G$73,assumptions!$G$72,0))+assumptions!$G$74/12)+IF(52=E42,D42*assumptions!$G$75,0),0)</f>
        <v/>
      </c>
      <c r="BG42" s="17">
        <f>IF(AND(53&gt;=E42,OR(F42="",53&lt;=F42)),(D42*(1+assumptions!$G$76)^4/12*(1+assumptions!$G$70+assumptions!$G$71+IF(53&gt;=assumptions!$G$73,assumptions!$G$72,0))+assumptions!$G$74/12)+IF(53=E42,D42*assumptions!$G$75,0),0)</f>
        <v/>
      </c>
      <c r="BH42" s="17">
        <f>IF(AND(54&gt;=E42,OR(F42="",54&lt;=F42)),(D42*(1+assumptions!$G$76)^4/12*(1+assumptions!$G$70+assumptions!$G$71+IF(54&gt;=assumptions!$G$73,assumptions!$G$72,0))+assumptions!$G$74/12)+IF(54=E42,D42*assumptions!$G$75,0),0)</f>
        <v/>
      </c>
      <c r="BI42" s="17">
        <f>IF(AND(55&gt;=E42,OR(F42="",55&lt;=F42)),(D42*(1+assumptions!$G$76)^4/12*(1+assumptions!$G$70+assumptions!$G$71+IF(55&gt;=assumptions!$G$73,assumptions!$G$72,0))+assumptions!$G$74/12)+IF(55=E42,D42*assumptions!$G$75,0),0)</f>
        <v/>
      </c>
      <c r="BJ42" s="17">
        <f>IF(AND(56&gt;=E42,OR(F42="",56&lt;=F42)),(D42*(1+assumptions!$G$76)^4/12*(1+assumptions!$G$70+assumptions!$G$71+IF(56&gt;=assumptions!$G$73,assumptions!$G$72,0))+assumptions!$G$74/12)+IF(56=E42,D42*assumptions!$G$75,0),0)</f>
        <v/>
      </c>
      <c r="BK42" s="17">
        <f>IF(AND(57&gt;=E42,OR(F42="",57&lt;=F42)),(D42*(1+assumptions!$G$76)^4/12*(1+assumptions!$G$70+assumptions!$G$71+IF(57&gt;=assumptions!$G$73,assumptions!$G$72,0))+assumptions!$G$74/12)+IF(57=E42,D42*assumptions!$G$75,0),0)</f>
        <v/>
      </c>
      <c r="BL42" s="17">
        <f>IF(AND(58&gt;=E42,OR(F42="",58&lt;=F42)),(D42*(1+assumptions!$G$76)^4/12*(1+assumptions!$G$70+assumptions!$G$71+IF(58&gt;=assumptions!$G$73,assumptions!$G$72,0))+assumptions!$G$74/12)+IF(58=E42,D42*assumptions!$G$75,0),0)</f>
        <v/>
      </c>
      <c r="BM42" s="17">
        <f>IF(AND(59&gt;=E42,OR(F42="",59&lt;=F42)),(D42*(1+assumptions!$G$76)^4/12*(1+assumptions!$G$70+assumptions!$G$71+IF(59&gt;=assumptions!$G$73,assumptions!$G$72,0))+assumptions!$G$74/12)+IF(59=E42,D42*assumptions!$G$75,0),0)</f>
        <v/>
      </c>
      <c r="BN42" s="17">
        <f>IF(AND(60&gt;=E42,OR(F42="",60&lt;=F42)),(D42*(1+assumptions!$G$76)^4/12*(1+assumptions!$G$70+assumptions!$G$71+IF(60&gt;=assumptions!$G$73,assumptions!$G$72,0))+assumptions!$G$74/12)+IF(60=E42,D42*assumptions!$G$75,0),0)</f>
        <v/>
      </c>
    </row>
    <row r="44">
      <c r="A44" s="29" t="n"/>
      <c r="B44" s="27" t="inlineStr">
        <is>
          <t>Total loaded payroll</t>
        </is>
      </c>
      <c r="C44" s="29" t="n"/>
      <c r="D44" s="29" t="n"/>
      <c r="E44" s="29" t="n"/>
      <c r="F44" s="29" t="n"/>
      <c r="G44" s="30">
        <f>SUM(G4:G42)</f>
        <v/>
      </c>
      <c r="H44" s="30">
        <f>SUM(H4:H42)</f>
        <v/>
      </c>
      <c r="I44" s="30">
        <f>SUM(I4:I42)</f>
        <v/>
      </c>
      <c r="J44" s="30">
        <f>SUM(J4:J42)</f>
        <v/>
      </c>
      <c r="K44" s="30">
        <f>SUM(K4:K42)</f>
        <v/>
      </c>
      <c r="L44" s="30">
        <f>SUM(L4:L42)</f>
        <v/>
      </c>
      <c r="M44" s="30">
        <f>SUM(M4:M42)</f>
        <v/>
      </c>
      <c r="N44" s="30">
        <f>SUM(N4:N42)</f>
        <v/>
      </c>
      <c r="O44" s="30">
        <f>SUM(O4:O42)</f>
        <v/>
      </c>
      <c r="P44" s="30">
        <f>SUM(P4:P42)</f>
        <v/>
      </c>
      <c r="Q44" s="30">
        <f>SUM(Q4:Q42)</f>
        <v/>
      </c>
      <c r="R44" s="30">
        <f>SUM(R4:R42)</f>
        <v/>
      </c>
      <c r="S44" s="30">
        <f>SUM(S4:S42)</f>
        <v/>
      </c>
      <c r="T44" s="30">
        <f>SUM(T4:T42)</f>
        <v/>
      </c>
      <c r="U44" s="30">
        <f>SUM(U4:U42)</f>
        <v/>
      </c>
      <c r="V44" s="30">
        <f>SUM(V4:V42)</f>
        <v/>
      </c>
      <c r="W44" s="30">
        <f>SUM(W4:W42)</f>
        <v/>
      </c>
      <c r="X44" s="30">
        <f>SUM(X4:X42)</f>
        <v/>
      </c>
      <c r="Y44" s="30">
        <f>SUM(Y4:Y42)</f>
        <v/>
      </c>
      <c r="Z44" s="30">
        <f>SUM(Z4:Z42)</f>
        <v/>
      </c>
      <c r="AA44" s="30">
        <f>SUM(AA4:AA42)</f>
        <v/>
      </c>
      <c r="AB44" s="30">
        <f>SUM(AB4:AB42)</f>
        <v/>
      </c>
      <c r="AC44" s="30">
        <f>SUM(AC4:AC42)</f>
        <v/>
      </c>
      <c r="AD44" s="30">
        <f>SUM(AD4:AD42)</f>
        <v/>
      </c>
      <c r="AE44" s="30">
        <f>SUM(AE4:AE42)</f>
        <v/>
      </c>
      <c r="AF44" s="30">
        <f>SUM(AF4:AF42)</f>
        <v/>
      </c>
      <c r="AG44" s="30">
        <f>SUM(AG4:AG42)</f>
        <v/>
      </c>
      <c r="AH44" s="30">
        <f>SUM(AH4:AH42)</f>
        <v/>
      </c>
      <c r="AI44" s="30">
        <f>SUM(AI4:AI42)</f>
        <v/>
      </c>
      <c r="AJ44" s="30">
        <f>SUM(AJ4:AJ42)</f>
        <v/>
      </c>
      <c r="AK44" s="30">
        <f>SUM(AK4:AK42)</f>
        <v/>
      </c>
      <c r="AL44" s="30">
        <f>SUM(AL4:AL42)</f>
        <v/>
      </c>
      <c r="AM44" s="30">
        <f>SUM(AM4:AM42)</f>
        <v/>
      </c>
      <c r="AN44" s="30">
        <f>SUM(AN4:AN42)</f>
        <v/>
      </c>
      <c r="AO44" s="30">
        <f>SUM(AO4:AO42)</f>
        <v/>
      </c>
      <c r="AP44" s="30">
        <f>SUM(AP4:AP42)</f>
        <v/>
      </c>
      <c r="AQ44" s="30">
        <f>SUM(AQ4:AQ42)</f>
        <v/>
      </c>
      <c r="AR44" s="30">
        <f>SUM(AR4:AR42)</f>
        <v/>
      </c>
      <c r="AS44" s="30">
        <f>SUM(AS4:AS42)</f>
        <v/>
      </c>
      <c r="AT44" s="30">
        <f>SUM(AT4:AT42)</f>
        <v/>
      </c>
      <c r="AU44" s="30">
        <f>SUM(AU4:AU42)</f>
        <v/>
      </c>
      <c r="AV44" s="30">
        <f>SUM(AV4:AV42)</f>
        <v/>
      </c>
      <c r="AW44" s="30">
        <f>SUM(AW4:AW42)</f>
        <v/>
      </c>
      <c r="AX44" s="30">
        <f>SUM(AX4:AX42)</f>
        <v/>
      </c>
      <c r="AY44" s="30">
        <f>SUM(AY4:AY42)</f>
        <v/>
      </c>
      <c r="AZ44" s="30">
        <f>SUM(AZ4:AZ42)</f>
        <v/>
      </c>
      <c r="BA44" s="30">
        <f>SUM(BA4:BA42)</f>
        <v/>
      </c>
      <c r="BB44" s="30">
        <f>SUM(BB4:BB42)</f>
        <v/>
      </c>
      <c r="BC44" s="30">
        <f>SUM(BC4:BC42)</f>
        <v/>
      </c>
      <c r="BD44" s="30">
        <f>SUM(BD4:BD42)</f>
        <v/>
      </c>
      <c r="BE44" s="30">
        <f>SUM(BE4:BE42)</f>
        <v/>
      </c>
      <c r="BF44" s="30">
        <f>SUM(BF4:BF42)</f>
        <v/>
      </c>
      <c r="BG44" s="30">
        <f>SUM(BG4:BG42)</f>
        <v/>
      </c>
      <c r="BH44" s="30">
        <f>SUM(BH4:BH42)</f>
        <v/>
      </c>
      <c r="BI44" s="30">
        <f>SUM(BI4:BI42)</f>
        <v/>
      </c>
      <c r="BJ44" s="30">
        <f>SUM(BJ4:BJ42)</f>
        <v/>
      </c>
      <c r="BK44" s="30">
        <f>SUM(BK4:BK42)</f>
        <v/>
      </c>
      <c r="BL44" s="30">
        <f>SUM(BL4:BL42)</f>
        <v/>
      </c>
      <c r="BM44" s="30">
        <f>SUM(BM4:BM42)</f>
        <v/>
      </c>
      <c r="BN44" s="30">
        <f>SUM(BN4:BN42)</f>
        <v/>
      </c>
    </row>
    <row r="45">
      <c r="A45" s="33" t="n"/>
      <c r="B45" s="34" t="inlineStr">
        <is>
          <t>Active FTE</t>
        </is>
      </c>
      <c r="G45" s="35">
        <f>IF(AND(1&gt;=E4,OR(F4="",1&lt;=F4)),1,0)+IF(AND(1&gt;=E5,OR(F5="",1&lt;=F5)),1,0)+IF(AND(1&gt;=E6,OR(F6="",1&lt;=F6)),1,0)+IF(AND(1&gt;=E7,OR(F7="",1&lt;=F7)),1,0)+IF(AND(1&gt;=E8,OR(F8="",1&lt;=F8)),1,0)+IF(AND(1&gt;=E9,OR(F9="",1&lt;=F9)),1,0)+IF(AND(1&gt;=E10,OR(F10="",1&lt;=F10)),1,0)+IF(AND(1&gt;=E11,OR(F11="",1&lt;=F11)),1,0)+IF(AND(1&gt;=E12,OR(F12="",1&lt;=F12)),1,0)+IF(AND(1&gt;=E13,OR(F13="",1&lt;=F13)),1,0)+IF(AND(1&gt;=E14,OR(F14="",1&lt;=F14)),1,0)+IF(AND(1&gt;=E15,OR(F15="",1&lt;=F15)),1,0)+IF(AND(1&gt;=E16,OR(F16="",1&lt;=F16)),1,0)+IF(AND(1&gt;=E17,OR(F17="",1&lt;=F17)),1,0)+IF(AND(1&gt;=E18,OR(F18="",1&lt;=F18)),1,0)+IF(AND(1&gt;=E19,OR(F19="",1&lt;=F19)),1,0)+IF(AND(1&gt;=E20,OR(F20="",1&lt;=F20)),1,0)+IF(AND(1&gt;=E21,OR(F21="",1&lt;=F21)),1,0)+IF(AND(1&gt;=E22,OR(F22="",1&lt;=F22)),1,0)+IF(AND(1&gt;=E23,OR(F23="",1&lt;=F23)),1,0)+IF(AND(1&gt;=E24,OR(F24="",1&lt;=F24)),1,0)+IF(AND(1&gt;=E25,OR(F25="",1&lt;=F25)),1,0)+IF(AND(1&gt;=E26,OR(F26="",1&lt;=F26)),1,0)+IF(AND(1&gt;=E27,OR(F27="",1&lt;=F27)),1,0)+IF(AND(1&gt;=E28,OR(F28="",1&lt;=F28)),1,0)+IF(AND(1&gt;=E29,OR(F29="",1&lt;=F29)),1,0)+IF(AND(1&gt;=E30,OR(F30="",1&lt;=F30)),1,0)+IF(AND(1&gt;=E31,OR(F31="",1&lt;=F31)),1,0)+IF(AND(1&gt;=E32,OR(F32="",1&lt;=F32)),1,0)+IF(AND(1&gt;=E33,OR(F33="",1&lt;=F33)),1,0)+IF(AND(1&gt;=E34,OR(F34="",1&lt;=F34)),1,0)+IF(AND(1&gt;=E35,OR(F35="",1&lt;=F35)),1,0)+IF(AND(1&gt;=E36,OR(F36="",1&lt;=F36)),1,0)+IF(AND(1&gt;=E37,OR(F37="",1&lt;=F37)),1,0)+IF(AND(1&gt;=E38,OR(F38="",1&lt;=F38)),1,0)+IF(AND(1&gt;=E39,OR(F39="",1&lt;=F39)),1,0)+IF(AND(1&gt;=E40,OR(F40="",1&lt;=F40)),1,0)+IF(AND(1&gt;=E41,OR(F41="",1&lt;=F41)),1,0)+IF(AND(1&gt;=E42,OR(F42="",1&lt;=F42)),1,0)</f>
        <v/>
      </c>
      <c r="H45" s="35">
        <f>IF(AND(2&gt;=E4,OR(F4="",2&lt;=F4)),1,0)+IF(AND(2&gt;=E5,OR(F5="",2&lt;=F5)),1,0)+IF(AND(2&gt;=E6,OR(F6="",2&lt;=F6)),1,0)+IF(AND(2&gt;=E7,OR(F7="",2&lt;=F7)),1,0)+IF(AND(2&gt;=E8,OR(F8="",2&lt;=F8)),1,0)+IF(AND(2&gt;=E9,OR(F9="",2&lt;=F9)),1,0)+IF(AND(2&gt;=E10,OR(F10="",2&lt;=F10)),1,0)+IF(AND(2&gt;=E11,OR(F11="",2&lt;=F11)),1,0)+IF(AND(2&gt;=E12,OR(F12="",2&lt;=F12)),1,0)+IF(AND(2&gt;=E13,OR(F13="",2&lt;=F13)),1,0)+IF(AND(2&gt;=E14,OR(F14="",2&lt;=F14)),1,0)+IF(AND(2&gt;=E15,OR(F15="",2&lt;=F15)),1,0)+IF(AND(2&gt;=E16,OR(F16="",2&lt;=F16)),1,0)+IF(AND(2&gt;=E17,OR(F17="",2&lt;=F17)),1,0)+IF(AND(2&gt;=E18,OR(F18="",2&lt;=F18)),1,0)+IF(AND(2&gt;=E19,OR(F19="",2&lt;=F19)),1,0)+IF(AND(2&gt;=E20,OR(F20="",2&lt;=F20)),1,0)+IF(AND(2&gt;=E21,OR(F21="",2&lt;=F21)),1,0)+IF(AND(2&gt;=E22,OR(F22="",2&lt;=F22)),1,0)+IF(AND(2&gt;=E23,OR(F23="",2&lt;=F23)),1,0)+IF(AND(2&gt;=E24,OR(F24="",2&lt;=F24)),1,0)+IF(AND(2&gt;=E25,OR(F25="",2&lt;=F25)),1,0)+IF(AND(2&gt;=E26,OR(F26="",2&lt;=F26)),1,0)+IF(AND(2&gt;=E27,OR(F27="",2&lt;=F27)),1,0)+IF(AND(2&gt;=E28,OR(F28="",2&lt;=F28)),1,0)+IF(AND(2&gt;=E29,OR(F29="",2&lt;=F29)),1,0)+IF(AND(2&gt;=E30,OR(F30="",2&lt;=F30)),1,0)+IF(AND(2&gt;=E31,OR(F31="",2&lt;=F31)),1,0)+IF(AND(2&gt;=E32,OR(F32="",2&lt;=F32)),1,0)+IF(AND(2&gt;=E33,OR(F33="",2&lt;=F33)),1,0)+IF(AND(2&gt;=E34,OR(F34="",2&lt;=F34)),1,0)+IF(AND(2&gt;=E35,OR(F35="",2&lt;=F35)),1,0)+IF(AND(2&gt;=E36,OR(F36="",2&lt;=F36)),1,0)+IF(AND(2&gt;=E37,OR(F37="",2&lt;=F37)),1,0)+IF(AND(2&gt;=E38,OR(F38="",2&lt;=F38)),1,0)+IF(AND(2&gt;=E39,OR(F39="",2&lt;=F39)),1,0)+IF(AND(2&gt;=E40,OR(F40="",2&lt;=F40)),1,0)+IF(AND(2&gt;=E41,OR(F41="",2&lt;=F41)),1,0)+IF(AND(2&gt;=E42,OR(F42="",2&lt;=F42)),1,0)</f>
        <v/>
      </c>
      <c r="I45" s="35">
        <f>IF(AND(3&gt;=E4,OR(F4="",3&lt;=F4)),1,0)+IF(AND(3&gt;=E5,OR(F5="",3&lt;=F5)),1,0)+IF(AND(3&gt;=E6,OR(F6="",3&lt;=F6)),1,0)+IF(AND(3&gt;=E7,OR(F7="",3&lt;=F7)),1,0)+IF(AND(3&gt;=E8,OR(F8="",3&lt;=F8)),1,0)+IF(AND(3&gt;=E9,OR(F9="",3&lt;=F9)),1,0)+IF(AND(3&gt;=E10,OR(F10="",3&lt;=F10)),1,0)+IF(AND(3&gt;=E11,OR(F11="",3&lt;=F11)),1,0)+IF(AND(3&gt;=E12,OR(F12="",3&lt;=F12)),1,0)+IF(AND(3&gt;=E13,OR(F13="",3&lt;=F13)),1,0)+IF(AND(3&gt;=E14,OR(F14="",3&lt;=F14)),1,0)+IF(AND(3&gt;=E15,OR(F15="",3&lt;=F15)),1,0)+IF(AND(3&gt;=E16,OR(F16="",3&lt;=F16)),1,0)+IF(AND(3&gt;=E17,OR(F17="",3&lt;=F17)),1,0)+IF(AND(3&gt;=E18,OR(F18="",3&lt;=F18)),1,0)+IF(AND(3&gt;=E19,OR(F19="",3&lt;=F19)),1,0)+IF(AND(3&gt;=E20,OR(F20="",3&lt;=F20)),1,0)+IF(AND(3&gt;=E21,OR(F21="",3&lt;=F21)),1,0)+IF(AND(3&gt;=E22,OR(F22="",3&lt;=F22)),1,0)+IF(AND(3&gt;=E23,OR(F23="",3&lt;=F23)),1,0)+IF(AND(3&gt;=E24,OR(F24="",3&lt;=F24)),1,0)+IF(AND(3&gt;=E25,OR(F25="",3&lt;=F25)),1,0)+IF(AND(3&gt;=E26,OR(F26="",3&lt;=F26)),1,0)+IF(AND(3&gt;=E27,OR(F27="",3&lt;=F27)),1,0)+IF(AND(3&gt;=E28,OR(F28="",3&lt;=F28)),1,0)+IF(AND(3&gt;=E29,OR(F29="",3&lt;=F29)),1,0)+IF(AND(3&gt;=E30,OR(F30="",3&lt;=F30)),1,0)+IF(AND(3&gt;=E31,OR(F31="",3&lt;=F31)),1,0)+IF(AND(3&gt;=E32,OR(F32="",3&lt;=F32)),1,0)+IF(AND(3&gt;=E33,OR(F33="",3&lt;=F33)),1,0)+IF(AND(3&gt;=E34,OR(F34="",3&lt;=F34)),1,0)+IF(AND(3&gt;=E35,OR(F35="",3&lt;=F35)),1,0)+IF(AND(3&gt;=E36,OR(F36="",3&lt;=F36)),1,0)+IF(AND(3&gt;=E37,OR(F37="",3&lt;=F37)),1,0)+IF(AND(3&gt;=E38,OR(F38="",3&lt;=F38)),1,0)+IF(AND(3&gt;=E39,OR(F39="",3&lt;=F39)),1,0)+IF(AND(3&gt;=E40,OR(F40="",3&lt;=F40)),1,0)+IF(AND(3&gt;=E41,OR(F41="",3&lt;=F41)),1,0)+IF(AND(3&gt;=E42,OR(F42="",3&lt;=F42)),1,0)</f>
        <v/>
      </c>
      <c r="J45" s="35">
        <f>IF(AND(4&gt;=E4,OR(F4="",4&lt;=F4)),1,0)+IF(AND(4&gt;=E5,OR(F5="",4&lt;=F5)),1,0)+IF(AND(4&gt;=E6,OR(F6="",4&lt;=F6)),1,0)+IF(AND(4&gt;=E7,OR(F7="",4&lt;=F7)),1,0)+IF(AND(4&gt;=E8,OR(F8="",4&lt;=F8)),1,0)+IF(AND(4&gt;=E9,OR(F9="",4&lt;=F9)),1,0)+IF(AND(4&gt;=E10,OR(F10="",4&lt;=F10)),1,0)+IF(AND(4&gt;=E11,OR(F11="",4&lt;=F11)),1,0)+IF(AND(4&gt;=E12,OR(F12="",4&lt;=F12)),1,0)+IF(AND(4&gt;=E13,OR(F13="",4&lt;=F13)),1,0)+IF(AND(4&gt;=E14,OR(F14="",4&lt;=F14)),1,0)+IF(AND(4&gt;=E15,OR(F15="",4&lt;=F15)),1,0)+IF(AND(4&gt;=E16,OR(F16="",4&lt;=F16)),1,0)+IF(AND(4&gt;=E17,OR(F17="",4&lt;=F17)),1,0)+IF(AND(4&gt;=E18,OR(F18="",4&lt;=F18)),1,0)+IF(AND(4&gt;=E19,OR(F19="",4&lt;=F19)),1,0)+IF(AND(4&gt;=E20,OR(F20="",4&lt;=F20)),1,0)+IF(AND(4&gt;=E21,OR(F21="",4&lt;=F21)),1,0)+IF(AND(4&gt;=E22,OR(F22="",4&lt;=F22)),1,0)+IF(AND(4&gt;=E23,OR(F23="",4&lt;=F23)),1,0)+IF(AND(4&gt;=E24,OR(F24="",4&lt;=F24)),1,0)+IF(AND(4&gt;=E25,OR(F25="",4&lt;=F25)),1,0)+IF(AND(4&gt;=E26,OR(F26="",4&lt;=F26)),1,0)+IF(AND(4&gt;=E27,OR(F27="",4&lt;=F27)),1,0)+IF(AND(4&gt;=E28,OR(F28="",4&lt;=F28)),1,0)+IF(AND(4&gt;=E29,OR(F29="",4&lt;=F29)),1,0)+IF(AND(4&gt;=E30,OR(F30="",4&lt;=F30)),1,0)+IF(AND(4&gt;=E31,OR(F31="",4&lt;=F31)),1,0)+IF(AND(4&gt;=E32,OR(F32="",4&lt;=F32)),1,0)+IF(AND(4&gt;=E33,OR(F33="",4&lt;=F33)),1,0)+IF(AND(4&gt;=E34,OR(F34="",4&lt;=F34)),1,0)+IF(AND(4&gt;=E35,OR(F35="",4&lt;=F35)),1,0)+IF(AND(4&gt;=E36,OR(F36="",4&lt;=F36)),1,0)+IF(AND(4&gt;=E37,OR(F37="",4&lt;=F37)),1,0)+IF(AND(4&gt;=E38,OR(F38="",4&lt;=F38)),1,0)+IF(AND(4&gt;=E39,OR(F39="",4&lt;=F39)),1,0)+IF(AND(4&gt;=E40,OR(F40="",4&lt;=F40)),1,0)+IF(AND(4&gt;=E41,OR(F41="",4&lt;=F41)),1,0)+IF(AND(4&gt;=E42,OR(F42="",4&lt;=F42)),1,0)</f>
        <v/>
      </c>
      <c r="K45" s="35">
        <f>IF(AND(5&gt;=E4,OR(F4="",5&lt;=F4)),1,0)+IF(AND(5&gt;=E5,OR(F5="",5&lt;=F5)),1,0)+IF(AND(5&gt;=E6,OR(F6="",5&lt;=F6)),1,0)+IF(AND(5&gt;=E7,OR(F7="",5&lt;=F7)),1,0)+IF(AND(5&gt;=E8,OR(F8="",5&lt;=F8)),1,0)+IF(AND(5&gt;=E9,OR(F9="",5&lt;=F9)),1,0)+IF(AND(5&gt;=E10,OR(F10="",5&lt;=F10)),1,0)+IF(AND(5&gt;=E11,OR(F11="",5&lt;=F11)),1,0)+IF(AND(5&gt;=E12,OR(F12="",5&lt;=F12)),1,0)+IF(AND(5&gt;=E13,OR(F13="",5&lt;=F13)),1,0)+IF(AND(5&gt;=E14,OR(F14="",5&lt;=F14)),1,0)+IF(AND(5&gt;=E15,OR(F15="",5&lt;=F15)),1,0)+IF(AND(5&gt;=E16,OR(F16="",5&lt;=F16)),1,0)+IF(AND(5&gt;=E17,OR(F17="",5&lt;=F17)),1,0)+IF(AND(5&gt;=E18,OR(F18="",5&lt;=F18)),1,0)+IF(AND(5&gt;=E19,OR(F19="",5&lt;=F19)),1,0)+IF(AND(5&gt;=E20,OR(F20="",5&lt;=F20)),1,0)+IF(AND(5&gt;=E21,OR(F21="",5&lt;=F21)),1,0)+IF(AND(5&gt;=E22,OR(F22="",5&lt;=F22)),1,0)+IF(AND(5&gt;=E23,OR(F23="",5&lt;=F23)),1,0)+IF(AND(5&gt;=E24,OR(F24="",5&lt;=F24)),1,0)+IF(AND(5&gt;=E25,OR(F25="",5&lt;=F25)),1,0)+IF(AND(5&gt;=E26,OR(F26="",5&lt;=F26)),1,0)+IF(AND(5&gt;=E27,OR(F27="",5&lt;=F27)),1,0)+IF(AND(5&gt;=E28,OR(F28="",5&lt;=F28)),1,0)+IF(AND(5&gt;=E29,OR(F29="",5&lt;=F29)),1,0)+IF(AND(5&gt;=E30,OR(F30="",5&lt;=F30)),1,0)+IF(AND(5&gt;=E31,OR(F31="",5&lt;=F31)),1,0)+IF(AND(5&gt;=E32,OR(F32="",5&lt;=F32)),1,0)+IF(AND(5&gt;=E33,OR(F33="",5&lt;=F33)),1,0)+IF(AND(5&gt;=E34,OR(F34="",5&lt;=F34)),1,0)+IF(AND(5&gt;=E35,OR(F35="",5&lt;=F35)),1,0)+IF(AND(5&gt;=E36,OR(F36="",5&lt;=F36)),1,0)+IF(AND(5&gt;=E37,OR(F37="",5&lt;=F37)),1,0)+IF(AND(5&gt;=E38,OR(F38="",5&lt;=F38)),1,0)+IF(AND(5&gt;=E39,OR(F39="",5&lt;=F39)),1,0)+IF(AND(5&gt;=E40,OR(F40="",5&lt;=F40)),1,0)+IF(AND(5&gt;=E41,OR(F41="",5&lt;=F41)),1,0)+IF(AND(5&gt;=E42,OR(F42="",5&lt;=F42)),1,0)</f>
        <v/>
      </c>
      <c r="L45" s="35">
        <f>IF(AND(6&gt;=E4,OR(F4="",6&lt;=F4)),1,0)+IF(AND(6&gt;=E5,OR(F5="",6&lt;=F5)),1,0)+IF(AND(6&gt;=E6,OR(F6="",6&lt;=F6)),1,0)+IF(AND(6&gt;=E7,OR(F7="",6&lt;=F7)),1,0)+IF(AND(6&gt;=E8,OR(F8="",6&lt;=F8)),1,0)+IF(AND(6&gt;=E9,OR(F9="",6&lt;=F9)),1,0)+IF(AND(6&gt;=E10,OR(F10="",6&lt;=F10)),1,0)+IF(AND(6&gt;=E11,OR(F11="",6&lt;=F11)),1,0)+IF(AND(6&gt;=E12,OR(F12="",6&lt;=F12)),1,0)+IF(AND(6&gt;=E13,OR(F13="",6&lt;=F13)),1,0)+IF(AND(6&gt;=E14,OR(F14="",6&lt;=F14)),1,0)+IF(AND(6&gt;=E15,OR(F15="",6&lt;=F15)),1,0)+IF(AND(6&gt;=E16,OR(F16="",6&lt;=F16)),1,0)+IF(AND(6&gt;=E17,OR(F17="",6&lt;=F17)),1,0)+IF(AND(6&gt;=E18,OR(F18="",6&lt;=F18)),1,0)+IF(AND(6&gt;=E19,OR(F19="",6&lt;=F19)),1,0)+IF(AND(6&gt;=E20,OR(F20="",6&lt;=F20)),1,0)+IF(AND(6&gt;=E21,OR(F21="",6&lt;=F21)),1,0)+IF(AND(6&gt;=E22,OR(F22="",6&lt;=F22)),1,0)+IF(AND(6&gt;=E23,OR(F23="",6&lt;=F23)),1,0)+IF(AND(6&gt;=E24,OR(F24="",6&lt;=F24)),1,0)+IF(AND(6&gt;=E25,OR(F25="",6&lt;=F25)),1,0)+IF(AND(6&gt;=E26,OR(F26="",6&lt;=F26)),1,0)+IF(AND(6&gt;=E27,OR(F27="",6&lt;=F27)),1,0)+IF(AND(6&gt;=E28,OR(F28="",6&lt;=F28)),1,0)+IF(AND(6&gt;=E29,OR(F29="",6&lt;=F29)),1,0)+IF(AND(6&gt;=E30,OR(F30="",6&lt;=F30)),1,0)+IF(AND(6&gt;=E31,OR(F31="",6&lt;=F31)),1,0)+IF(AND(6&gt;=E32,OR(F32="",6&lt;=F32)),1,0)+IF(AND(6&gt;=E33,OR(F33="",6&lt;=F33)),1,0)+IF(AND(6&gt;=E34,OR(F34="",6&lt;=F34)),1,0)+IF(AND(6&gt;=E35,OR(F35="",6&lt;=F35)),1,0)+IF(AND(6&gt;=E36,OR(F36="",6&lt;=F36)),1,0)+IF(AND(6&gt;=E37,OR(F37="",6&lt;=F37)),1,0)+IF(AND(6&gt;=E38,OR(F38="",6&lt;=F38)),1,0)+IF(AND(6&gt;=E39,OR(F39="",6&lt;=F39)),1,0)+IF(AND(6&gt;=E40,OR(F40="",6&lt;=F40)),1,0)+IF(AND(6&gt;=E41,OR(F41="",6&lt;=F41)),1,0)+IF(AND(6&gt;=E42,OR(F42="",6&lt;=F42)),1,0)</f>
        <v/>
      </c>
      <c r="M45" s="35">
        <f>IF(AND(7&gt;=E4,OR(F4="",7&lt;=F4)),1,0)+IF(AND(7&gt;=E5,OR(F5="",7&lt;=F5)),1,0)+IF(AND(7&gt;=E6,OR(F6="",7&lt;=F6)),1,0)+IF(AND(7&gt;=E7,OR(F7="",7&lt;=F7)),1,0)+IF(AND(7&gt;=E8,OR(F8="",7&lt;=F8)),1,0)+IF(AND(7&gt;=E9,OR(F9="",7&lt;=F9)),1,0)+IF(AND(7&gt;=E10,OR(F10="",7&lt;=F10)),1,0)+IF(AND(7&gt;=E11,OR(F11="",7&lt;=F11)),1,0)+IF(AND(7&gt;=E12,OR(F12="",7&lt;=F12)),1,0)+IF(AND(7&gt;=E13,OR(F13="",7&lt;=F13)),1,0)+IF(AND(7&gt;=E14,OR(F14="",7&lt;=F14)),1,0)+IF(AND(7&gt;=E15,OR(F15="",7&lt;=F15)),1,0)+IF(AND(7&gt;=E16,OR(F16="",7&lt;=F16)),1,0)+IF(AND(7&gt;=E17,OR(F17="",7&lt;=F17)),1,0)+IF(AND(7&gt;=E18,OR(F18="",7&lt;=F18)),1,0)+IF(AND(7&gt;=E19,OR(F19="",7&lt;=F19)),1,0)+IF(AND(7&gt;=E20,OR(F20="",7&lt;=F20)),1,0)+IF(AND(7&gt;=E21,OR(F21="",7&lt;=F21)),1,0)+IF(AND(7&gt;=E22,OR(F22="",7&lt;=F22)),1,0)+IF(AND(7&gt;=E23,OR(F23="",7&lt;=F23)),1,0)+IF(AND(7&gt;=E24,OR(F24="",7&lt;=F24)),1,0)+IF(AND(7&gt;=E25,OR(F25="",7&lt;=F25)),1,0)+IF(AND(7&gt;=E26,OR(F26="",7&lt;=F26)),1,0)+IF(AND(7&gt;=E27,OR(F27="",7&lt;=F27)),1,0)+IF(AND(7&gt;=E28,OR(F28="",7&lt;=F28)),1,0)+IF(AND(7&gt;=E29,OR(F29="",7&lt;=F29)),1,0)+IF(AND(7&gt;=E30,OR(F30="",7&lt;=F30)),1,0)+IF(AND(7&gt;=E31,OR(F31="",7&lt;=F31)),1,0)+IF(AND(7&gt;=E32,OR(F32="",7&lt;=F32)),1,0)+IF(AND(7&gt;=E33,OR(F33="",7&lt;=F33)),1,0)+IF(AND(7&gt;=E34,OR(F34="",7&lt;=F34)),1,0)+IF(AND(7&gt;=E35,OR(F35="",7&lt;=F35)),1,0)+IF(AND(7&gt;=E36,OR(F36="",7&lt;=F36)),1,0)+IF(AND(7&gt;=E37,OR(F37="",7&lt;=F37)),1,0)+IF(AND(7&gt;=E38,OR(F38="",7&lt;=F38)),1,0)+IF(AND(7&gt;=E39,OR(F39="",7&lt;=F39)),1,0)+IF(AND(7&gt;=E40,OR(F40="",7&lt;=F40)),1,0)+IF(AND(7&gt;=E41,OR(F41="",7&lt;=F41)),1,0)+IF(AND(7&gt;=E42,OR(F42="",7&lt;=F42)),1,0)</f>
        <v/>
      </c>
      <c r="N45" s="35">
        <f>IF(AND(8&gt;=E4,OR(F4="",8&lt;=F4)),1,0)+IF(AND(8&gt;=E5,OR(F5="",8&lt;=F5)),1,0)+IF(AND(8&gt;=E6,OR(F6="",8&lt;=F6)),1,0)+IF(AND(8&gt;=E7,OR(F7="",8&lt;=F7)),1,0)+IF(AND(8&gt;=E8,OR(F8="",8&lt;=F8)),1,0)+IF(AND(8&gt;=E9,OR(F9="",8&lt;=F9)),1,0)+IF(AND(8&gt;=E10,OR(F10="",8&lt;=F10)),1,0)+IF(AND(8&gt;=E11,OR(F11="",8&lt;=F11)),1,0)+IF(AND(8&gt;=E12,OR(F12="",8&lt;=F12)),1,0)+IF(AND(8&gt;=E13,OR(F13="",8&lt;=F13)),1,0)+IF(AND(8&gt;=E14,OR(F14="",8&lt;=F14)),1,0)+IF(AND(8&gt;=E15,OR(F15="",8&lt;=F15)),1,0)+IF(AND(8&gt;=E16,OR(F16="",8&lt;=F16)),1,0)+IF(AND(8&gt;=E17,OR(F17="",8&lt;=F17)),1,0)+IF(AND(8&gt;=E18,OR(F18="",8&lt;=F18)),1,0)+IF(AND(8&gt;=E19,OR(F19="",8&lt;=F19)),1,0)+IF(AND(8&gt;=E20,OR(F20="",8&lt;=F20)),1,0)+IF(AND(8&gt;=E21,OR(F21="",8&lt;=F21)),1,0)+IF(AND(8&gt;=E22,OR(F22="",8&lt;=F22)),1,0)+IF(AND(8&gt;=E23,OR(F23="",8&lt;=F23)),1,0)+IF(AND(8&gt;=E24,OR(F24="",8&lt;=F24)),1,0)+IF(AND(8&gt;=E25,OR(F25="",8&lt;=F25)),1,0)+IF(AND(8&gt;=E26,OR(F26="",8&lt;=F26)),1,0)+IF(AND(8&gt;=E27,OR(F27="",8&lt;=F27)),1,0)+IF(AND(8&gt;=E28,OR(F28="",8&lt;=F28)),1,0)+IF(AND(8&gt;=E29,OR(F29="",8&lt;=F29)),1,0)+IF(AND(8&gt;=E30,OR(F30="",8&lt;=F30)),1,0)+IF(AND(8&gt;=E31,OR(F31="",8&lt;=F31)),1,0)+IF(AND(8&gt;=E32,OR(F32="",8&lt;=F32)),1,0)+IF(AND(8&gt;=E33,OR(F33="",8&lt;=F33)),1,0)+IF(AND(8&gt;=E34,OR(F34="",8&lt;=F34)),1,0)+IF(AND(8&gt;=E35,OR(F35="",8&lt;=F35)),1,0)+IF(AND(8&gt;=E36,OR(F36="",8&lt;=F36)),1,0)+IF(AND(8&gt;=E37,OR(F37="",8&lt;=F37)),1,0)+IF(AND(8&gt;=E38,OR(F38="",8&lt;=F38)),1,0)+IF(AND(8&gt;=E39,OR(F39="",8&lt;=F39)),1,0)+IF(AND(8&gt;=E40,OR(F40="",8&lt;=F40)),1,0)+IF(AND(8&gt;=E41,OR(F41="",8&lt;=F41)),1,0)+IF(AND(8&gt;=E42,OR(F42="",8&lt;=F42)),1,0)</f>
        <v/>
      </c>
      <c r="O45" s="35">
        <f>IF(AND(9&gt;=E4,OR(F4="",9&lt;=F4)),1,0)+IF(AND(9&gt;=E5,OR(F5="",9&lt;=F5)),1,0)+IF(AND(9&gt;=E6,OR(F6="",9&lt;=F6)),1,0)+IF(AND(9&gt;=E7,OR(F7="",9&lt;=F7)),1,0)+IF(AND(9&gt;=E8,OR(F8="",9&lt;=F8)),1,0)+IF(AND(9&gt;=E9,OR(F9="",9&lt;=F9)),1,0)+IF(AND(9&gt;=E10,OR(F10="",9&lt;=F10)),1,0)+IF(AND(9&gt;=E11,OR(F11="",9&lt;=F11)),1,0)+IF(AND(9&gt;=E12,OR(F12="",9&lt;=F12)),1,0)+IF(AND(9&gt;=E13,OR(F13="",9&lt;=F13)),1,0)+IF(AND(9&gt;=E14,OR(F14="",9&lt;=F14)),1,0)+IF(AND(9&gt;=E15,OR(F15="",9&lt;=F15)),1,0)+IF(AND(9&gt;=E16,OR(F16="",9&lt;=F16)),1,0)+IF(AND(9&gt;=E17,OR(F17="",9&lt;=F17)),1,0)+IF(AND(9&gt;=E18,OR(F18="",9&lt;=F18)),1,0)+IF(AND(9&gt;=E19,OR(F19="",9&lt;=F19)),1,0)+IF(AND(9&gt;=E20,OR(F20="",9&lt;=F20)),1,0)+IF(AND(9&gt;=E21,OR(F21="",9&lt;=F21)),1,0)+IF(AND(9&gt;=E22,OR(F22="",9&lt;=F22)),1,0)+IF(AND(9&gt;=E23,OR(F23="",9&lt;=F23)),1,0)+IF(AND(9&gt;=E24,OR(F24="",9&lt;=F24)),1,0)+IF(AND(9&gt;=E25,OR(F25="",9&lt;=F25)),1,0)+IF(AND(9&gt;=E26,OR(F26="",9&lt;=F26)),1,0)+IF(AND(9&gt;=E27,OR(F27="",9&lt;=F27)),1,0)+IF(AND(9&gt;=E28,OR(F28="",9&lt;=F28)),1,0)+IF(AND(9&gt;=E29,OR(F29="",9&lt;=F29)),1,0)+IF(AND(9&gt;=E30,OR(F30="",9&lt;=F30)),1,0)+IF(AND(9&gt;=E31,OR(F31="",9&lt;=F31)),1,0)+IF(AND(9&gt;=E32,OR(F32="",9&lt;=F32)),1,0)+IF(AND(9&gt;=E33,OR(F33="",9&lt;=F33)),1,0)+IF(AND(9&gt;=E34,OR(F34="",9&lt;=F34)),1,0)+IF(AND(9&gt;=E35,OR(F35="",9&lt;=F35)),1,0)+IF(AND(9&gt;=E36,OR(F36="",9&lt;=F36)),1,0)+IF(AND(9&gt;=E37,OR(F37="",9&lt;=F37)),1,0)+IF(AND(9&gt;=E38,OR(F38="",9&lt;=F38)),1,0)+IF(AND(9&gt;=E39,OR(F39="",9&lt;=F39)),1,0)+IF(AND(9&gt;=E40,OR(F40="",9&lt;=F40)),1,0)+IF(AND(9&gt;=E41,OR(F41="",9&lt;=F41)),1,0)+IF(AND(9&gt;=E42,OR(F42="",9&lt;=F42)),1,0)</f>
        <v/>
      </c>
      <c r="P45" s="35">
        <f>IF(AND(10&gt;=E4,OR(F4="",10&lt;=F4)),1,0)+IF(AND(10&gt;=E5,OR(F5="",10&lt;=F5)),1,0)+IF(AND(10&gt;=E6,OR(F6="",10&lt;=F6)),1,0)+IF(AND(10&gt;=E7,OR(F7="",10&lt;=F7)),1,0)+IF(AND(10&gt;=E8,OR(F8="",10&lt;=F8)),1,0)+IF(AND(10&gt;=E9,OR(F9="",10&lt;=F9)),1,0)+IF(AND(10&gt;=E10,OR(F10="",10&lt;=F10)),1,0)+IF(AND(10&gt;=E11,OR(F11="",10&lt;=F11)),1,0)+IF(AND(10&gt;=E12,OR(F12="",10&lt;=F12)),1,0)+IF(AND(10&gt;=E13,OR(F13="",10&lt;=F13)),1,0)+IF(AND(10&gt;=E14,OR(F14="",10&lt;=F14)),1,0)+IF(AND(10&gt;=E15,OR(F15="",10&lt;=F15)),1,0)+IF(AND(10&gt;=E16,OR(F16="",10&lt;=F16)),1,0)+IF(AND(10&gt;=E17,OR(F17="",10&lt;=F17)),1,0)+IF(AND(10&gt;=E18,OR(F18="",10&lt;=F18)),1,0)+IF(AND(10&gt;=E19,OR(F19="",10&lt;=F19)),1,0)+IF(AND(10&gt;=E20,OR(F20="",10&lt;=F20)),1,0)+IF(AND(10&gt;=E21,OR(F21="",10&lt;=F21)),1,0)+IF(AND(10&gt;=E22,OR(F22="",10&lt;=F22)),1,0)+IF(AND(10&gt;=E23,OR(F23="",10&lt;=F23)),1,0)+IF(AND(10&gt;=E24,OR(F24="",10&lt;=F24)),1,0)+IF(AND(10&gt;=E25,OR(F25="",10&lt;=F25)),1,0)+IF(AND(10&gt;=E26,OR(F26="",10&lt;=F26)),1,0)+IF(AND(10&gt;=E27,OR(F27="",10&lt;=F27)),1,0)+IF(AND(10&gt;=E28,OR(F28="",10&lt;=F28)),1,0)+IF(AND(10&gt;=E29,OR(F29="",10&lt;=F29)),1,0)+IF(AND(10&gt;=E30,OR(F30="",10&lt;=F30)),1,0)+IF(AND(10&gt;=E31,OR(F31="",10&lt;=F31)),1,0)+IF(AND(10&gt;=E32,OR(F32="",10&lt;=F32)),1,0)+IF(AND(10&gt;=E33,OR(F33="",10&lt;=F33)),1,0)+IF(AND(10&gt;=E34,OR(F34="",10&lt;=F34)),1,0)+IF(AND(10&gt;=E35,OR(F35="",10&lt;=F35)),1,0)+IF(AND(10&gt;=E36,OR(F36="",10&lt;=F36)),1,0)+IF(AND(10&gt;=E37,OR(F37="",10&lt;=F37)),1,0)+IF(AND(10&gt;=E38,OR(F38="",10&lt;=F38)),1,0)+IF(AND(10&gt;=E39,OR(F39="",10&lt;=F39)),1,0)+IF(AND(10&gt;=E40,OR(F40="",10&lt;=F40)),1,0)+IF(AND(10&gt;=E41,OR(F41="",10&lt;=F41)),1,0)+IF(AND(10&gt;=E42,OR(F42="",10&lt;=F42)),1,0)</f>
        <v/>
      </c>
      <c r="Q45" s="35">
        <f>IF(AND(11&gt;=E4,OR(F4="",11&lt;=F4)),1,0)+IF(AND(11&gt;=E5,OR(F5="",11&lt;=F5)),1,0)+IF(AND(11&gt;=E6,OR(F6="",11&lt;=F6)),1,0)+IF(AND(11&gt;=E7,OR(F7="",11&lt;=F7)),1,0)+IF(AND(11&gt;=E8,OR(F8="",11&lt;=F8)),1,0)+IF(AND(11&gt;=E9,OR(F9="",11&lt;=F9)),1,0)+IF(AND(11&gt;=E10,OR(F10="",11&lt;=F10)),1,0)+IF(AND(11&gt;=E11,OR(F11="",11&lt;=F11)),1,0)+IF(AND(11&gt;=E12,OR(F12="",11&lt;=F12)),1,0)+IF(AND(11&gt;=E13,OR(F13="",11&lt;=F13)),1,0)+IF(AND(11&gt;=E14,OR(F14="",11&lt;=F14)),1,0)+IF(AND(11&gt;=E15,OR(F15="",11&lt;=F15)),1,0)+IF(AND(11&gt;=E16,OR(F16="",11&lt;=F16)),1,0)+IF(AND(11&gt;=E17,OR(F17="",11&lt;=F17)),1,0)+IF(AND(11&gt;=E18,OR(F18="",11&lt;=F18)),1,0)+IF(AND(11&gt;=E19,OR(F19="",11&lt;=F19)),1,0)+IF(AND(11&gt;=E20,OR(F20="",11&lt;=F20)),1,0)+IF(AND(11&gt;=E21,OR(F21="",11&lt;=F21)),1,0)+IF(AND(11&gt;=E22,OR(F22="",11&lt;=F22)),1,0)+IF(AND(11&gt;=E23,OR(F23="",11&lt;=F23)),1,0)+IF(AND(11&gt;=E24,OR(F24="",11&lt;=F24)),1,0)+IF(AND(11&gt;=E25,OR(F25="",11&lt;=F25)),1,0)+IF(AND(11&gt;=E26,OR(F26="",11&lt;=F26)),1,0)+IF(AND(11&gt;=E27,OR(F27="",11&lt;=F27)),1,0)+IF(AND(11&gt;=E28,OR(F28="",11&lt;=F28)),1,0)+IF(AND(11&gt;=E29,OR(F29="",11&lt;=F29)),1,0)+IF(AND(11&gt;=E30,OR(F30="",11&lt;=F30)),1,0)+IF(AND(11&gt;=E31,OR(F31="",11&lt;=F31)),1,0)+IF(AND(11&gt;=E32,OR(F32="",11&lt;=F32)),1,0)+IF(AND(11&gt;=E33,OR(F33="",11&lt;=F33)),1,0)+IF(AND(11&gt;=E34,OR(F34="",11&lt;=F34)),1,0)+IF(AND(11&gt;=E35,OR(F35="",11&lt;=F35)),1,0)+IF(AND(11&gt;=E36,OR(F36="",11&lt;=F36)),1,0)+IF(AND(11&gt;=E37,OR(F37="",11&lt;=F37)),1,0)+IF(AND(11&gt;=E38,OR(F38="",11&lt;=F38)),1,0)+IF(AND(11&gt;=E39,OR(F39="",11&lt;=F39)),1,0)+IF(AND(11&gt;=E40,OR(F40="",11&lt;=F40)),1,0)+IF(AND(11&gt;=E41,OR(F41="",11&lt;=F41)),1,0)+IF(AND(11&gt;=E42,OR(F42="",11&lt;=F42)),1,0)</f>
        <v/>
      </c>
      <c r="R45" s="35">
        <f>IF(AND(12&gt;=E4,OR(F4="",12&lt;=F4)),1,0)+IF(AND(12&gt;=E5,OR(F5="",12&lt;=F5)),1,0)+IF(AND(12&gt;=E6,OR(F6="",12&lt;=F6)),1,0)+IF(AND(12&gt;=E7,OR(F7="",12&lt;=F7)),1,0)+IF(AND(12&gt;=E8,OR(F8="",12&lt;=F8)),1,0)+IF(AND(12&gt;=E9,OR(F9="",12&lt;=F9)),1,0)+IF(AND(12&gt;=E10,OR(F10="",12&lt;=F10)),1,0)+IF(AND(12&gt;=E11,OR(F11="",12&lt;=F11)),1,0)+IF(AND(12&gt;=E12,OR(F12="",12&lt;=F12)),1,0)+IF(AND(12&gt;=E13,OR(F13="",12&lt;=F13)),1,0)+IF(AND(12&gt;=E14,OR(F14="",12&lt;=F14)),1,0)+IF(AND(12&gt;=E15,OR(F15="",12&lt;=F15)),1,0)+IF(AND(12&gt;=E16,OR(F16="",12&lt;=F16)),1,0)+IF(AND(12&gt;=E17,OR(F17="",12&lt;=F17)),1,0)+IF(AND(12&gt;=E18,OR(F18="",12&lt;=F18)),1,0)+IF(AND(12&gt;=E19,OR(F19="",12&lt;=F19)),1,0)+IF(AND(12&gt;=E20,OR(F20="",12&lt;=F20)),1,0)+IF(AND(12&gt;=E21,OR(F21="",12&lt;=F21)),1,0)+IF(AND(12&gt;=E22,OR(F22="",12&lt;=F22)),1,0)+IF(AND(12&gt;=E23,OR(F23="",12&lt;=F23)),1,0)+IF(AND(12&gt;=E24,OR(F24="",12&lt;=F24)),1,0)+IF(AND(12&gt;=E25,OR(F25="",12&lt;=F25)),1,0)+IF(AND(12&gt;=E26,OR(F26="",12&lt;=F26)),1,0)+IF(AND(12&gt;=E27,OR(F27="",12&lt;=F27)),1,0)+IF(AND(12&gt;=E28,OR(F28="",12&lt;=F28)),1,0)+IF(AND(12&gt;=E29,OR(F29="",12&lt;=F29)),1,0)+IF(AND(12&gt;=E30,OR(F30="",12&lt;=F30)),1,0)+IF(AND(12&gt;=E31,OR(F31="",12&lt;=F31)),1,0)+IF(AND(12&gt;=E32,OR(F32="",12&lt;=F32)),1,0)+IF(AND(12&gt;=E33,OR(F33="",12&lt;=F33)),1,0)+IF(AND(12&gt;=E34,OR(F34="",12&lt;=F34)),1,0)+IF(AND(12&gt;=E35,OR(F35="",12&lt;=F35)),1,0)+IF(AND(12&gt;=E36,OR(F36="",12&lt;=F36)),1,0)+IF(AND(12&gt;=E37,OR(F37="",12&lt;=F37)),1,0)+IF(AND(12&gt;=E38,OR(F38="",12&lt;=F38)),1,0)+IF(AND(12&gt;=E39,OR(F39="",12&lt;=F39)),1,0)+IF(AND(12&gt;=E40,OR(F40="",12&lt;=F40)),1,0)+IF(AND(12&gt;=E41,OR(F41="",12&lt;=F41)),1,0)+IF(AND(12&gt;=E42,OR(F42="",12&lt;=F42)),1,0)</f>
        <v/>
      </c>
      <c r="S45" s="35">
        <f>IF(AND(13&gt;=E4,OR(F4="",13&lt;=F4)),1,0)+IF(AND(13&gt;=E5,OR(F5="",13&lt;=F5)),1,0)+IF(AND(13&gt;=E6,OR(F6="",13&lt;=F6)),1,0)+IF(AND(13&gt;=E7,OR(F7="",13&lt;=F7)),1,0)+IF(AND(13&gt;=E8,OR(F8="",13&lt;=F8)),1,0)+IF(AND(13&gt;=E9,OR(F9="",13&lt;=F9)),1,0)+IF(AND(13&gt;=E10,OR(F10="",13&lt;=F10)),1,0)+IF(AND(13&gt;=E11,OR(F11="",13&lt;=F11)),1,0)+IF(AND(13&gt;=E12,OR(F12="",13&lt;=F12)),1,0)+IF(AND(13&gt;=E13,OR(F13="",13&lt;=F13)),1,0)+IF(AND(13&gt;=E14,OR(F14="",13&lt;=F14)),1,0)+IF(AND(13&gt;=E15,OR(F15="",13&lt;=F15)),1,0)+IF(AND(13&gt;=E16,OR(F16="",13&lt;=F16)),1,0)+IF(AND(13&gt;=E17,OR(F17="",13&lt;=F17)),1,0)+IF(AND(13&gt;=E18,OR(F18="",13&lt;=F18)),1,0)+IF(AND(13&gt;=E19,OR(F19="",13&lt;=F19)),1,0)+IF(AND(13&gt;=E20,OR(F20="",13&lt;=F20)),1,0)+IF(AND(13&gt;=E21,OR(F21="",13&lt;=F21)),1,0)+IF(AND(13&gt;=E22,OR(F22="",13&lt;=F22)),1,0)+IF(AND(13&gt;=E23,OR(F23="",13&lt;=F23)),1,0)+IF(AND(13&gt;=E24,OR(F24="",13&lt;=F24)),1,0)+IF(AND(13&gt;=E25,OR(F25="",13&lt;=F25)),1,0)+IF(AND(13&gt;=E26,OR(F26="",13&lt;=F26)),1,0)+IF(AND(13&gt;=E27,OR(F27="",13&lt;=F27)),1,0)+IF(AND(13&gt;=E28,OR(F28="",13&lt;=F28)),1,0)+IF(AND(13&gt;=E29,OR(F29="",13&lt;=F29)),1,0)+IF(AND(13&gt;=E30,OR(F30="",13&lt;=F30)),1,0)+IF(AND(13&gt;=E31,OR(F31="",13&lt;=F31)),1,0)+IF(AND(13&gt;=E32,OR(F32="",13&lt;=F32)),1,0)+IF(AND(13&gt;=E33,OR(F33="",13&lt;=F33)),1,0)+IF(AND(13&gt;=E34,OR(F34="",13&lt;=F34)),1,0)+IF(AND(13&gt;=E35,OR(F35="",13&lt;=F35)),1,0)+IF(AND(13&gt;=E36,OR(F36="",13&lt;=F36)),1,0)+IF(AND(13&gt;=E37,OR(F37="",13&lt;=F37)),1,0)+IF(AND(13&gt;=E38,OR(F38="",13&lt;=F38)),1,0)+IF(AND(13&gt;=E39,OR(F39="",13&lt;=F39)),1,0)+IF(AND(13&gt;=E40,OR(F40="",13&lt;=F40)),1,0)+IF(AND(13&gt;=E41,OR(F41="",13&lt;=F41)),1,0)+IF(AND(13&gt;=E42,OR(F42="",13&lt;=F42)),1,0)</f>
        <v/>
      </c>
      <c r="T45" s="35">
        <f>IF(AND(14&gt;=E4,OR(F4="",14&lt;=F4)),1,0)+IF(AND(14&gt;=E5,OR(F5="",14&lt;=F5)),1,0)+IF(AND(14&gt;=E6,OR(F6="",14&lt;=F6)),1,0)+IF(AND(14&gt;=E7,OR(F7="",14&lt;=F7)),1,0)+IF(AND(14&gt;=E8,OR(F8="",14&lt;=F8)),1,0)+IF(AND(14&gt;=E9,OR(F9="",14&lt;=F9)),1,0)+IF(AND(14&gt;=E10,OR(F10="",14&lt;=F10)),1,0)+IF(AND(14&gt;=E11,OR(F11="",14&lt;=F11)),1,0)+IF(AND(14&gt;=E12,OR(F12="",14&lt;=F12)),1,0)+IF(AND(14&gt;=E13,OR(F13="",14&lt;=F13)),1,0)+IF(AND(14&gt;=E14,OR(F14="",14&lt;=F14)),1,0)+IF(AND(14&gt;=E15,OR(F15="",14&lt;=F15)),1,0)+IF(AND(14&gt;=E16,OR(F16="",14&lt;=F16)),1,0)+IF(AND(14&gt;=E17,OR(F17="",14&lt;=F17)),1,0)+IF(AND(14&gt;=E18,OR(F18="",14&lt;=F18)),1,0)+IF(AND(14&gt;=E19,OR(F19="",14&lt;=F19)),1,0)+IF(AND(14&gt;=E20,OR(F20="",14&lt;=F20)),1,0)+IF(AND(14&gt;=E21,OR(F21="",14&lt;=F21)),1,0)+IF(AND(14&gt;=E22,OR(F22="",14&lt;=F22)),1,0)+IF(AND(14&gt;=E23,OR(F23="",14&lt;=F23)),1,0)+IF(AND(14&gt;=E24,OR(F24="",14&lt;=F24)),1,0)+IF(AND(14&gt;=E25,OR(F25="",14&lt;=F25)),1,0)+IF(AND(14&gt;=E26,OR(F26="",14&lt;=F26)),1,0)+IF(AND(14&gt;=E27,OR(F27="",14&lt;=F27)),1,0)+IF(AND(14&gt;=E28,OR(F28="",14&lt;=F28)),1,0)+IF(AND(14&gt;=E29,OR(F29="",14&lt;=F29)),1,0)+IF(AND(14&gt;=E30,OR(F30="",14&lt;=F30)),1,0)+IF(AND(14&gt;=E31,OR(F31="",14&lt;=F31)),1,0)+IF(AND(14&gt;=E32,OR(F32="",14&lt;=F32)),1,0)+IF(AND(14&gt;=E33,OR(F33="",14&lt;=F33)),1,0)+IF(AND(14&gt;=E34,OR(F34="",14&lt;=F34)),1,0)+IF(AND(14&gt;=E35,OR(F35="",14&lt;=F35)),1,0)+IF(AND(14&gt;=E36,OR(F36="",14&lt;=F36)),1,0)+IF(AND(14&gt;=E37,OR(F37="",14&lt;=F37)),1,0)+IF(AND(14&gt;=E38,OR(F38="",14&lt;=F38)),1,0)+IF(AND(14&gt;=E39,OR(F39="",14&lt;=F39)),1,0)+IF(AND(14&gt;=E40,OR(F40="",14&lt;=F40)),1,0)+IF(AND(14&gt;=E41,OR(F41="",14&lt;=F41)),1,0)+IF(AND(14&gt;=E42,OR(F42="",14&lt;=F42)),1,0)</f>
        <v/>
      </c>
      <c r="U45" s="35">
        <f>IF(AND(15&gt;=E4,OR(F4="",15&lt;=F4)),1,0)+IF(AND(15&gt;=E5,OR(F5="",15&lt;=F5)),1,0)+IF(AND(15&gt;=E6,OR(F6="",15&lt;=F6)),1,0)+IF(AND(15&gt;=E7,OR(F7="",15&lt;=F7)),1,0)+IF(AND(15&gt;=E8,OR(F8="",15&lt;=F8)),1,0)+IF(AND(15&gt;=E9,OR(F9="",15&lt;=F9)),1,0)+IF(AND(15&gt;=E10,OR(F10="",15&lt;=F10)),1,0)+IF(AND(15&gt;=E11,OR(F11="",15&lt;=F11)),1,0)+IF(AND(15&gt;=E12,OR(F12="",15&lt;=F12)),1,0)+IF(AND(15&gt;=E13,OR(F13="",15&lt;=F13)),1,0)+IF(AND(15&gt;=E14,OR(F14="",15&lt;=F14)),1,0)+IF(AND(15&gt;=E15,OR(F15="",15&lt;=F15)),1,0)+IF(AND(15&gt;=E16,OR(F16="",15&lt;=F16)),1,0)+IF(AND(15&gt;=E17,OR(F17="",15&lt;=F17)),1,0)+IF(AND(15&gt;=E18,OR(F18="",15&lt;=F18)),1,0)+IF(AND(15&gt;=E19,OR(F19="",15&lt;=F19)),1,0)+IF(AND(15&gt;=E20,OR(F20="",15&lt;=F20)),1,0)+IF(AND(15&gt;=E21,OR(F21="",15&lt;=F21)),1,0)+IF(AND(15&gt;=E22,OR(F22="",15&lt;=F22)),1,0)+IF(AND(15&gt;=E23,OR(F23="",15&lt;=F23)),1,0)+IF(AND(15&gt;=E24,OR(F24="",15&lt;=F24)),1,0)+IF(AND(15&gt;=E25,OR(F25="",15&lt;=F25)),1,0)+IF(AND(15&gt;=E26,OR(F26="",15&lt;=F26)),1,0)+IF(AND(15&gt;=E27,OR(F27="",15&lt;=F27)),1,0)+IF(AND(15&gt;=E28,OR(F28="",15&lt;=F28)),1,0)+IF(AND(15&gt;=E29,OR(F29="",15&lt;=F29)),1,0)+IF(AND(15&gt;=E30,OR(F30="",15&lt;=F30)),1,0)+IF(AND(15&gt;=E31,OR(F31="",15&lt;=F31)),1,0)+IF(AND(15&gt;=E32,OR(F32="",15&lt;=F32)),1,0)+IF(AND(15&gt;=E33,OR(F33="",15&lt;=F33)),1,0)+IF(AND(15&gt;=E34,OR(F34="",15&lt;=F34)),1,0)+IF(AND(15&gt;=E35,OR(F35="",15&lt;=F35)),1,0)+IF(AND(15&gt;=E36,OR(F36="",15&lt;=F36)),1,0)+IF(AND(15&gt;=E37,OR(F37="",15&lt;=F37)),1,0)+IF(AND(15&gt;=E38,OR(F38="",15&lt;=F38)),1,0)+IF(AND(15&gt;=E39,OR(F39="",15&lt;=F39)),1,0)+IF(AND(15&gt;=E40,OR(F40="",15&lt;=F40)),1,0)+IF(AND(15&gt;=E41,OR(F41="",15&lt;=F41)),1,0)+IF(AND(15&gt;=E42,OR(F42="",15&lt;=F42)),1,0)</f>
        <v/>
      </c>
      <c r="V45" s="35">
        <f>IF(AND(16&gt;=E4,OR(F4="",16&lt;=F4)),1,0)+IF(AND(16&gt;=E5,OR(F5="",16&lt;=F5)),1,0)+IF(AND(16&gt;=E6,OR(F6="",16&lt;=F6)),1,0)+IF(AND(16&gt;=E7,OR(F7="",16&lt;=F7)),1,0)+IF(AND(16&gt;=E8,OR(F8="",16&lt;=F8)),1,0)+IF(AND(16&gt;=E9,OR(F9="",16&lt;=F9)),1,0)+IF(AND(16&gt;=E10,OR(F10="",16&lt;=F10)),1,0)+IF(AND(16&gt;=E11,OR(F11="",16&lt;=F11)),1,0)+IF(AND(16&gt;=E12,OR(F12="",16&lt;=F12)),1,0)+IF(AND(16&gt;=E13,OR(F13="",16&lt;=F13)),1,0)+IF(AND(16&gt;=E14,OR(F14="",16&lt;=F14)),1,0)+IF(AND(16&gt;=E15,OR(F15="",16&lt;=F15)),1,0)+IF(AND(16&gt;=E16,OR(F16="",16&lt;=F16)),1,0)+IF(AND(16&gt;=E17,OR(F17="",16&lt;=F17)),1,0)+IF(AND(16&gt;=E18,OR(F18="",16&lt;=F18)),1,0)+IF(AND(16&gt;=E19,OR(F19="",16&lt;=F19)),1,0)+IF(AND(16&gt;=E20,OR(F20="",16&lt;=F20)),1,0)+IF(AND(16&gt;=E21,OR(F21="",16&lt;=F21)),1,0)+IF(AND(16&gt;=E22,OR(F22="",16&lt;=F22)),1,0)+IF(AND(16&gt;=E23,OR(F23="",16&lt;=F23)),1,0)+IF(AND(16&gt;=E24,OR(F24="",16&lt;=F24)),1,0)+IF(AND(16&gt;=E25,OR(F25="",16&lt;=F25)),1,0)+IF(AND(16&gt;=E26,OR(F26="",16&lt;=F26)),1,0)+IF(AND(16&gt;=E27,OR(F27="",16&lt;=F27)),1,0)+IF(AND(16&gt;=E28,OR(F28="",16&lt;=F28)),1,0)+IF(AND(16&gt;=E29,OR(F29="",16&lt;=F29)),1,0)+IF(AND(16&gt;=E30,OR(F30="",16&lt;=F30)),1,0)+IF(AND(16&gt;=E31,OR(F31="",16&lt;=F31)),1,0)+IF(AND(16&gt;=E32,OR(F32="",16&lt;=F32)),1,0)+IF(AND(16&gt;=E33,OR(F33="",16&lt;=F33)),1,0)+IF(AND(16&gt;=E34,OR(F34="",16&lt;=F34)),1,0)+IF(AND(16&gt;=E35,OR(F35="",16&lt;=F35)),1,0)+IF(AND(16&gt;=E36,OR(F36="",16&lt;=F36)),1,0)+IF(AND(16&gt;=E37,OR(F37="",16&lt;=F37)),1,0)+IF(AND(16&gt;=E38,OR(F38="",16&lt;=F38)),1,0)+IF(AND(16&gt;=E39,OR(F39="",16&lt;=F39)),1,0)+IF(AND(16&gt;=E40,OR(F40="",16&lt;=F40)),1,0)+IF(AND(16&gt;=E41,OR(F41="",16&lt;=F41)),1,0)+IF(AND(16&gt;=E42,OR(F42="",16&lt;=F42)),1,0)</f>
        <v/>
      </c>
      <c r="W45" s="35">
        <f>IF(AND(17&gt;=E4,OR(F4="",17&lt;=F4)),1,0)+IF(AND(17&gt;=E5,OR(F5="",17&lt;=F5)),1,0)+IF(AND(17&gt;=E6,OR(F6="",17&lt;=F6)),1,0)+IF(AND(17&gt;=E7,OR(F7="",17&lt;=F7)),1,0)+IF(AND(17&gt;=E8,OR(F8="",17&lt;=F8)),1,0)+IF(AND(17&gt;=E9,OR(F9="",17&lt;=F9)),1,0)+IF(AND(17&gt;=E10,OR(F10="",17&lt;=F10)),1,0)+IF(AND(17&gt;=E11,OR(F11="",17&lt;=F11)),1,0)+IF(AND(17&gt;=E12,OR(F12="",17&lt;=F12)),1,0)+IF(AND(17&gt;=E13,OR(F13="",17&lt;=F13)),1,0)+IF(AND(17&gt;=E14,OR(F14="",17&lt;=F14)),1,0)+IF(AND(17&gt;=E15,OR(F15="",17&lt;=F15)),1,0)+IF(AND(17&gt;=E16,OR(F16="",17&lt;=F16)),1,0)+IF(AND(17&gt;=E17,OR(F17="",17&lt;=F17)),1,0)+IF(AND(17&gt;=E18,OR(F18="",17&lt;=F18)),1,0)+IF(AND(17&gt;=E19,OR(F19="",17&lt;=F19)),1,0)+IF(AND(17&gt;=E20,OR(F20="",17&lt;=F20)),1,0)+IF(AND(17&gt;=E21,OR(F21="",17&lt;=F21)),1,0)+IF(AND(17&gt;=E22,OR(F22="",17&lt;=F22)),1,0)+IF(AND(17&gt;=E23,OR(F23="",17&lt;=F23)),1,0)+IF(AND(17&gt;=E24,OR(F24="",17&lt;=F24)),1,0)+IF(AND(17&gt;=E25,OR(F25="",17&lt;=F25)),1,0)+IF(AND(17&gt;=E26,OR(F26="",17&lt;=F26)),1,0)+IF(AND(17&gt;=E27,OR(F27="",17&lt;=F27)),1,0)+IF(AND(17&gt;=E28,OR(F28="",17&lt;=F28)),1,0)+IF(AND(17&gt;=E29,OR(F29="",17&lt;=F29)),1,0)+IF(AND(17&gt;=E30,OR(F30="",17&lt;=F30)),1,0)+IF(AND(17&gt;=E31,OR(F31="",17&lt;=F31)),1,0)+IF(AND(17&gt;=E32,OR(F32="",17&lt;=F32)),1,0)+IF(AND(17&gt;=E33,OR(F33="",17&lt;=F33)),1,0)+IF(AND(17&gt;=E34,OR(F34="",17&lt;=F34)),1,0)+IF(AND(17&gt;=E35,OR(F35="",17&lt;=F35)),1,0)+IF(AND(17&gt;=E36,OR(F36="",17&lt;=F36)),1,0)+IF(AND(17&gt;=E37,OR(F37="",17&lt;=F37)),1,0)+IF(AND(17&gt;=E38,OR(F38="",17&lt;=F38)),1,0)+IF(AND(17&gt;=E39,OR(F39="",17&lt;=F39)),1,0)+IF(AND(17&gt;=E40,OR(F40="",17&lt;=F40)),1,0)+IF(AND(17&gt;=E41,OR(F41="",17&lt;=F41)),1,0)+IF(AND(17&gt;=E42,OR(F42="",17&lt;=F42)),1,0)</f>
        <v/>
      </c>
      <c r="X45" s="35">
        <f>IF(AND(18&gt;=E4,OR(F4="",18&lt;=F4)),1,0)+IF(AND(18&gt;=E5,OR(F5="",18&lt;=F5)),1,0)+IF(AND(18&gt;=E6,OR(F6="",18&lt;=F6)),1,0)+IF(AND(18&gt;=E7,OR(F7="",18&lt;=F7)),1,0)+IF(AND(18&gt;=E8,OR(F8="",18&lt;=F8)),1,0)+IF(AND(18&gt;=E9,OR(F9="",18&lt;=F9)),1,0)+IF(AND(18&gt;=E10,OR(F10="",18&lt;=F10)),1,0)+IF(AND(18&gt;=E11,OR(F11="",18&lt;=F11)),1,0)+IF(AND(18&gt;=E12,OR(F12="",18&lt;=F12)),1,0)+IF(AND(18&gt;=E13,OR(F13="",18&lt;=F13)),1,0)+IF(AND(18&gt;=E14,OR(F14="",18&lt;=F14)),1,0)+IF(AND(18&gt;=E15,OR(F15="",18&lt;=F15)),1,0)+IF(AND(18&gt;=E16,OR(F16="",18&lt;=F16)),1,0)+IF(AND(18&gt;=E17,OR(F17="",18&lt;=F17)),1,0)+IF(AND(18&gt;=E18,OR(F18="",18&lt;=F18)),1,0)+IF(AND(18&gt;=E19,OR(F19="",18&lt;=F19)),1,0)+IF(AND(18&gt;=E20,OR(F20="",18&lt;=F20)),1,0)+IF(AND(18&gt;=E21,OR(F21="",18&lt;=F21)),1,0)+IF(AND(18&gt;=E22,OR(F22="",18&lt;=F22)),1,0)+IF(AND(18&gt;=E23,OR(F23="",18&lt;=F23)),1,0)+IF(AND(18&gt;=E24,OR(F24="",18&lt;=F24)),1,0)+IF(AND(18&gt;=E25,OR(F25="",18&lt;=F25)),1,0)+IF(AND(18&gt;=E26,OR(F26="",18&lt;=F26)),1,0)+IF(AND(18&gt;=E27,OR(F27="",18&lt;=F27)),1,0)+IF(AND(18&gt;=E28,OR(F28="",18&lt;=F28)),1,0)+IF(AND(18&gt;=E29,OR(F29="",18&lt;=F29)),1,0)+IF(AND(18&gt;=E30,OR(F30="",18&lt;=F30)),1,0)+IF(AND(18&gt;=E31,OR(F31="",18&lt;=F31)),1,0)+IF(AND(18&gt;=E32,OR(F32="",18&lt;=F32)),1,0)+IF(AND(18&gt;=E33,OR(F33="",18&lt;=F33)),1,0)+IF(AND(18&gt;=E34,OR(F34="",18&lt;=F34)),1,0)+IF(AND(18&gt;=E35,OR(F35="",18&lt;=F35)),1,0)+IF(AND(18&gt;=E36,OR(F36="",18&lt;=F36)),1,0)+IF(AND(18&gt;=E37,OR(F37="",18&lt;=F37)),1,0)+IF(AND(18&gt;=E38,OR(F38="",18&lt;=F38)),1,0)+IF(AND(18&gt;=E39,OR(F39="",18&lt;=F39)),1,0)+IF(AND(18&gt;=E40,OR(F40="",18&lt;=F40)),1,0)+IF(AND(18&gt;=E41,OR(F41="",18&lt;=F41)),1,0)+IF(AND(18&gt;=E42,OR(F42="",18&lt;=F42)),1,0)</f>
        <v/>
      </c>
      <c r="Y45" s="35">
        <f>IF(AND(19&gt;=E4,OR(F4="",19&lt;=F4)),1,0)+IF(AND(19&gt;=E5,OR(F5="",19&lt;=F5)),1,0)+IF(AND(19&gt;=E6,OR(F6="",19&lt;=F6)),1,0)+IF(AND(19&gt;=E7,OR(F7="",19&lt;=F7)),1,0)+IF(AND(19&gt;=E8,OR(F8="",19&lt;=F8)),1,0)+IF(AND(19&gt;=E9,OR(F9="",19&lt;=F9)),1,0)+IF(AND(19&gt;=E10,OR(F10="",19&lt;=F10)),1,0)+IF(AND(19&gt;=E11,OR(F11="",19&lt;=F11)),1,0)+IF(AND(19&gt;=E12,OR(F12="",19&lt;=F12)),1,0)+IF(AND(19&gt;=E13,OR(F13="",19&lt;=F13)),1,0)+IF(AND(19&gt;=E14,OR(F14="",19&lt;=F14)),1,0)+IF(AND(19&gt;=E15,OR(F15="",19&lt;=F15)),1,0)+IF(AND(19&gt;=E16,OR(F16="",19&lt;=F16)),1,0)+IF(AND(19&gt;=E17,OR(F17="",19&lt;=F17)),1,0)+IF(AND(19&gt;=E18,OR(F18="",19&lt;=F18)),1,0)+IF(AND(19&gt;=E19,OR(F19="",19&lt;=F19)),1,0)+IF(AND(19&gt;=E20,OR(F20="",19&lt;=F20)),1,0)+IF(AND(19&gt;=E21,OR(F21="",19&lt;=F21)),1,0)+IF(AND(19&gt;=E22,OR(F22="",19&lt;=F22)),1,0)+IF(AND(19&gt;=E23,OR(F23="",19&lt;=F23)),1,0)+IF(AND(19&gt;=E24,OR(F24="",19&lt;=F24)),1,0)+IF(AND(19&gt;=E25,OR(F25="",19&lt;=F25)),1,0)+IF(AND(19&gt;=E26,OR(F26="",19&lt;=F26)),1,0)+IF(AND(19&gt;=E27,OR(F27="",19&lt;=F27)),1,0)+IF(AND(19&gt;=E28,OR(F28="",19&lt;=F28)),1,0)+IF(AND(19&gt;=E29,OR(F29="",19&lt;=F29)),1,0)+IF(AND(19&gt;=E30,OR(F30="",19&lt;=F30)),1,0)+IF(AND(19&gt;=E31,OR(F31="",19&lt;=F31)),1,0)+IF(AND(19&gt;=E32,OR(F32="",19&lt;=F32)),1,0)+IF(AND(19&gt;=E33,OR(F33="",19&lt;=F33)),1,0)+IF(AND(19&gt;=E34,OR(F34="",19&lt;=F34)),1,0)+IF(AND(19&gt;=E35,OR(F35="",19&lt;=F35)),1,0)+IF(AND(19&gt;=E36,OR(F36="",19&lt;=F36)),1,0)+IF(AND(19&gt;=E37,OR(F37="",19&lt;=F37)),1,0)+IF(AND(19&gt;=E38,OR(F38="",19&lt;=F38)),1,0)+IF(AND(19&gt;=E39,OR(F39="",19&lt;=F39)),1,0)+IF(AND(19&gt;=E40,OR(F40="",19&lt;=F40)),1,0)+IF(AND(19&gt;=E41,OR(F41="",19&lt;=F41)),1,0)+IF(AND(19&gt;=E42,OR(F42="",19&lt;=F42)),1,0)</f>
        <v/>
      </c>
      <c r="Z45" s="35">
        <f>IF(AND(20&gt;=E4,OR(F4="",20&lt;=F4)),1,0)+IF(AND(20&gt;=E5,OR(F5="",20&lt;=F5)),1,0)+IF(AND(20&gt;=E6,OR(F6="",20&lt;=F6)),1,0)+IF(AND(20&gt;=E7,OR(F7="",20&lt;=F7)),1,0)+IF(AND(20&gt;=E8,OR(F8="",20&lt;=F8)),1,0)+IF(AND(20&gt;=E9,OR(F9="",20&lt;=F9)),1,0)+IF(AND(20&gt;=E10,OR(F10="",20&lt;=F10)),1,0)+IF(AND(20&gt;=E11,OR(F11="",20&lt;=F11)),1,0)+IF(AND(20&gt;=E12,OR(F12="",20&lt;=F12)),1,0)+IF(AND(20&gt;=E13,OR(F13="",20&lt;=F13)),1,0)+IF(AND(20&gt;=E14,OR(F14="",20&lt;=F14)),1,0)+IF(AND(20&gt;=E15,OR(F15="",20&lt;=F15)),1,0)+IF(AND(20&gt;=E16,OR(F16="",20&lt;=F16)),1,0)+IF(AND(20&gt;=E17,OR(F17="",20&lt;=F17)),1,0)+IF(AND(20&gt;=E18,OR(F18="",20&lt;=F18)),1,0)+IF(AND(20&gt;=E19,OR(F19="",20&lt;=F19)),1,0)+IF(AND(20&gt;=E20,OR(F20="",20&lt;=F20)),1,0)+IF(AND(20&gt;=E21,OR(F21="",20&lt;=F21)),1,0)+IF(AND(20&gt;=E22,OR(F22="",20&lt;=F22)),1,0)+IF(AND(20&gt;=E23,OR(F23="",20&lt;=F23)),1,0)+IF(AND(20&gt;=E24,OR(F24="",20&lt;=F24)),1,0)+IF(AND(20&gt;=E25,OR(F25="",20&lt;=F25)),1,0)+IF(AND(20&gt;=E26,OR(F26="",20&lt;=F26)),1,0)+IF(AND(20&gt;=E27,OR(F27="",20&lt;=F27)),1,0)+IF(AND(20&gt;=E28,OR(F28="",20&lt;=F28)),1,0)+IF(AND(20&gt;=E29,OR(F29="",20&lt;=F29)),1,0)+IF(AND(20&gt;=E30,OR(F30="",20&lt;=F30)),1,0)+IF(AND(20&gt;=E31,OR(F31="",20&lt;=F31)),1,0)+IF(AND(20&gt;=E32,OR(F32="",20&lt;=F32)),1,0)+IF(AND(20&gt;=E33,OR(F33="",20&lt;=F33)),1,0)+IF(AND(20&gt;=E34,OR(F34="",20&lt;=F34)),1,0)+IF(AND(20&gt;=E35,OR(F35="",20&lt;=F35)),1,0)+IF(AND(20&gt;=E36,OR(F36="",20&lt;=F36)),1,0)+IF(AND(20&gt;=E37,OR(F37="",20&lt;=F37)),1,0)+IF(AND(20&gt;=E38,OR(F38="",20&lt;=F38)),1,0)+IF(AND(20&gt;=E39,OR(F39="",20&lt;=F39)),1,0)+IF(AND(20&gt;=E40,OR(F40="",20&lt;=F40)),1,0)+IF(AND(20&gt;=E41,OR(F41="",20&lt;=F41)),1,0)+IF(AND(20&gt;=E42,OR(F42="",20&lt;=F42)),1,0)</f>
        <v/>
      </c>
      <c r="AA45" s="35">
        <f>IF(AND(21&gt;=E4,OR(F4="",21&lt;=F4)),1,0)+IF(AND(21&gt;=E5,OR(F5="",21&lt;=F5)),1,0)+IF(AND(21&gt;=E6,OR(F6="",21&lt;=F6)),1,0)+IF(AND(21&gt;=E7,OR(F7="",21&lt;=F7)),1,0)+IF(AND(21&gt;=E8,OR(F8="",21&lt;=F8)),1,0)+IF(AND(21&gt;=E9,OR(F9="",21&lt;=F9)),1,0)+IF(AND(21&gt;=E10,OR(F10="",21&lt;=F10)),1,0)+IF(AND(21&gt;=E11,OR(F11="",21&lt;=F11)),1,0)+IF(AND(21&gt;=E12,OR(F12="",21&lt;=F12)),1,0)+IF(AND(21&gt;=E13,OR(F13="",21&lt;=F13)),1,0)+IF(AND(21&gt;=E14,OR(F14="",21&lt;=F14)),1,0)+IF(AND(21&gt;=E15,OR(F15="",21&lt;=F15)),1,0)+IF(AND(21&gt;=E16,OR(F16="",21&lt;=F16)),1,0)+IF(AND(21&gt;=E17,OR(F17="",21&lt;=F17)),1,0)+IF(AND(21&gt;=E18,OR(F18="",21&lt;=F18)),1,0)+IF(AND(21&gt;=E19,OR(F19="",21&lt;=F19)),1,0)+IF(AND(21&gt;=E20,OR(F20="",21&lt;=F20)),1,0)+IF(AND(21&gt;=E21,OR(F21="",21&lt;=F21)),1,0)+IF(AND(21&gt;=E22,OR(F22="",21&lt;=F22)),1,0)+IF(AND(21&gt;=E23,OR(F23="",21&lt;=F23)),1,0)+IF(AND(21&gt;=E24,OR(F24="",21&lt;=F24)),1,0)+IF(AND(21&gt;=E25,OR(F25="",21&lt;=F25)),1,0)+IF(AND(21&gt;=E26,OR(F26="",21&lt;=F26)),1,0)+IF(AND(21&gt;=E27,OR(F27="",21&lt;=F27)),1,0)+IF(AND(21&gt;=E28,OR(F28="",21&lt;=F28)),1,0)+IF(AND(21&gt;=E29,OR(F29="",21&lt;=F29)),1,0)+IF(AND(21&gt;=E30,OR(F30="",21&lt;=F30)),1,0)+IF(AND(21&gt;=E31,OR(F31="",21&lt;=F31)),1,0)+IF(AND(21&gt;=E32,OR(F32="",21&lt;=F32)),1,0)+IF(AND(21&gt;=E33,OR(F33="",21&lt;=F33)),1,0)+IF(AND(21&gt;=E34,OR(F34="",21&lt;=F34)),1,0)+IF(AND(21&gt;=E35,OR(F35="",21&lt;=F35)),1,0)+IF(AND(21&gt;=E36,OR(F36="",21&lt;=F36)),1,0)+IF(AND(21&gt;=E37,OR(F37="",21&lt;=F37)),1,0)+IF(AND(21&gt;=E38,OR(F38="",21&lt;=F38)),1,0)+IF(AND(21&gt;=E39,OR(F39="",21&lt;=F39)),1,0)+IF(AND(21&gt;=E40,OR(F40="",21&lt;=F40)),1,0)+IF(AND(21&gt;=E41,OR(F41="",21&lt;=F41)),1,0)+IF(AND(21&gt;=E42,OR(F42="",21&lt;=F42)),1,0)</f>
        <v/>
      </c>
      <c r="AB45" s="35">
        <f>IF(AND(22&gt;=E4,OR(F4="",22&lt;=F4)),1,0)+IF(AND(22&gt;=E5,OR(F5="",22&lt;=F5)),1,0)+IF(AND(22&gt;=E6,OR(F6="",22&lt;=F6)),1,0)+IF(AND(22&gt;=E7,OR(F7="",22&lt;=F7)),1,0)+IF(AND(22&gt;=E8,OR(F8="",22&lt;=F8)),1,0)+IF(AND(22&gt;=E9,OR(F9="",22&lt;=F9)),1,0)+IF(AND(22&gt;=E10,OR(F10="",22&lt;=F10)),1,0)+IF(AND(22&gt;=E11,OR(F11="",22&lt;=F11)),1,0)+IF(AND(22&gt;=E12,OR(F12="",22&lt;=F12)),1,0)+IF(AND(22&gt;=E13,OR(F13="",22&lt;=F13)),1,0)+IF(AND(22&gt;=E14,OR(F14="",22&lt;=F14)),1,0)+IF(AND(22&gt;=E15,OR(F15="",22&lt;=F15)),1,0)+IF(AND(22&gt;=E16,OR(F16="",22&lt;=F16)),1,0)+IF(AND(22&gt;=E17,OR(F17="",22&lt;=F17)),1,0)+IF(AND(22&gt;=E18,OR(F18="",22&lt;=F18)),1,0)+IF(AND(22&gt;=E19,OR(F19="",22&lt;=F19)),1,0)+IF(AND(22&gt;=E20,OR(F20="",22&lt;=F20)),1,0)+IF(AND(22&gt;=E21,OR(F21="",22&lt;=F21)),1,0)+IF(AND(22&gt;=E22,OR(F22="",22&lt;=F22)),1,0)+IF(AND(22&gt;=E23,OR(F23="",22&lt;=F23)),1,0)+IF(AND(22&gt;=E24,OR(F24="",22&lt;=F24)),1,0)+IF(AND(22&gt;=E25,OR(F25="",22&lt;=F25)),1,0)+IF(AND(22&gt;=E26,OR(F26="",22&lt;=F26)),1,0)+IF(AND(22&gt;=E27,OR(F27="",22&lt;=F27)),1,0)+IF(AND(22&gt;=E28,OR(F28="",22&lt;=F28)),1,0)+IF(AND(22&gt;=E29,OR(F29="",22&lt;=F29)),1,0)+IF(AND(22&gt;=E30,OR(F30="",22&lt;=F30)),1,0)+IF(AND(22&gt;=E31,OR(F31="",22&lt;=F31)),1,0)+IF(AND(22&gt;=E32,OR(F32="",22&lt;=F32)),1,0)+IF(AND(22&gt;=E33,OR(F33="",22&lt;=F33)),1,0)+IF(AND(22&gt;=E34,OR(F34="",22&lt;=F34)),1,0)+IF(AND(22&gt;=E35,OR(F35="",22&lt;=F35)),1,0)+IF(AND(22&gt;=E36,OR(F36="",22&lt;=F36)),1,0)+IF(AND(22&gt;=E37,OR(F37="",22&lt;=F37)),1,0)+IF(AND(22&gt;=E38,OR(F38="",22&lt;=F38)),1,0)+IF(AND(22&gt;=E39,OR(F39="",22&lt;=F39)),1,0)+IF(AND(22&gt;=E40,OR(F40="",22&lt;=F40)),1,0)+IF(AND(22&gt;=E41,OR(F41="",22&lt;=F41)),1,0)+IF(AND(22&gt;=E42,OR(F42="",22&lt;=F42)),1,0)</f>
        <v/>
      </c>
      <c r="AC45" s="35">
        <f>IF(AND(23&gt;=E4,OR(F4="",23&lt;=F4)),1,0)+IF(AND(23&gt;=E5,OR(F5="",23&lt;=F5)),1,0)+IF(AND(23&gt;=E6,OR(F6="",23&lt;=F6)),1,0)+IF(AND(23&gt;=E7,OR(F7="",23&lt;=F7)),1,0)+IF(AND(23&gt;=E8,OR(F8="",23&lt;=F8)),1,0)+IF(AND(23&gt;=E9,OR(F9="",23&lt;=F9)),1,0)+IF(AND(23&gt;=E10,OR(F10="",23&lt;=F10)),1,0)+IF(AND(23&gt;=E11,OR(F11="",23&lt;=F11)),1,0)+IF(AND(23&gt;=E12,OR(F12="",23&lt;=F12)),1,0)+IF(AND(23&gt;=E13,OR(F13="",23&lt;=F13)),1,0)+IF(AND(23&gt;=E14,OR(F14="",23&lt;=F14)),1,0)+IF(AND(23&gt;=E15,OR(F15="",23&lt;=F15)),1,0)+IF(AND(23&gt;=E16,OR(F16="",23&lt;=F16)),1,0)+IF(AND(23&gt;=E17,OR(F17="",23&lt;=F17)),1,0)+IF(AND(23&gt;=E18,OR(F18="",23&lt;=F18)),1,0)+IF(AND(23&gt;=E19,OR(F19="",23&lt;=F19)),1,0)+IF(AND(23&gt;=E20,OR(F20="",23&lt;=F20)),1,0)+IF(AND(23&gt;=E21,OR(F21="",23&lt;=F21)),1,0)+IF(AND(23&gt;=E22,OR(F22="",23&lt;=F22)),1,0)+IF(AND(23&gt;=E23,OR(F23="",23&lt;=F23)),1,0)+IF(AND(23&gt;=E24,OR(F24="",23&lt;=F24)),1,0)+IF(AND(23&gt;=E25,OR(F25="",23&lt;=F25)),1,0)+IF(AND(23&gt;=E26,OR(F26="",23&lt;=F26)),1,0)+IF(AND(23&gt;=E27,OR(F27="",23&lt;=F27)),1,0)+IF(AND(23&gt;=E28,OR(F28="",23&lt;=F28)),1,0)+IF(AND(23&gt;=E29,OR(F29="",23&lt;=F29)),1,0)+IF(AND(23&gt;=E30,OR(F30="",23&lt;=F30)),1,0)+IF(AND(23&gt;=E31,OR(F31="",23&lt;=F31)),1,0)+IF(AND(23&gt;=E32,OR(F32="",23&lt;=F32)),1,0)+IF(AND(23&gt;=E33,OR(F33="",23&lt;=F33)),1,0)+IF(AND(23&gt;=E34,OR(F34="",23&lt;=F34)),1,0)+IF(AND(23&gt;=E35,OR(F35="",23&lt;=F35)),1,0)+IF(AND(23&gt;=E36,OR(F36="",23&lt;=F36)),1,0)+IF(AND(23&gt;=E37,OR(F37="",23&lt;=F37)),1,0)+IF(AND(23&gt;=E38,OR(F38="",23&lt;=F38)),1,0)+IF(AND(23&gt;=E39,OR(F39="",23&lt;=F39)),1,0)+IF(AND(23&gt;=E40,OR(F40="",23&lt;=F40)),1,0)+IF(AND(23&gt;=E41,OR(F41="",23&lt;=F41)),1,0)+IF(AND(23&gt;=E42,OR(F42="",23&lt;=F42)),1,0)</f>
        <v/>
      </c>
      <c r="AD45" s="35">
        <f>IF(AND(24&gt;=E4,OR(F4="",24&lt;=F4)),1,0)+IF(AND(24&gt;=E5,OR(F5="",24&lt;=F5)),1,0)+IF(AND(24&gt;=E6,OR(F6="",24&lt;=F6)),1,0)+IF(AND(24&gt;=E7,OR(F7="",24&lt;=F7)),1,0)+IF(AND(24&gt;=E8,OR(F8="",24&lt;=F8)),1,0)+IF(AND(24&gt;=E9,OR(F9="",24&lt;=F9)),1,0)+IF(AND(24&gt;=E10,OR(F10="",24&lt;=F10)),1,0)+IF(AND(24&gt;=E11,OR(F11="",24&lt;=F11)),1,0)+IF(AND(24&gt;=E12,OR(F12="",24&lt;=F12)),1,0)+IF(AND(24&gt;=E13,OR(F13="",24&lt;=F13)),1,0)+IF(AND(24&gt;=E14,OR(F14="",24&lt;=F14)),1,0)+IF(AND(24&gt;=E15,OR(F15="",24&lt;=F15)),1,0)+IF(AND(24&gt;=E16,OR(F16="",24&lt;=F16)),1,0)+IF(AND(24&gt;=E17,OR(F17="",24&lt;=F17)),1,0)+IF(AND(24&gt;=E18,OR(F18="",24&lt;=F18)),1,0)+IF(AND(24&gt;=E19,OR(F19="",24&lt;=F19)),1,0)+IF(AND(24&gt;=E20,OR(F20="",24&lt;=F20)),1,0)+IF(AND(24&gt;=E21,OR(F21="",24&lt;=F21)),1,0)+IF(AND(24&gt;=E22,OR(F22="",24&lt;=F22)),1,0)+IF(AND(24&gt;=E23,OR(F23="",24&lt;=F23)),1,0)+IF(AND(24&gt;=E24,OR(F24="",24&lt;=F24)),1,0)+IF(AND(24&gt;=E25,OR(F25="",24&lt;=F25)),1,0)+IF(AND(24&gt;=E26,OR(F26="",24&lt;=F26)),1,0)+IF(AND(24&gt;=E27,OR(F27="",24&lt;=F27)),1,0)+IF(AND(24&gt;=E28,OR(F28="",24&lt;=F28)),1,0)+IF(AND(24&gt;=E29,OR(F29="",24&lt;=F29)),1,0)+IF(AND(24&gt;=E30,OR(F30="",24&lt;=F30)),1,0)+IF(AND(24&gt;=E31,OR(F31="",24&lt;=F31)),1,0)+IF(AND(24&gt;=E32,OR(F32="",24&lt;=F32)),1,0)+IF(AND(24&gt;=E33,OR(F33="",24&lt;=F33)),1,0)+IF(AND(24&gt;=E34,OR(F34="",24&lt;=F34)),1,0)+IF(AND(24&gt;=E35,OR(F35="",24&lt;=F35)),1,0)+IF(AND(24&gt;=E36,OR(F36="",24&lt;=F36)),1,0)+IF(AND(24&gt;=E37,OR(F37="",24&lt;=F37)),1,0)+IF(AND(24&gt;=E38,OR(F38="",24&lt;=F38)),1,0)+IF(AND(24&gt;=E39,OR(F39="",24&lt;=F39)),1,0)+IF(AND(24&gt;=E40,OR(F40="",24&lt;=F40)),1,0)+IF(AND(24&gt;=E41,OR(F41="",24&lt;=F41)),1,0)+IF(AND(24&gt;=E42,OR(F42="",24&lt;=F42)),1,0)</f>
        <v/>
      </c>
      <c r="AE45" s="35">
        <f>IF(AND(25&gt;=E4,OR(F4="",25&lt;=F4)),1,0)+IF(AND(25&gt;=E5,OR(F5="",25&lt;=F5)),1,0)+IF(AND(25&gt;=E6,OR(F6="",25&lt;=F6)),1,0)+IF(AND(25&gt;=E7,OR(F7="",25&lt;=F7)),1,0)+IF(AND(25&gt;=E8,OR(F8="",25&lt;=F8)),1,0)+IF(AND(25&gt;=E9,OR(F9="",25&lt;=F9)),1,0)+IF(AND(25&gt;=E10,OR(F10="",25&lt;=F10)),1,0)+IF(AND(25&gt;=E11,OR(F11="",25&lt;=F11)),1,0)+IF(AND(25&gt;=E12,OR(F12="",25&lt;=F12)),1,0)+IF(AND(25&gt;=E13,OR(F13="",25&lt;=F13)),1,0)+IF(AND(25&gt;=E14,OR(F14="",25&lt;=F14)),1,0)+IF(AND(25&gt;=E15,OR(F15="",25&lt;=F15)),1,0)+IF(AND(25&gt;=E16,OR(F16="",25&lt;=F16)),1,0)+IF(AND(25&gt;=E17,OR(F17="",25&lt;=F17)),1,0)+IF(AND(25&gt;=E18,OR(F18="",25&lt;=F18)),1,0)+IF(AND(25&gt;=E19,OR(F19="",25&lt;=F19)),1,0)+IF(AND(25&gt;=E20,OR(F20="",25&lt;=F20)),1,0)+IF(AND(25&gt;=E21,OR(F21="",25&lt;=F21)),1,0)+IF(AND(25&gt;=E22,OR(F22="",25&lt;=F22)),1,0)+IF(AND(25&gt;=E23,OR(F23="",25&lt;=F23)),1,0)+IF(AND(25&gt;=E24,OR(F24="",25&lt;=F24)),1,0)+IF(AND(25&gt;=E25,OR(F25="",25&lt;=F25)),1,0)+IF(AND(25&gt;=E26,OR(F26="",25&lt;=F26)),1,0)+IF(AND(25&gt;=E27,OR(F27="",25&lt;=F27)),1,0)+IF(AND(25&gt;=E28,OR(F28="",25&lt;=F28)),1,0)+IF(AND(25&gt;=E29,OR(F29="",25&lt;=F29)),1,0)+IF(AND(25&gt;=E30,OR(F30="",25&lt;=F30)),1,0)+IF(AND(25&gt;=E31,OR(F31="",25&lt;=F31)),1,0)+IF(AND(25&gt;=E32,OR(F32="",25&lt;=F32)),1,0)+IF(AND(25&gt;=E33,OR(F33="",25&lt;=F33)),1,0)+IF(AND(25&gt;=E34,OR(F34="",25&lt;=F34)),1,0)+IF(AND(25&gt;=E35,OR(F35="",25&lt;=F35)),1,0)+IF(AND(25&gt;=E36,OR(F36="",25&lt;=F36)),1,0)+IF(AND(25&gt;=E37,OR(F37="",25&lt;=F37)),1,0)+IF(AND(25&gt;=E38,OR(F38="",25&lt;=F38)),1,0)+IF(AND(25&gt;=E39,OR(F39="",25&lt;=F39)),1,0)+IF(AND(25&gt;=E40,OR(F40="",25&lt;=F40)),1,0)+IF(AND(25&gt;=E41,OR(F41="",25&lt;=F41)),1,0)+IF(AND(25&gt;=E42,OR(F42="",25&lt;=F42)),1,0)</f>
        <v/>
      </c>
      <c r="AF45" s="35">
        <f>IF(AND(26&gt;=E4,OR(F4="",26&lt;=F4)),1,0)+IF(AND(26&gt;=E5,OR(F5="",26&lt;=F5)),1,0)+IF(AND(26&gt;=E6,OR(F6="",26&lt;=F6)),1,0)+IF(AND(26&gt;=E7,OR(F7="",26&lt;=F7)),1,0)+IF(AND(26&gt;=E8,OR(F8="",26&lt;=F8)),1,0)+IF(AND(26&gt;=E9,OR(F9="",26&lt;=F9)),1,0)+IF(AND(26&gt;=E10,OR(F10="",26&lt;=F10)),1,0)+IF(AND(26&gt;=E11,OR(F11="",26&lt;=F11)),1,0)+IF(AND(26&gt;=E12,OR(F12="",26&lt;=F12)),1,0)+IF(AND(26&gt;=E13,OR(F13="",26&lt;=F13)),1,0)+IF(AND(26&gt;=E14,OR(F14="",26&lt;=F14)),1,0)+IF(AND(26&gt;=E15,OR(F15="",26&lt;=F15)),1,0)+IF(AND(26&gt;=E16,OR(F16="",26&lt;=F16)),1,0)+IF(AND(26&gt;=E17,OR(F17="",26&lt;=F17)),1,0)+IF(AND(26&gt;=E18,OR(F18="",26&lt;=F18)),1,0)+IF(AND(26&gt;=E19,OR(F19="",26&lt;=F19)),1,0)+IF(AND(26&gt;=E20,OR(F20="",26&lt;=F20)),1,0)+IF(AND(26&gt;=E21,OR(F21="",26&lt;=F21)),1,0)+IF(AND(26&gt;=E22,OR(F22="",26&lt;=F22)),1,0)+IF(AND(26&gt;=E23,OR(F23="",26&lt;=F23)),1,0)+IF(AND(26&gt;=E24,OR(F24="",26&lt;=F24)),1,0)+IF(AND(26&gt;=E25,OR(F25="",26&lt;=F25)),1,0)+IF(AND(26&gt;=E26,OR(F26="",26&lt;=F26)),1,0)+IF(AND(26&gt;=E27,OR(F27="",26&lt;=F27)),1,0)+IF(AND(26&gt;=E28,OR(F28="",26&lt;=F28)),1,0)+IF(AND(26&gt;=E29,OR(F29="",26&lt;=F29)),1,0)+IF(AND(26&gt;=E30,OR(F30="",26&lt;=F30)),1,0)+IF(AND(26&gt;=E31,OR(F31="",26&lt;=F31)),1,0)+IF(AND(26&gt;=E32,OR(F32="",26&lt;=F32)),1,0)+IF(AND(26&gt;=E33,OR(F33="",26&lt;=F33)),1,0)+IF(AND(26&gt;=E34,OR(F34="",26&lt;=F34)),1,0)+IF(AND(26&gt;=E35,OR(F35="",26&lt;=F35)),1,0)+IF(AND(26&gt;=E36,OR(F36="",26&lt;=F36)),1,0)+IF(AND(26&gt;=E37,OR(F37="",26&lt;=F37)),1,0)+IF(AND(26&gt;=E38,OR(F38="",26&lt;=F38)),1,0)+IF(AND(26&gt;=E39,OR(F39="",26&lt;=F39)),1,0)+IF(AND(26&gt;=E40,OR(F40="",26&lt;=F40)),1,0)+IF(AND(26&gt;=E41,OR(F41="",26&lt;=F41)),1,0)+IF(AND(26&gt;=E42,OR(F42="",26&lt;=F42)),1,0)</f>
        <v/>
      </c>
      <c r="AG45" s="35">
        <f>IF(AND(27&gt;=E4,OR(F4="",27&lt;=F4)),1,0)+IF(AND(27&gt;=E5,OR(F5="",27&lt;=F5)),1,0)+IF(AND(27&gt;=E6,OR(F6="",27&lt;=F6)),1,0)+IF(AND(27&gt;=E7,OR(F7="",27&lt;=F7)),1,0)+IF(AND(27&gt;=E8,OR(F8="",27&lt;=F8)),1,0)+IF(AND(27&gt;=E9,OR(F9="",27&lt;=F9)),1,0)+IF(AND(27&gt;=E10,OR(F10="",27&lt;=F10)),1,0)+IF(AND(27&gt;=E11,OR(F11="",27&lt;=F11)),1,0)+IF(AND(27&gt;=E12,OR(F12="",27&lt;=F12)),1,0)+IF(AND(27&gt;=E13,OR(F13="",27&lt;=F13)),1,0)+IF(AND(27&gt;=E14,OR(F14="",27&lt;=F14)),1,0)+IF(AND(27&gt;=E15,OR(F15="",27&lt;=F15)),1,0)+IF(AND(27&gt;=E16,OR(F16="",27&lt;=F16)),1,0)+IF(AND(27&gt;=E17,OR(F17="",27&lt;=F17)),1,0)+IF(AND(27&gt;=E18,OR(F18="",27&lt;=F18)),1,0)+IF(AND(27&gt;=E19,OR(F19="",27&lt;=F19)),1,0)+IF(AND(27&gt;=E20,OR(F20="",27&lt;=F20)),1,0)+IF(AND(27&gt;=E21,OR(F21="",27&lt;=F21)),1,0)+IF(AND(27&gt;=E22,OR(F22="",27&lt;=F22)),1,0)+IF(AND(27&gt;=E23,OR(F23="",27&lt;=F23)),1,0)+IF(AND(27&gt;=E24,OR(F24="",27&lt;=F24)),1,0)+IF(AND(27&gt;=E25,OR(F25="",27&lt;=F25)),1,0)+IF(AND(27&gt;=E26,OR(F26="",27&lt;=F26)),1,0)+IF(AND(27&gt;=E27,OR(F27="",27&lt;=F27)),1,0)+IF(AND(27&gt;=E28,OR(F28="",27&lt;=F28)),1,0)+IF(AND(27&gt;=E29,OR(F29="",27&lt;=F29)),1,0)+IF(AND(27&gt;=E30,OR(F30="",27&lt;=F30)),1,0)+IF(AND(27&gt;=E31,OR(F31="",27&lt;=F31)),1,0)+IF(AND(27&gt;=E32,OR(F32="",27&lt;=F32)),1,0)+IF(AND(27&gt;=E33,OR(F33="",27&lt;=F33)),1,0)+IF(AND(27&gt;=E34,OR(F34="",27&lt;=F34)),1,0)+IF(AND(27&gt;=E35,OR(F35="",27&lt;=F35)),1,0)+IF(AND(27&gt;=E36,OR(F36="",27&lt;=F36)),1,0)+IF(AND(27&gt;=E37,OR(F37="",27&lt;=F37)),1,0)+IF(AND(27&gt;=E38,OR(F38="",27&lt;=F38)),1,0)+IF(AND(27&gt;=E39,OR(F39="",27&lt;=F39)),1,0)+IF(AND(27&gt;=E40,OR(F40="",27&lt;=F40)),1,0)+IF(AND(27&gt;=E41,OR(F41="",27&lt;=F41)),1,0)+IF(AND(27&gt;=E42,OR(F42="",27&lt;=F42)),1,0)</f>
        <v/>
      </c>
      <c r="AH45" s="35">
        <f>IF(AND(28&gt;=E4,OR(F4="",28&lt;=F4)),1,0)+IF(AND(28&gt;=E5,OR(F5="",28&lt;=F5)),1,0)+IF(AND(28&gt;=E6,OR(F6="",28&lt;=F6)),1,0)+IF(AND(28&gt;=E7,OR(F7="",28&lt;=F7)),1,0)+IF(AND(28&gt;=E8,OR(F8="",28&lt;=F8)),1,0)+IF(AND(28&gt;=E9,OR(F9="",28&lt;=F9)),1,0)+IF(AND(28&gt;=E10,OR(F10="",28&lt;=F10)),1,0)+IF(AND(28&gt;=E11,OR(F11="",28&lt;=F11)),1,0)+IF(AND(28&gt;=E12,OR(F12="",28&lt;=F12)),1,0)+IF(AND(28&gt;=E13,OR(F13="",28&lt;=F13)),1,0)+IF(AND(28&gt;=E14,OR(F14="",28&lt;=F14)),1,0)+IF(AND(28&gt;=E15,OR(F15="",28&lt;=F15)),1,0)+IF(AND(28&gt;=E16,OR(F16="",28&lt;=F16)),1,0)+IF(AND(28&gt;=E17,OR(F17="",28&lt;=F17)),1,0)+IF(AND(28&gt;=E18,OR(F18="",28&lt;=F18)),1,0)+IF(AND(28&gt;=E19,OR(F19="",28&lt;=F19)),1,0)+IF(AND(28&gt;=E20,OR(F20="",28&lt;=F20)),1,0)+IF(AND(28&gt;=E21,OR(F21="",28&lt;=F21)),1,0)+IF(AND(28&gt;=E22,OR(F22="",28&lt;=F22)),1,0)+IF(AND(28&gt;=E23,OR(F23="",28&lt;=F23)),1,0)+IF(AND(28&gt;=E24,OR(F24="",28&lt;=F24)),1,0)+IF(AND(28&gt;=E25,OR(F25="",28&lt;=F25)),1,0)+IF(AND(28&gt;=E26,OR(F26="",28&lt;=F26)),1,0)+IF(AND(28&gt;=E27,OR(F27="",28&lt;=F27)),1,0)+IF(AND(28&gt;=E28,OR(F28="",28&lt;=F28)),1,0)+IF(AND(28&gt;=E29,OR(F29="",28&lt;=F29)),1,0)+IF(AND(28&gt;=E30,OR(F30="",28&lt;=F30)),1,0)+IF(AND(28&gt;=E31,OR(F31="",28&lt;=F31)),1,0)+IF(AND(28&gt;=E32,OR(F32="",28&lt;=F32)),1,0)+IF(AND(28&gt;=E33,OR(F33="",28&lt;=F33)),1,0)+IF(AND(28&gt;=E34,OR(F34="",28&lt;=F34)),1,0)+IF(AND(28&gt;=E35,OR(F35="",28&lt;=F35)),1,0)+IF(AND(28&gt;=E36,OR(F36="",28&lt;=F36)),1,0)+IF(AND(28&gt;=E37,OR(F37="",28&lt;=F37)),1,0)+IF(AND(28&gt;=E38,OR(F38="",28&lt;=F38)),1,0)+IF(AND(28&gt;=E39,OR(F39="",28&lt;=F39)),1,0)+IF(AND(28&gt;=E40,OR(F40="",28&lt;=F40)),1,0)+IF(AND(28&gt;=E41,OR(F41="",28&lt;=F41)),1,0)+IF(AND(28&gt;=E42,OR(F42="",28&lt;=F42)),1,0)</f>
        <v/>
      </c>
      <c r="AI45" s="35">
        <f>IF(AND(29&gt;=E4,OR(F4="",29&lt;=F4)),1,0)+IF(AND(29&gt;=E5,OR(F5="",29&lt;=F5)),1,0)+IF(AND(29&gt;=E6,OR(F6="",29&lt;=F6)),1,0)+IF(AND(29&gt;=E7,OR(F7="",29&lt;=F7)),1,0)+IF(AND(29&gt;=E8,OR(F8="",29&lt;=F8)),1,0)+IF(AND(29&gt;=E9,OR(F9="",29&lt;=F9)),1,0)+IF(AND(29&gt;=E10,OR(F10="",29&lt;=F10)),1,0)+IF(AND(29&gt;=E11,OR(F11="",29&lt;=F11)),1,0)+IF(AND(29&gt;=E12,OR(F12="",29&lt;=F12)),1,0)+IF(AND(29&gt;=E13,OR(F13="",29&lt;=F13)),1,0)+IF(AND(29&gt;=E14,OR(F14="",29&lt;=F14)),1,0)+IF(AND(29&gt;=E15,OR(F15="",29&lt;=F15)),1,0)+IF(AND(29&gt;=E16,OR(F16="",29&lt;=F16)),1,0)+IF(AND(29&gt;=E17,OR(F17="",29&lt;=F17)),1,0)+IF(AND(29&gt;=E18,OR(F18="",29&lt;=F18)),1,0)+IF(AND(29&gt;=E19,OR(F19="",29&lt;=F19)),1,0)+IF(AND(29&gt;=E20,OR(F20="",29&lt;=F20)),1,0)+IF(AND(29&gt;=E21,OR(F21="",29&lt;=F21)),1,0)+IF(AND(29&gt;=E22,OR(F22="",29&lt;=F22)),1,0)+IF(AND(29&gt;=E23,OR(F23="",29&lt;=F23)),1,0)+IF(AND(29&gt;=E24,OR(F24="",29&lt;=F24)),1,0)+IF(AND(29&gt;=E25,OR(F25="",29&lt;=F25)),1,0)+IF(AND(29&gt;=E26,OR(F26="",29&lt;=F26)),1,0)+IF(AND(29&gt;=E27,OR(F27="",29&lt;=F27)),1,0)+IF(AND(29&gt;=E28,OR(F28="",29&lt;=F28)),1,0)+IF(AND(29&gt;=E29,OR(F29="",29&lt;=F29)),1,0)+IF(AND(29&gt;=E30,OR(F30="",29&lt;=F30)),1,0)+IF(AND(29&gt;=E31,OR(F31="",29&lt;=F31)),1,0)+IF(AND(29&gt;=E32,OR(F32="",29&lt;=F32)),1,0)+IF(AND(29&gt;=E33,OR(F33="",29&lt;=F33)),1,0)+IF(AND(29&gt;=E34,OR(F34="",29&lt;=F34)),1,0)+IF(AND(29&gt;=E35,OR(F35="",29&lt;=F35)),1,0)+IF(AND(29&gt;=E36,OR(F36="",29&lt;=F36)),1,0)+IF(AND(29&gt;=E37,OR(F37="",29&lt;=F37)),1,0)+IF(AND(29&gt;=E38,OR(F38="",29&lt;=F38)),1,0)+IF(AND(29&gt;=E39,OR(F39="",29&lt;=F39)),1,0)+IF(AND(29&gt;=E40,OR(F40="",29&lt;=F40)),1,0)+IF(AND(29&gt;=E41,OR(F41="",29&lt;=F41)),1,0)+IF(AND(29&gt;=E42,OR(F42="",29&lt;=F42)),1,0)</f>
        <v/>
      </c>
      <c r="AJ45" s="35">
        <f>IF(AND(30&gt;=E4,OR(F4="",30&lt;=F4)),1,0)+IF(AND(30&gt;=E5,OR(F5="",30&lt;=F5)),1,0)+IF(AND(30&gt;=E6,OR(F6="",30&lt;=F6)),1,0)+IF(AND(30&gt;=E7,OR(F7="",30&lt;=F7)),1,0)+IF(AND(30&gt;=E8,OR(F8="",30&lt;=F8)),1,0)+IF(AND(30&gt;=E9,OR(F9="",30&lt;=F9)),1,0)+IF(AND(30&gt;=E10,OR(F10="",30&lt;=F10)),1,0)+IF(AND(30&gt;=E11,OR(F11="",30&lt;=F11)),1,0)+IF(AND(30&gt;=E12,OR(F12="",30&lt;=F12)),1,0)+IF(AND(30&gt;=E13,OR(F13="",30&lt;=F13)),1,0)+IF(AND(30&gt;=E14,OR(F14="",30&lt;=F14)),1,0)+IF(AND(30&gt;=E15,OR(F15="",30&lt;=F15)),1,0)+IF(AND(30&gt;=E16,OR(F16="",30&lt;=F16)),1,0)+IF(AND(30&gt;=E17,OR(F17="",30&lt;=F17)),1,0)+IF(AND(30&gt;=E18,OR(F18="",30&lt;=F18)),1,0)+IF(AND(30&gt;=E19,OR(F19="",30&lt;=F19)),1,0)+IF(AND(30&gt;=E20,OR(F20="",30&lt;=F20)),1,0)+IF(AND(30&gt;=E21,OR(F21="",30&lt;=F21)),1,0)+IF(AND(30&gt;=E22,OR(F22="",30&lt;=F22)),1,0)+IF(AND(30&gt;=E23,OR(F23="",30&lt;=F23)),1,0)+IF(AND(30&gt;=E24,OR(F24="",30&lt;=F24)),1,0)+IF(AND(30&gt;=E25,OR(F25="",30&lt;=F25)),1,0)+IF(AND(30&gt;=E26,OR(F26="",30&lt;=F26)),1,0)+IF(AND(30&gt;=E27,OR(F27="",30&lt;=F27)),1,0)+IF(AND(30&gt;=E28,OR(F28="",30&lt;=F28)),1,0)+IF(AND(30&gt;=E29,OR(F29="",30&lt;=F29)),1,0)+IF(AND(30&gt;=E30,OR(F30="",30&lt;=F30)),1,0)+IF(AND(30&gt;=E31,OR(F31="",30&lt;=F31)),1,0)+IF(AND(30&gt;=E32,OR(F32="",30&lt;=F32)),1,0)+IF(AND(30&gt;=E33,OR(F33="",30&lt;=F33)),1,0)+IF(AND(30&gt;=E34,OR(F34="",30&lt;=F34)),1,0)+IF(AND(30&gt;=E35,OR(F35="",30&lt;=F35)),1,0)+IF(AND(30&gt;=E36,OR(F36="",30&lt;=F36)),1,0)+IF(AND(30&gt;=E37,OR(F37="",30&lt;=F37)),1,0)+IF(AND(30&gt;=E38,OR(F38="",30&lt;=F38)),1,0)+IF(AND(30&gt;=E39,OR(F39="",30&lt;=F39)),1,0)+IF(AND(30&gt;=E40,OR(F40="",30&lt;=F40)),1,0)+IF(AND(30&gt;=E41,OR(F41="",30&lt;=F41)),1,0)+IF(AND(30&gt;=E42,OR(F42="",30&lt;=F42)),1,0)</f>
        <v/>
      </c>
      <c r="AK45" s="35">
        <f>IF(AND(31&gt;=E4,OR(F4="",31&lt;=F4)),1,0)+IF(AND(31&gt;=E5,OR(F5="",31&lt;=F5)),1,0)+IF(AND(31&gt;=E6,OR(F6="",31&lt;=F6)),1,0)+IF(AND(31&gt;=E7,OR(F7="",31&lt;=F7)),1,0)+IF(AND(31&gt;=E8,OR(F8="",31&lt;=F8)),1,0)+IF(AND(31&gt;=E9,OR(F9="",31&lt;=F9)),1,0)+IF(AND(31&gt;=E10,OR(F10="",31&lt;=F10)),1,0)+IF(AND(31&gt;=E11,OR(F11="",31&lt;=F11)),1,0)+IF(AND(31&gt;=E12,OR(F12="",31&lt;=F12)),1,0)+IF(AND(31&gt;=E13,OR(F13="",31&lt;=F13)),1,0)+IF(AND(31&gt;=E14,OR(F14="",31&lt;=F14)),1,0)+IF(AND(31&gt;=E15,OR(F15="",31&lt;=F15)),1,0)+IF(AND(31&gt;=E16,OR(F16="",31&lt;=F16)),1,0)+IF(AND(31&gt;=E17,OR(F17="",31&lt;=F17)),1,0)+IF(AND(31&gt;=E18,OR(F18="",31&lt;=F18)),1,0)+IF(AND(31&gt;=E19,OR(F19="",31&lt;=F19)),1,0)+IF(AND(31&gt;=E20,OR(F20="",31&lt;=F20)),1,0)+IF(AND(31&gt;=E21,OR(F21="",31&lt;=F21)),1,0)+IF(AND(31&gt;=E22,OR(F22="",31&lt;=F22)),1,0)+IF(AND(31&gt;=E23,OR(F23="",31&lt;=F23)),1,0)+IF(AND(31&gt;=E24,OR(F24="",31&lt;=F24)),1,0)+IF(AND(31&gt;=E25,OR(F25="",31&lt;=F25)),1,0)+IF(AND(31&gt;=E26,OR(F26="",31&lt;=F26)),1,0)+IF(AND(31&gt;=E27,OR(F27="",31&lt;=F27)),1,0)+IF(AND(31&gt;=E28,OR(F28="",31&lt;=F28)),1,0)+IF(AND(31&gt;=E29,OR(F29="",31&lt;=F29)),1,0)+IF(AND(31&gt;=E30,OR(F30="",31&lt;=F30)),1,0)+IF(AND(31&gt;=E31,OR(F31="",31&lt;=F31)),1,0)+IF(AND(31&gt;=E32,OR(F32="",31&lt;=F32)),1,0)+IF(AND(31&gt;=E33,OR(F33="",31&lt;=F33)),1,0)+IF(AND(31&gt;=E34,OR(F34="",31&lt;=F34)),1,0)+IF(AND(31&gt;=E35,OR(F35="",31&lt;=F35)),1,0)+IF(AND(31&gt;=E36,OR(F36="",31&lt;=F36)),1,0)+IF(AND(31&gt;=E37,OR(F37="",31&lt;=F37)),1,0)+IF(AND(31&gt;=E38,OR(F38="",31&lt;=F38)),1,0)+IF(AND(31&gt;=E39,OR(F39="",31&lt;=F39)),1,0)+IF(AND(31&gt;=E40,OR(F40="",31&lt;=F40)),1,0)+IF(AND(31&gt;=E41,OR(F41="",31&lt;=F41)),1,0)+IF(AND(31&gt;=E42,OR(F42="",31&lt;=F42)),1,0)</f>
        <v/>
      </c>
      <c r="AL45" s="35">
        <f>IF(AND(32&gt;=E4,OR(F4="",32&lt;=F4)),1,0)+IF(AND(32&gt;=E5,OR(F5="",32&lt;=F5)),1,0)+IF(AND(32&gt;=E6,OR(F6="",32&lt;=F6)),1,0)+IF(AND(32&gt;=E7,OR(F7="",32&lt;=F7)),1,0)+IF(AND(32&gt;=E8,OR(F8="",32&lt;=F8)),1,0)+IF(AND(32&gt;=E9,OR(F9="",32&lt;=F9)),1,0)+IF(AND(32&gt;=E10,OR(F10="",32&lt;=F10)),1,0)+IF(AND(32&gt;=E11,OR(F11="",32&lt;=F11)),1,0)+IF(AND(32&gt;=E12,OR(F12="",32&lt;=F12)),1,0)+IF(AND(32&gt;=E13,OR(F13="",32&lt;=F13)),1,0)+IF(AND(32&gt;=E14,OR(F14="",32&lt;=F14)),1,0)+IF(AND(32&gt;=E15,OR(F15="",32&lt;=F15)),1,0)+IF(AND(32&gt;=E16,OR(F16="",32&lt;=F16)),1,0)+IF(AND(32&gt;=E17,OR(F17="",32&lt;=F17)),1,0)+IF(AND(32&gt;=E18,OR(F18="",32&lt;=F18)),1,0)+IF(AND(32&gt;=E19,OR(F19="",32&lt;=F19)),1,0)+IF(AND(32&gt;=E20,OR(F20="",32&lt;=F20)),1,0)+IF(AND(32&gt;=E21,OR(F21="",32&lt;=F21)),1,0)+IF(AND(32&gt;=E22,OR(F22="",32&lt;=F22)),1,0)+IF(AND(32&gt;=E23,OR(F23="",32&lt;=F23)),1,0)+IF(AND(32&gt;=E24,OR(F24="",32&lt;=F24)),1,0)+IF(AND(32&gt;=E25,OR(F25="",32&lt;=F25)),1,0)+IF(AND(32&gt;=E26,OR(F26="",32&lt;=F26)),1,0)+IF(AND(32&gt;=E27,OR(F27="",32&lt;=F27)),1,0)+IF(AND(32&gt;=E28,OR(F28="",32&lt;=F28)),1,0)+IF(AND(32&gt;=E29,OR(F29="",32&lt;=F29)),1,0)+IF(AND(32&gt;=E30,OR(F30="",32&lt;=F30)),1,0)+IF(AND(32&gt;=E31,OR(F31="",32&lt;=F31)),1,0)+IF(AND(32&gt;=E32,OR(F32="",32&lt;=F32)),1,0)+IF(AND(32&gt;=E33,OR(F33="",32&lt;=F33)),1,0)+IF(AND(32&gt;=E34,OR(F34="",32&lt;=F34)),1,0)+IF(AND(32&gt;=E35,OR(F35="",32&lt;=F35)),1,0)+IF(AND(32&gt;=E36,OR(F36="",32&lt;=F36)),1,0)+IF(AND(32&gt;=E37,OR(F37="",32&lt;=F37)),1,0)+IF(AND(32&gt;=E38,OR(F38="",32&lt;=F38)),1,0)+IF(AND(32&gt;=E39,OR(F39="",32&lt;=F39)),1,0)+IF(AND(32&gt;=E40,OR(F40="",32&lt;=F40)),1,0)+IF(AND(32&gt;=E41,OR(F41="",32&lt;=F41)),1,0)+IF(AND(32&gt;=E42,OR(F42="",32&lt;=F42)),1,0)</f>
        <v/>
      </c>
      <c r="AM45" s="35">
        <f>IF(AND(33&gt;=E4,OR(F4="",33&lt;=F4)),1,0)+IF(AND(33&gt;=E5,OR(F5="",33&lt;=F5)),1,0)+IF(AND(33&gt;=E6,OR(F6="",33&lt;=F6)),1,0)+IF(AND(33&gt;=E7,OR(F7="",33&lt;=F7)),1,0)+IF(AND(33&gt;=E8,OR(F8="",33&lt;=F8)),1,0)+IF(AND(33&gt;=E9,OR(F9="",33&lt;=F9)),1,0)+IF(AND(33&gt;=E10,OR(F10="",33&lt;=F10)),1,0)+IF(AND(33&gt;=E11,OR(F11="",33&lt;=F11)),1,0)+IF(AND(33&gt;=E12,OR(F12="",33&lt;=F12)),1,0)+IF(AND(33&gt;=E13,OR(F13="",33&lt;=F13)),1,0)+IF(AND(33&gt;=E14,OR(F14="",33&lt;=F14)),1,0)+IF(AND(33&gt;=E15,OR(F15="",33&lt;=F15)),1,0)+IF(AND(33&gt;=E16,OR(F16="",33&lt;=F16)),1,0)+IF(AND(33&gt;=E17,OR(F17="",33&lt;=F17)),1,0)+IF(AND(33&gt;=E18,OR(F18="",33&lt;=F18)),1,0)+IF(AND(33&gt;=E19,OR(F19="",33&lt;=F19)),1,0)+IF(AND(33&gt;=E20,OR(F20="",33&lt;=F20)),1,0)+IF(AND(33&gt;=E21,OR(F21="",33&lt;=F21)),1,0)+IF(AND(33&gt;=E22,OR(F22="",33&lt;=F22)),1,0)+IF(AND(33&gt;=E23,OR(F23="",33&lt;=F23)),1,0)+IF(AND(33&gt;=E24,OR(F24="",33&lt;=F24)),1,0)+IF(AND(33&gt;=E25,OR(F25="",33&lt;=F25)),1,0)+IF(AND(33&gt;=E26,OR(F26="",33&lt;=F26)),1,0)+IF(AND(33&gt;=E27,OR(F27="",33&lt;=F27)),1,0)+IF(AND(33&gt;=E28,OR(F28="",33&lt;=F28)),1,0)+IF(AND(33&gt;=E29,OR(F29="",33&lt;=F29)),1,0)+IF(AND(33&gt;=E30,OR(F30="",33&lt;=F30)),1,0)+IF(AND(33&gt;=E31,OR(F31="",33&lt;=F31)),1,0)+IF(AND(33&gt;=E32,OR(F32="",33&lt;=F32)),1,0)+IF(AND(33&gt;=E33,OR(F33="",33&lt;=F33)),1,0)+IF(AND(33&gt;=E34,OR(F34="",33&lt;=F34)),1,0)+IF(AND(33&gt;=E35,OR(F35="",33&lt;=F35)),1,0)+IF(AND(33&gt;=E36,OR(F36="",33&lt;=F36)),1,0)+IF(AND(33&gt;=E37,OR(F37="",33&lt;=F37)),1,0)+IF(AND(33&gt;=E38,OR(F38="",33&lt;=F38)),1,0)+IF(AND(33&gt;=E39,OR(F39="",33&lt;=F39)),1,0)+IF(AND(33&gt;=E40,OR(F40="",33&lt;=F40)),1,0)+IF(AND(33&gt;=E41,OR(F41="",33&lt;=F41)),1,0)+IF(AND(33&gt;=E42,OR(F42="",33&lt;=F42)),1,0)</f>
        <v/>
      </c>
      <c r="AN45" s="35">
        <f>IF(AND(34&gt;=E4,OR(F4="",34&lt;=F4)),1,0)+IF(AND(34&gt;=E5,OR(F5="",34&lt;=F5)),1,0)+IF(AND(34&gt;=E6,OR(F6="",34&lt;=F6)),1,0)+IF(AND(34&gt;=E7,OR(F7="",34&lt;=F7)),1,0)+IF(AND(34&gt;=E8,OR(F8="",34&lt;=F8)),1,0)+IF(AND(34&gt;=E9,OR(F9="",34&lt;=F9)),1,0)+IF(AND(34&gt;=E10,OR(F10="",34&lt;=F10)),1,0)+IF(AND(34&gt;=E11,OR(F11="",34&lt;=F11)),1,0)+IF(AND(34&gt;=E12,OR(F12="",34&lt;=F12)),1,0)+IF(AND(34&gt;=E13,OR(F13="",34&lt;=F13)),1,0)+IF(AND(34&gt;=E14,OR(F14="",34&lt;=F14)),1,0)+IF(AND(34&gt;=E15,OR(F15="",34&lt;=F15)),1,0)+IF(AND(34&gt;=E16,OR(F16="",34&lt;=F16)),1,0)+IF(AND(34&gt;=E17,OR(F17="",34&lt;=F17)),1,0)+IF(AND(34&gt;=E18,OR(F18="",34&lt;=F18)),1,0)+IF(AND(34&gt;=E19,OR(F19="",34&lt;=F19)),1,0)+IF(AND(34&gt;=E20,OR(F20="",34&lt;=F20)),1,0)+IF(AND(34&gt;=E21,OR(F21="",34&lt;=F21)),1,0)+IF(AND(34&gt;=E22,OR(F22="",34&lt;=F22)),1,0)+IF(AND(34&gt;=E23,OR(F23="",34&lt;=F23)),1,0)+IF(AND(34&gt;=E24,OR(F24="",34&lt;=F24)),1,0)+IF(AND(34&gt;=E25,OR(F25="",34&lt;=F25)),1,0)+IF(AND(34&gt;=E26,OR(F26="",34&lt;=F26)),1,0)+IF(AND(34&gt;=E27,OR(F27="",34&lt;=F27)),1,0)+IF(AND(34&gt;=E28,OR(F28="",34&lt;=F28)),1,0)+IF(AND(34&gt;=E29,OR(F29="",34&lt;=F29)),1,0)+IF(AND(34&gt;=E30,OR(F30="",34&lt;=F30)),1,0)+IF(AND(34&gt;=E31,OR(F31="",34&lt;=F31)),1,0)+IF(AND(34&gt;=E32,OR(F32="",34&lt;=F32)),1,0)+IF(AND(34&gt;=E33,OR(F33="",34&lt;=F33)),1,0)+IF(AND(34&gt;=E34,OR(F34="",34&lt;=F34)),1,0)+IF(AND(34&gt;=E35,OR(F35="",34&lt;=F35)),1,0)+IF(AND(34&gt;=E36,OR(F36="",34&lt;=F36)),1,0)+IF(AND(34&gt;=E37,OR(F37="",34&lt;=F37)),1,0)+IF(AND(34&gt;=E38,OR(F38="",34&lt;=F38)),1,0)+IF(AND(34&gt;=E39,OR(F39="",34&lt;=F39)),1,0)+IF(AND(34&gt;=E40,OR(F40="",34&lt;=F40)),1,0)+IF(AND(34&gt;=E41,OR(F41="",34&lt;=F41)),1,0)+IF(AND(34&gt;=E42,OR(F42="",34&lt;=F42)),1,0)</f>
        <v/>
      </c>
      <c r="AO45" s="35">
        <f>IF(AND(35&gt;=E4,OR(F4="",35&lt;=F4)),1,0)+IF(AND(35&gt;=E5,OR(F5="",35&lt;=F5)),1,0)+IF(AND(35&gt;=E6,OR(F6="",35&lt;=F6)),1,0)+IF(AND(35&gt;=E7,OR(F7="",35&lt;=F7)),1,0)+IF(AND(35&gt;=E8,OR(F8="",35&lt;=F8)),1,0)+IF(AND(35&gt;=E9,OR(F9="",35&lt;=F9)),1,0)+IF(AND(35&gt;=E10,OR(F10="",35&lt;=F10)),1,0)+IF(AND(35&gt;=E11,OR(F11="",35&lt;=F11)),1,0)+IF(AND(35&gt;=E12,OR(F12="",35&lt;=F12)),1,0)+IF(AND(35&gt;=E13,OR(F13="",35&lt;=F13)),1,0)+IF(AND(35&gt;=E14,OR(F14="",35&lt;=F14)),1,0)+IF(AND(35&gt;=E15,OR(F15="",35&lt;=F15)),1,0)+IF(AND(35&gt;=E16,OR(F16="",35&lt;=F16)),1,0)+IF(AND(35&gt;=E17,OR(F17="",35&lt;=F17)),1,0)+IF(AND(35&gt;=E18,OR(F18="",35&lt;=F18)),1,0)+IF(AND(35&gt;=E19,OR(F19="",35&lt;=F19)),1,0)+IF(AND(35&gt;=E20,OR(F20="",35&lt;=F20)),1,0)+IF(AND(35&gt;=E21,OR(F21="",35&lt;=F21)),1,0)+IF(AND(35&gt;=E22,OR(F22="",35&lt;=F22)),1,0)+IF(AND(35&gt;=E23,OR(F23="",35&lt;=F23)),1,0)+IF(AND(35&gt;=E24,OR(F24="",35&lt;=F24)),1,0)+IF(AND(35&gt;=E25,OR(F25="",35&lt;=F25)),1,0)+IF(AND(35&gt;=E26,OR(F26="",35&lt;=F26)),1,0)+IF(AND(35&gt;=E27,OR(F27="",35&lt;=F27)),1,0)+IF(AND(35&gt;=E28,OR(F28="",35&lt;=F28)),1,0)+IF(AND(35&gt;=E29,OR(F29="",35&lt;=F29)),1,0)+IF(AND(35&gt;=E30,OR(F30="",35&lt;=F30)),1,0)+IF(AND(35&gt;=E31,OR(F31="",35&lt;=F31)),1,0)+IF(AND(35&gt;=E32,OR(F32="",35&lt;=F32)),1,0)+IF(AND(35&gt;=E33,OR(F33="",35&lt;=F33)),1,0)+IF(AND(35&gt;=E34,OR(F34="",35&lt;=F34)),1,0)+IF(AND(35&gt;=E35,OR(F35="",35&lt;=F35)),1,0)+IF(AND(35&gt;=E36,OR(F36="",35&lt;=F36)),1,0)+IF(AND(35&gt;=E37,OR(F37="",35&lt;=F37)),1,0)+IF(AND(35&gt;=E38,OR(F38="",35&lt;=F38)),1,0)+IF(AND(35&gt;=E39,OR(F39="",35&lt;=F39)),1,0)+IF(AND(35&gt;=E40,OR(F40="",35&lt;=F40)),1,0)+IF(AND(35&gt;=E41,OR(F41="",35&lt;=F41)),1,0)+IF(AND(35&gt;=E42,OR(F42="",35&lt;=F42)),1,0)</f>
        <v/>
      </c>
      <c r="AP45" s="35">
        <f>IF(AND(36&gt;=E4,OR(F4="",36&lt;=F4)),1,0)+IF(AND(36&gt;=E5,OR(F5="",36&lt;=F5)),1,0)+IF(AND(36&gt;=E6,OR(F6="",36&lt;=F6)),1,0)+IF(AND(36&gt;=E7,OR(F7="",36&lt;=F7)),1,0)+IF(AND(36&gt;=E8,OR(F8="",36&lt;=F8)),1,0)+IF(AND(36&gt;=E9,OR(F9="",36&lt;=F9)),1,0)+IF(AND(36&gt;=E10,OR(F10="",36&lt;=F10)),1,0)+IF(AND(36&gt;=E11,OR(F11="",36&lt;=F11)),1,0)+IF(AND(36&gt;=E12,OR(F12="",36&lt;=F12)),1,0)+IF(AND(36&gt;=E13,OR(F13="",36&lt;=F13)),1,0)+IF(AND(36&gt;=E14,OR(F14="",36&lt;=F14)),1,0)+IF(AND(36&gt;=E15,OR(F15="",36&lt;=F15)),1,0)+IF(AND(36&gt;=E16,OR(F16="",36&lt;=F16)),1,0)+IF(AND(36&gt;=E17,OR(F17="",36&lt;=F17)),1,0)+IF(AND(36&gt;=E18,OR(F18="",36&lt;=F18)),1,0)+IF(AND(36&gt;=E19,OR(F19="",36&lt;=F19)),1,0)+IF(AND(36&gt;=E20,OR(F20="",36&lt;=F20)),1,0)+IF(AND(36&gt;=E21,OR(F21="",36&lt;=F21)),1,0)+IF(AND(36&gt;=E22,OR(F22="",36&lt;=F22)),1,0)+IF(AND(36&gt;=E23,OR(F23="",36&lt;=F23)),1,0)+IF(AND(36&gt;=E24,OR(F24="",36&lt;=F24)),1,0)+IF(AND(36&gt;=E25,OR(F25="",36&lt;=F25)),1,0)+IF(AND(36&gt;=E26,OR(F26="",36&lt;=F26)),1,0)+IF(AND(36&gt;=E27,OR(F27="",36&lt;=F27)),1,0)+IF(AND(36&gt;=E28,OR(F28="",36&lt;=F28)),1,0)+IF(AND(36&gt;=E29,OR(F29="",36&lt;=F29)),1,0)+IF(AND(36&gt;=E30,OR(F30="",36&lt;=F30)),1,0)+IF(AND(36&gt;=E31,OR(F31="",36&lt;=F31)),1,0)+IF(AND(36&gt;=E32,OR(F32="",36&lt;=F32)),1,0)+IF(AND(36&gt;=E33,OR(F33="",36&lt;=F33)),1,0)+IF(AND(36&gt;=E34,OR(F34="",36&lt;=F34)),1,0)+IF(AND(36&gt;=E35,OR(F35="",36&lt;=F35)),1,0)+IF(AND(36&gt;=E36,OR(F36="",36&lt;=F36)),1,0)+IF(AND(36&gt;=E37,OR(F37="",36&lt;=F37)),1,0)+IF(AND(36&gt;=E38,OR(F38="",36&lt;=F38)),1,0)+IF(AND(36&gt;=E39,OR(F39="",36&lt;=F39)),1,0)+IF(AND(36&gt;=E40,OR(F40="",36&lt;=F40)),1,0)+IF(AND(36&gt;=E41,OR(F41="",36&lt;=F41)),1,0)+IF(AND(36&gt;=E42,OR(F42="",36&lt;=F42)),1,0)</f>
        <v/>
      </c>
      <c r="AQ45" s="35">
        <f>IF(AND(37&gt;=E4,OR(F4="",37&lt;=F4)),1,0)+IF(AND(37&gt;=E5,OR(F5="",37&lt;=F5)),1,0)+IF(AND(37&gt;=E6,OR(F6="",37&lt;=F6)),1,0)+IF(AND(37&gt;=E7,OR(F7="",37&lt;=F7)),1,0)+IF(AND(37&gt;=E8,OR(F8="",37&lt;=F8)),1,0)+IF(AND(37&gt;=E9,OR(F9="",37&lt;=F9)),1,0)+IF(AND(37&gt;=E10,OR(F10="",37&lt;=F10)),1,0)+IF(AND(37&gt;=E11,OR(F11="",37&lt;=F11)),1,0)+IF(AND(37&gt;=E12,OR(F12="",37&lt;=F12)),1,0)+IF(AND(37&gt;=E13,OR(F13="",37&lt;=F13)),1,0)+IF(AND(37&gt;=E14,OR(F14="",37&lt;=F14)),1,0)+IF(AND(37&gt;=E15,OR(F15="",37&lt;=F15)),1,0)+IF(AND(37&gt;=E16,OR(F16="",37&lt;=F16)),1,0)+IF(AND(37&gt;=E17,OR(F17="",37&lt;=F17)),1,0)+IF(AND(37&gt;=E18,OR(F18="",37&lt;=F18)),1,0)+IF(AND(37&gt;=E19,OR(F19="",37&lt;=F19)),1,0)+IF(AND(37&gt;=E20,OR(F20="",37&lt;=F20)),1,0)+IF(AND(37&gt;=E21,OR(F21="",37&lt;=F21)),1,0)+IF(AND(37&gt;=E22,OR(F22="",37&lt;=F22)),1,0)+IF(AND(37&gt;=E23,OR(F23="",37&lt;=F23)),1,0)+IF(AND(37&gt;=E24,OR(F24="",37&lt;=F24)),1,0)+IF(AND(37&gt;=E25,OR(F25="",37&lt;=F25)),1,0)+IF(AND(37&gt;=E26,OR(F26="",37&lt;=F26)),1,0)+IF(AND(37&gt;=E27,OR(F27="",37&lt;=F27)),1,0)+IF(AND(37&gt;=E28,OR(F28="",37&lt;=F28)),1,0)+IF(AND(37&gt;=E29,OR(F29="",37&lt;=F29)),1,0)+IF(AND(37&gt;=E30,OR(F30="",37&lt;=F30)),1,0)+IF(AND(37&gt;=E31,OR(F31="",37&lt;=F31)),1,0)+IF(AND(37&gt;=E32,OR(F32="",37&lt;=F32)),1,0)+IF(AND(37&gt;=E33,OR(F33="",37&lt;=F33)),1,0)+IF(AND(37&gt;=E34,OR(F34="",37&lt;=F34)),1,0)+IF(AND(37&gt;=E35,OR(F35="",37&lt;=F35)),1,0)+IF(AND(37&gt;=E36,OR(F36="",37&lt;=F36)),1,0)+IF(AND(37&gt;=E37,OR(F37="",37&lt;=F37)),1,0)+IF(AND(37&gt;=E38,OR(F38="",37&lt;=F38)),1,0)+IF(AND(37&gt;=E39,OR(F39="",37&lt;=F39)),1,0)+IF(AND(37&gt;=E40,OR(F40="",37&lt;=F40)),1,0)+IF(AND(37&gt;=E41,OR(F41="",37&lt;=F41)),1,0)+IF(AND(37&gt;=E42,OR(F42="",37&lt;=F42)),1,0)</f>
        <v/>
      </c>
      <c r="AR45" s="35">
        <f>IF(AND(38&gt;=E4,OR(F4="",38&lt;=F4)),1,0)+IF(AND(38&gt;=E5,OR(F5="",38&lt;=F5)),1,0)+IF(AND(38&gt;=E6,OR(F6="",38&lt;=F6)),1,0)+IF(AND(38&gt;=E7,OR(F7="",38&lt;=F7)),1,0)+IF(AND(38&gt;=E8,OR(F8="",38&lt;=F8)),1,0)+IF(AND(38&gt;=E9,OR(F9="",38&lt;=F9)),1,0)+IF(AND(38&gt;=E10,OR(F10="",38&lt;=F10)),1,0)+IF(AND(38&gt;=E11,OR(F11="",38&lt;=F11)),1,0)+IF(AND(38&gt;=E12,OR(F12="",38&lt;=F12)),1,0)+IF(AND(38&gt;=E13,OR(F13="",38&lt;=F13)),1,0)+IF(AND(38&gt;=E14,OR(F14="",38&lt;=F14)),1,0)+IF(AND(38&gt;=E15,OR(F15="",38&lt;=F15)),1,0)+IF(AND(38&gt;=E16,OR(F16="",38&lt;=F16)),1,0)+IF(AND(38&gt;=E17,OR(F17="",38&lt;=F17)),1,0)+IF(AND(38&gt;=E18,OR(F18="",38&lt;=F18)),1,0)+IF(AND(38&gt;=E19,OR(F19="",38&lt;=F19)),1,0)+IF(AND(38&gt;=E20,OR(F20="",38&lt;=F20)),1,0)+IF(AND(38&gt;=E21,OR(F21="",38&lt;=F21)),1,0)+IF(AND(38&gt;=E22,OR(F22="",38&lt;=F22)),1,0)+IF(AND(38&gt;=E23,OR(F23="",38&lt;=F23)),1,0)+IF(AND(38&gt;=E24,OR(F24="",38&lt;=F24)),1,0)+IF(AND(38&gt;=E25,OR(F25="",38&lt;=F25)),1,0)+IF(AND(38&gt;=E26,OR(F26="",38&lt;=F26)),1,0)+IF(AND(38&gt;=E27,OR(F27="",38&lt;=F27)),1,0)+IF(AND(38&gt;=E28,OR(F28="",38&lt;=F28)),1,0)+IF(AND(38&gt;=E29,OR(F29="",38&lt;=F29)),1,0)+IF(AND(38&gt;=E30,OR(F30="",38&lt;=F30)),1,0)+IF(AND(38&gt;=E31,OR(F31="",38&lt;=F31)),1,0)+IF(AND(38&gt;=E32,OR(F32="",38&lt;=F32)),1,0)+IF(AND(38&gt;=E33,OR(F33="",38&lt;=F33)),1,0)+IF(AND(38&gt;=E34,OR(F34="",38&lt;=F34)),1,0)+IF(AND(38&gt;=E35,OR(F35="",38&lt;=F35)),1,0)+IF(AND(38&gt;=E36,OR(F36="",38&lt;=F36)),1,0)+IF(AND(38&gt;=E37,OR(F37="",38&lt;=F37)),1,0)+IF(AND(38&gt;=E38,OR(F38="",38&lt;=F38)),1,0)+IF(AND(38&gt;=E39,OR(F39="",38&lt;=F39)),1,0)+IF(AND(38&gt;=E40,OR(F40="",38&lt;=F40)),1,0)+IF(AND(38&gt;=E41,OR(F41="",38&lt;=F41)),1,0)+IF(AND(38&gt;=E42,OR(F42="",38&lt;=F42)),1,0)</f>
        <v/>
      </c>
      <c r="AS45" s="35">
        <f>IF(AND(39&gt;=E4,OR(F4="",39&lt;=F4)),1,0)+IF(AND(39&gt;=E5,OR(F5="",39&lt;=F5)),1,0)+IF(AND(39&gt;=E6,OR(F6="",39&lt;=F6)),1,0)+IF(AND(39&gt;=E7,OR(F7="",39&lt;=F7)),1,0)+IF(AND(39&gt;=E8,OR(F8="",39&lt;=F8)),1,0)+IF(AND(39&gt;=E9,OR(F9="",39&lt;=F9)),1,0)+IF(AND(39&gt;=E10,OR(F10="",39&lt;=F10)),1,0)+IF(AND(39&gt;=E11,OR(F11="",39&lt;=F11)),1,0)+IF(AND(39&gt;=E12,OR(F12="",39&lt;=F12)),1,0)+IF(AND(39&gt;=E13,OR(F13="",39&lt;=F13)),1,0)+IF(AND(39&gt;=E14,OR(F14="",39&lt;=F14)),1,0)+IF(AND(39&gt;=E15,OR(F15="",39&lt;=F15)),1,0)+IF(AND(39&gt;=E16,OR(F16="",39&lt;=F16)),1,0)+IF(AND(39&gt;=E17,OR(F17="",39&lt;=F17)),1,0)+IF(AND(39&gt;=E18,OR(F18="",39&lt;=F18)),1,0)+IF(AND(39&gt;=E19,OR(F19="",39&lt;=F19)),1,0)+IF(AND(39&gt;=E20,OR(F20="",39&lt;=F20)),1,0)+IF(AND(39&gt;=E21,OR(F21="",39&lt;=F21)),1,0)+IF(AND(39&gt;=E22,OR(F22="",39&lt;=F22)),1,0)+IF(AND(39&gt;=E23,OR(F23="",39&lt;=F23)),1,0)+IF(AND(39&gt;=E24,OR(F24="",39&lt;=F24)),1,0)+IF(AND(39&gt;=E25,OR(F25="",39&lt;=F25)),1,0)+IF(AND(39&gt;=E26,OR(F26="",39&lt;=F26)),1,0)+IF(AND(39&gt;=E27,OR(F27="",39&lt;=F27)),1,0)+IF(AND(39&gt;=E28,OR(F28="",39&lt;=F28)),1,0)+IF(AND(39&gt;=E29,OR(F29="",39&lt;=F29)),1,0)+IF(AND(39&gt;=E30,OR(F30="",39&lt;=F30)),1,0)+IF(AND(39&gt;=E31,OR(F31="",39&lt;=F31)),1,0)+IF(AND(39&gt;=E32,OR(F32="",39&lt;=F32)),1,0)+IF(AND(39&gt;=E33,OR(F33="",39&lt;=F33)),1,0)+IF(AND(39&gt;=E34,OR(F34="",39&lt;=F34)),1,0)+IF(AND(39&gt;=E35,OR(F35="",39&lt;=F35)),1,0)+IF(AND(39&gt;=E36,OR(F36="",39&lt;=F36)),1,0)+IF(AND(39&gt;=E37,OR(F37="",39&lt;=F37)),1,0)+IF(AND(39&gt;=E38,OR(F38="",39&lt;=F38)),1,0)+IF(AND(39&gt;=E39,OR(F39="",39&lt;=F39)),1,0)+IF(AND(39&gt;=E40,OR(F40="",39&lt;=F40)),1,0)+IF(AND(39&gt;=E41,OR(F41="",39&lt;=F41)),1,0)+IF(AND(39&gt;=E42,OR(F42="",39&lt;=F42)),1,0)</f>
        <v/>
      </c>
      <c r="AT45" s="35">
        <f>IF(AND(40&gt;=E4,OR(F4="",40&lt;=F4)),1,0)+IF(AND(40&gt;=E5,OR(F5="",40&lt;=F5)),1,0)+IF(AND(40&gt;=E6,OR(F6="",40&lt;=F6)),1,0)+IF(AND(40&gt;=E7,OR(F7="",40&lt;=F7)),1,0)+IF(AND(40&gt;=E8,OR(F8="",40&lt;=F8)),1,0)+IF(AND(40&gt;=E9,OR(F9="",40&lt;=F9)),1,0)+IF(AND(40&gt;=E10,OR(F10="",40&lt;=F10)),1,0)+IF(AND(40&gt;=E11,OR(F11="",40&lt;=F11)),1,0)+IF(AND(40&gt;=E12,OR(F12="",40&lt;=F12)),1,0)+IF(AND(40&gt;=E13,OR(F13="",40&lt;=F13)),1,0)+IF(AND(40&gt;=E14,OR(F14="",40&lt;=F14)),1,0)+IF(AND(40&gt;=E15,OR(F15="",40&lt;=F15)),1,0)+IF(AND(40&gt;=E16,OR(F16="",40&lt;=F16)),1,0)+IF(AND(40&gt;=E17,OR(F17="",40&lt;=F17)),1,0)+IF(AND(40&gt;=E18,OR(F18="",40&lt;=F18)),1,0)+IF(AND(40&gt;=E19,OR(F19="",40&lt;=F19)),1,0)+IF(AND(40&gt;=E20,OR(F20="",40&lt;=F20)),1,0)+IF(AND(40&gt;=E21,OR(F21="",40&lt;=F21)),1,0)+IF(AND(40&gt;=E22,OR(F22="",40&lt;=F22)),1,0)+IF(AND(40&gt;=E23,OR(F23="",40&lt;=F23)),1,0)+IF(AND(40&gt;=E24,OR(F24="",40&lt;=F24)),1,0)+IF(AND(40&gt;=E25,OR(F25="",40&lt;=F25)),1,0)+IF(AND(40&gt;=E26,OR(F26="",40&lt;=F26)),1,0)+IF(AND(40&gt;=E27,OR(F27="",40&lt;=F27)),1,0)+IF(AND(40&gt;=E28,OR(F28="",40&lt;=F28)),1,0)+IF(AND(40&gt;=E29,OR(F29="",40&lt;=F29)),1,0)+IF(AND(40&gt;=E30,OR(F30="",40&lt;=F30)),1,0)+IF(AND(40&gt;=E31,OR(F31="",40&lt;=F31)),1,0)+IF(AND(40&gt;=E32,OR(F32="",40&lt;=F32)),1,0)+IF(AND(40&gt;=E33,OR(F33="",40&lt;=F33)),1,0)+IF(AND(40&gt;=E34,OR(F34="",40&lt;=F34)),1,0)+IF(AND(40&gt;=E35,OR(F35="",40&lt;=F35)),1,0)+IF(AND(40&gt;=E36,OR(F36="",40&lt;=F36)),1,0)+IF(AND(40&gt;=E37,OR(F37="",40&lt;=F37)),1,0)+IF(AND(40&gt;=E38,OR(F38="",40&lt;=F38)),1,0)+IF(AND(40&gt;=E39,OR(F39="",40&lt;=F39)),1,0)+IF(AND(40&gt;=E40,OR(F40="",40&lt;=F40)),1,0)+IF(AND(40&gt;=E41,OR(F41="",40&lt;=F41)),1,0)+IF(AND(40&gt;=E42,OR(F42="",40&lt;=F42)),1,0)</f>
        <v/>
      </c>
      <c r="AU45" s="35">
        <f>IF(AND(41&gt;=E4,OR(F4="",41&lt;=F4)),1,0)+IF(AND(41&gt;=E5,OR(F5="",41&lt;=F5)),1,0)+IF(AND(41&gt;=E6,OR(F6="",41&lt;=F6)),1,0)+IF(AND(41&gt;=E7,OR(F7="",41&lt;=F7)),1,0)+IF(AND(41&gt;=E8,OR(F8="",41&lt;=F8)),1,0)+IF(AND(41&gt;=E9,OR(F9="",41&lt;=F9)),1,0)+IF(AND(41&gt;=E10,OR(F10="",41&lt;=F10)),1,0)+IF(AND(41&gt;=E11,OR(F11="",41&lt;=F11)),1,0)+IF(AND(41&gt;=E12,OR(F12="",41&lt;=F12)),1,0)+IF(AND(41&gt;=E13,OR(F13="",41&lt;=F13)),1,0)+IF(AND(41&gt;=E14,OR(F14="",41&lt;=F14)),1,0)+IF(AND(41&gt;=E15,OR(F15="",41&lt;=F15)),1,0)+IF(AND(41&gt;=E16,OR(F16="",41&lt;=F16)),1,0)+IF(AND(41&gt;=E17,OR(F17="",41&lt;=F17)),1,0)+IF(AND(41&gt;=E18,OR(F18="",41&lt;=F18)),1,0)+IF(AND(41&gt;=E19,OR(F19="",41&lt;=F19)),1,0)+IF(AND(41&gt;=E20,OR(F20="",41&lt;=F20)),1,0)+IF(AND(41&gt;=E21,OR(F21="",41&lt;=F21)),1,0)+IF(AND(41&gt;=E22,OR(F22="",41&lt;=F22)),1,0)+IF(AND(41&gt;=E23,OR(F23="",41&lt;=F23)),1,0)+IF(AND(41&gt;=E24,OR(F24="",41&lt;=F24)),1,0)+IF(AND(41&gt;=E25,OR(F25="",41&lt;=F25)),1,0)+IF(AND(41&gt;=E26,OR(F26="",41&lt;=F26)),1,0)+IF(AND(41&gt;=E27,OR(F27="",41&lt;=F27)),1,0)+IF(AND(41&gt;=E28,OR(F28="",41&lt;=F28)),1,0)+IF(AND(41&gt;=E29,OR(F29="",41&lt;=F29)),1,0)+IF(AND(41&gt;=E30,OR(F30="",41&lt;=F30)),1,0)+IF(AND(41&gt;=E31,OR(F31="",41&lt;=F31)),1,0)+IF(AND(41&gt;=E32,OR(F32="",41&lt;=F32)),1,0)+IF(AND(41&gt;=E33,OR(F33="",41&lt;=F33)),1,0)+IF(AND(41&gt;=E34,OR(F34="",41&lt;=F34)),1,0)+IF(AND(41&gt;=E35,OR(F35="",41&lt;=F35)),1,0)+IF(AND(41&gt;=E36,OR(F36="",41&lt;=F36)),1,0)+IF(AND(41&gt;=E37,OR(F37="",41&lt;=F37)),1,0)+IF(AND(41&gt;=E38,OR(F38="",41&lt;=F38)),1,0)+IF(AND(41&gt;=E39,OR(F39="",41&lt;=F39)),1,0)+IF(AND(41&gt;=E40,OR(F40="",41&lt;=F40)),1,0)+IF(AND(41&gt;=E41,OR(F41="",41&lt;=F41)),1,0)+IF(AND(41&gt;=E42,OR(F42="",41&lt;=F42)),1,0)</f>
        <v/>
      </c>
      <c r="AV45" s="35">
        <f>IF(AND(42&gt;=E4,OR(F4="",42&lt;=F4)),1,0)+IF(AND(42&gt;=E5,OR(F5="",42&lt;=F5)),1,0)+IF(AND(42&gt;=E6,OR(F6="",42&lt;=F6)),1,0)+IF(AND(42&gt;=E7,OR(F7="",42&lt;=F7)),1,0)+IF(AND(42&gt;=E8,OR(F8="",42&lt;=F8)),1,0)+IF(AND(42&gt;=E9,OR(F9="",42&lt;=F9)),1,0)+IF(AND(42&gt;=E10,OR(F10="",42&lt;=F10)),1,0)+IF(AND(42&gt;=E11,OR(F11="",42&lt;=F11)),1,0)+IF(AND(42&gt;=E12,OR(F12="",42&lt;=F12)),1,0)+IF(AND(42&gt;=E13,OR(F13="",42&lt;=F13)),1,0)+IF(AND(42&gt;=E14,OR(F14="",42&lt;=F14)),1,0)+IF(AND(42&gt;=E15,OR(F15="",42&lt;=F15)),1,0)+IF(AND(42&gt;=E16,OR(F16="",42&lt;=F16)),1,0)+IF(AND(42&gt;=E17,OR(F17="",42&lt;=F17)),1,0)+IF(AND(42&gt;=E18,OR(F18="",42&lt;=F18)),1,0)+IF(AND(42&gt;=E19,OR(F19="",42&lt;=F19)),1,0)+IF(AND(42&gt;=E20,OR(F20="",42&lt;=F20)),1,0)+IF(AND(42&gt;=E21,OR(F21="",42&lt;=F21)),1,0)+IF(AND(42&gt;=E22,OR(F22="",42&lt;=F22)),1,0)+IF(AND(42&gt;=E23,OR(F23="",42&lt;=F23)),1,0)+IF(AND(42&gt;=E24,OR(F24="",42&lt;=F24)),1,0)+IF(AND(42&gt;=E25,OR(F25="",42&lt;=F25)),1,0)+IF(AND(42&gt;=E26,OR(F26="",42&lt;=F26)),1,0)+IF(AND(42&gt;=E27,OR(F27="",42&lt;=F27)),1,0)+IF(AND(42&gt;=E28,OR(F28="",42&lt;=F28)),1,0)+IF(AND(42&gt;=E29,OR(F29="",42&lt;=F29)),1,0)+IF(AND(42&gt;=E30,OR(F30="",42&lt;=F30)),1,0)+IF(AND(42&gt;=E31,OR(F31="",42&lt;=F31)),1,0)+IF(AND(42&gt;=E32,OR(F32="",42&lt;=F32)),1,0)+IF(AND(42&gt;=E33,OR(F33="",42&lt;=F33)),1,0)+IF(AND(42&gt;=E34,OR(F34="",42&lt;=F34)),1,0)+IF(AND(42&gt;=E35,OR(F35="",42&lt;=F35)),1,0)+IF(AND(42&gt;=E36,OR(F36="",42&lt;=F36)),1,0)+IF(AND(42&gt;=E37,OR(F37="",42&lt;=F37)),1,0)+IF(AND(42&gt;=E38,OR(F38="",42&lt;=F38)),1,0)+IF(AND(42&gt;=E39,OR(F39="",42&lt;=F39)),1,0)+IF(AND(42&gt;=E40,OR(F40="",42&lt;=F40)),1,0)+IF(AND(42&gt;=E41,OR(F41="",42&lt;=F41)),1,0)+IF(AND(42&gt;=E42,OR(F42="",42&lt;=F42)),1,0)</f>
        <v/>
      </c>
      <c r="AW45" s="35">
        <f>IF(AND(43&gt;=E4,OR(F4="",43&lt;=F4)),1,0)+IF(AND(43&gt;=E5,OR(F5="",43&lt;=F5)),1,0)+IF(AND(43&gt;=E6,OR(F6="",43&lt;=F6)),1,0)+IF(AND(43&gt;=E7,OR(F7="",43&lt;=F7)),1,0)+IF(AND(43&gt;=E8,OR(F8="",43&lt;=F8)),1,0)+IF(AND(43&gt;=E9,OR(F9="",43&lt;=F9)),1,0)+IF(AND(43&gt;=E10,OR(F10="",43&lt;=F10)),1,0)+IF(AND(43&gt;=E11,OR(F11="",43&lt;=F11)),1,0)+IF(AND(43&gt;=E12,OR(F12="",43&lt;=F12)),1,0)+IF(AND(43&gt;=E13,OR(F13="",43&lt;=F13)),1,0)+IF(AND(43&gt;=E14,OR(F14="",43&lt;=F14)),1,0)+IF(AND(43&gt;=E15,OR(F15="",43&lt;=F15)),1,0)+IF(AND(43&gt;=E16,OR(F16="",43&lt;=F16)),1,0)+IF(AND(43&gt;=E17,OR(F17="",43&lt;=F17)),1,0)+IF(AND(43&gt;=E18,OR(F18="",43&lt;=F18)),1,0)+IF(AND(43&gt;=E19,OR(F19="",43&lt;=F19)),1,0)+IF(AND(43&gt;=E20,OR(F20="",43&lt;=F20)),1,0)+IF(AND(43&gt;=E21,OR(F21="",43&lt;=F21)),1,0)+IF(AND(43&gt;=E22,OR(F22="",43&lt;=F22)),1,0)+IF(AND(43&gt;=E23,OR(F23="",43&lt;=F23)),1,0)+IF(AND(43&gt;=E24,OR(F24="",43&lt;=F24)),1,0)+IF(AND(43&gt;=E25,OR(F25="",43&lt;=F25)),1,0)+IF(AND(43&gt;=E26,OR(F26="",43&lt;=F26)),1,0)+IF(AND(43&gt;=E27,OR(F27="",43&lt;=F27)),1,0)+IF(AND(43&gt;=E28,OR(F28="",43&lt;=F28)),1,0)+IF(AND(43&gt;=E29,OR(F29="",43&lt;=F29)),1,0)+IF(AND(43&gt;=E30,OR(F30="",43&lt;=F30)),1,0)+IF(AND(43&gt;=E31,OR(F31="",43&lt;=F31)),1,0)+IF(AND(43&gt;=E32,OR(F32="",43&lt;=F32)),1,0)+IF(AND(43&gt;=E33,OR(F33="",43&lt;=F33)),1,0)+IF(AND(43&gt;=E34,OR(F34="",43&lt;=F34)),1,0)+IF(AND(43&gt;=E35,OR(F35="",43&lt;=F35)),1,0)+IF(AND(43&gt;=E36,OR(F36="",43&lt;=F36)),1,0)+IF(AND(43&gt;=E37,OR(F37="",43&lt;=F37)),1,0)+IF(AND(43&gt;=E38,OR(F38="",43&lt;=F38)),1,0)+IF(AND(43&gt;=E39,OR(F39="",43&lt;=F39)),1,0)+IF(AND(43&gt;=E40,OR(F40="",43&lt;=F40)),1,0)+IF(AND(43&gt;=E41,OR(F41="",43&lt;=F41)),1,0)+IF(AND(43&gt;=E42,OR(F42="",43&lt;=F42)),1,0)</f>
        <v/>
      </c>
      <c r="AX45" s="35">
        <f>IF(AND(44&gt;=E4,OR(F4="",44&lt;=F4)),1,0)+IF(AND(44&gt;=E5,OR(F5="",44&lt;=F5)),1,0)+IF(AND(44&gt;=E6,OR(F6="",44&lt;=F6)),1,0)+IF(AND(44&gt;=E7,OR(F7="",44&lt;=F7)),1,0)+IF(AND(44&gt;=E8,OR(F8="",44&lt;=F8)),1,0)+IF(AND(44&gt;=E9,OR(F9="",44&lt;=F9)),1,0)+IF(AND(44&gt;=E10,OR(F10="",44&lt;=F10)),1,0)+IF(AND(44&gt;=E11,OR(F11="",44&lt;=F11)),1,0)+IF(AND(44&gt;=E12,OR(F12="",44&lt;=F12)),1,0)+IF(AND(44&gt;=E13,OR(F13="",44&lt;=F13)),1,0)+IF(AND(44&gt;=E14,OR(F14="",44&lt;=F14)),1,0)+IF(AND(44&gt;=E15,OR(F15="",44&lt;=F15)),1,0)+IF(AND(44&gt;=E16,OR(F16="",44&lt;=F16)),1,0)+IF(AND(44&gt;=E17,OR(F17="",44&lt;=F17)),1,0)+IF(AND(44&gt;=E18,OR(F18="",44&lt;=F18)),1,0)+IF(AND(44&gt;=E19,OR(F19="",44&lt;=F19)),1,0)+IF(AND(44&gt;=E20,OR(F20="",44&lt;=F20)),1,0)+IF(AND(44&gt;=E21,OR(F21="",44&lt;=F21)),1,0)+IF(AND(44&gt;=E22,OR(F22="",44&lt;=F22)),1,0)+IF(AND(44&gt;=E23,OR(F23="",44&lt;=F23)),1,0)+IF(AND(44&gt;=E24,OR(F24="",44&lt;=F24)),1,0)+IF(AND(44&gt;=E25,OR(F25="",44&lt;=F25)),1,0)+IF(AND(44&gt;=E26,OR(F26="",44&lt;=F26)),1,0)+IF(AND(44&gt;=E27,OR(F27="",44&lt;=F27)),1,0)+IF(AND(44&gt;=E28,OR(F28="",44&lt;=F28)),1,0)+IF(AND(44&gt;=E29,OR(F29="",44&lt;=F29)),1,0)+IF(AND(44&gt;=E30,OR(F30="",44&lt;=F30)),1,0)+IF(AND(44&gt;=E31,OR(F31="",44&lt;=F31)),1,0)+IF(AND(44&gt;=E32,OR(F32="",44&lt;=F32)),1,0)+IF(AND(44&gt;=E33,OR(F33="",44&lt;=F33)),1,0)+IF(AND(44&gt;=E34,OR(F34="",44&lt;=F34)),1,0)+IF(AND(44&gt;=E35,OR(F35="",44&lt;=F35)),1,0)+IF(AND(44&gt;=E36,OR(F36="",44&lt;=F36)),1,0)+IF(AND(44&gt;=E37,OR(F37="",44&lt;=F37)),1,0)+IF(AND(44&gt;=E38,OR(F38="",44&lt;=F38)),1,0)+IF(AND(44&gt;=E39,OR(F39="",44&lt;=F39)),1,0)+IF(AND(44&gt;=E40,OR(F40="",44&lt;=F40)),1,0)+IF(AND(44&gt;=E41,OR(F41="",44&lt;=F41)),1,0)+IF(AND(44&gt;=E42,OR(F42="",44&lt;=F42)),1,0)</f>
        <v/>
      </c>
      <c r="AY45" s="35">
        <f>IF(AND(45&gt;=E4,OR(F4="",45&lt;=F4)),1,0)+IF(AND(45&gt;=E5,OR(F5="",45&lt;=F5)),1,0)+IF(AND(45&gt;=E6,OR(F6="",45&lt;=F6)),1,0)+IF(AND(45&gt;=E7,OR(F7="",45&lt;=F7)),1,0)+IF(AND(45&gt;=E8,OR(F8="",45&lt;=F8)),1,0)+IF(AND(45&gt;=E9,OR(F9="",45&lt;=F9)),1,0)+IF(AND(45&gt;=E10,OR(F10="",45&lt;=F10)),1,0)+IF(AND(45&gt;=E11,OR(F11="",45&lt;=F11)),1,0)+IF(AND(45&gt;=E12,OR(F12="",45&lt;=F12)),1,0)+IF(AND(45&gt;=E13,OR(F13="",45&lt;=F13)),1,0)+IF(AND(45&gt;=E14,OR(F14="",45&lt;=F14)),1,0)+IF(AND(45&gt;=E15,OR(F15="",45&lt;=F15)),1,0)+IF(AND(45&gt;=E16,OR(F16="",45&lt;=F16)),1,0)+IF(AND(45&gt;=E17,OR(F17="",45&lt;=F17)),1,0)+IF(AND(45&gt;=E18,OR(F18="",45&lt;=F18)),1,0)+IF(AND(45&gt;=E19,OR(F19="",45&lt;=F19)),1,0)+IF(AND(45&gt;=E20,OR(F20="",45&lt;=F20)),1,0)+IF(AND(45&gt;=E21,OR(F21="",45&lt;=F21)),1,0)+IF(AND(45&gt;=E22,OR(F22="",45&lt;=F22)),1,0)+IF(AND(45&gt;=E23,OR(F23="",45&lt;=F23)),1,0)+IF(AND(45&gt;=E24,OR(F24="",45&lt;=F24)),1,0)+IF(AND(45&gt;=E25,OR(F25="",45&lt;=F25)),1,0)+IF(AND(45&gt;=E26,OR(F26="",45&lt;=F26)),1,0)+IF(AND(45&gt;=E27,OR(F27="",45&lt;=F27)),1,0)+IF(AND(45&gt;=E28,OR(F28="",45&lt;=F28)),1,0)+IF(AND(45&gt;=E29,OR(F29="",45&lt;=F29)),1,0)+IF(AND(45&gt;=E30,OR(F30="",45&lt;=F30)),1,0)+IF(AND(45&gt;=E31,OR(F31="",45&lt;=F31)),1,0)+IF(AND(45&gt;=E32,OR(F32="",45&lt;=F32)),1,0)+IF(AND(45&gt;=E33,OR(F33="",45&lt;=F33)),1,0)+IF(AND(45&gt;=E34,OR(F34="",45&lt;=F34)),1,0)+IF(AND(45&gt;=E35,OR(F35="",45&lt;=F35)),1,0)+IF(AND(45&gt;=E36,OR(F36="",45&lt;=F36)),1,0)+IF(AND(45&gt;=E37,OR(F37="",45&lt;=F37)),1,0)+IF(AND(45&gt;=E38,OR(F38="",45&lt;=F38)),1,0)+IF(AND(45&gt;=E39,OR(F39="",45&lt;=F39)),1,0)+IF(AND(45&gt;=E40,OR(F40="",45&lt;=F40)),1,0)+IF(AND(45&gt;=E41,OR(F41="",45&lt;=F41)),1,0)+IF(AND(45&gt;=E42,OR(F42="",45&lt;=F42)),1,0)</f>
        <v/>
      </c>
      <c r="AZ45" s="35">
        <f>IF(AND(46&gt;=E4,OR(F4="",46&lt;=F4)),1,0)+IF(AND(46&gt;=E5,OR(F5="",46&lt;=F5)),1,0)+IF(AND(46&gt;=E6,OR(F6="",46&lt;=F6)),1,0)+IF(AND(46&gt;=E7,OR(F7="",46&lt;=F7)),1,0)+IF(AND(46&gt;=E8,OR(F8="",46&lt;=F8)),1,0)+IF(AND(46&gt;=E9,OR(F9="",46&lt;=F9)),1,0)+IF(AND(46&gt;=E10,OR(F10="",46&lt;=F10)),1,0)+IF(AND(46&gt;=E11,OR(F11="",46&lt;=F11)),1,0)+IF(AND(46&gt;=E12,OR(F12="",46&lt;=F12)),1,0)+IF(AND(46&gt;=E13,OR(F13="",46&lt;=F13)),1,0)+IF(AND(46&gt;=E14,OR(F14="",46&lt;=F14)),1,0)+IF(AND(46&gt;=E15,OR(F15="",46&lt;=F15)),1,0)+IF(AND(46&gt;=E16,OR(F16="",46&lt;=F16)),1,0)+IF(AND(46&gt;=E17,OR(F17="",46&lt;=F17)),1,0)+IF(AND(46&gt;=E18,OR(F18="",46&lt;=F18)),1,0)+IF(AND(46&gt;=E19,OR(F19="",46&lt;=F19)),1,0)+IF(AND(46&gt;=E20,OR(F20="",46&lt;=F20)),1,0)+IF(AND(46&gt;=E21,OR(F21="",46&lt;=F21)),1,0)+IF(AND(46&gt;=E22,OR(F22="",46&lt;=F22)),1,0)+IF(AND(46&gt;=E23,OR(F23="",46&lt;=F23)),1,0)+IF(AND(46&gt;=E24,OR(F24="",46&lt;=F24)),1,0)+IF(AND(46&gt;=E25,OR(F25="",46&lt;=F25)),1,0)+IF(AND(46&gt;=E26,OR(F26="",46&lt;=F26)),1,0)+IF(AND(46&gt;=E27,OR(F27="",46&lt;=F27)),1,0)+IF(AND(46&gt;=E28,OR(F28="",46&lt;=F28)),1,0)+IF(AND(46&gt;=E29,OR(F29="",46&lt;=F29)),1,0)+IF(AND(46&gt;=E30,OR(F30="",46&lt;=F30)),1,0)+IF(AND(46&gt;=E31,OR(F31="",46&lt;=F31)),1,0)+IF(AND(46&gt;=E32,OR(F32="",46&lt;=F32)),1,0)+IF(AND(46&gt;=E33,OR(F33="",46&lt;=F33)),1,0)+IF(AND(46&gt;=E34,OR(F34="",46&lt;=F34)),1,0)+IF(AND(46&gt;=E35,OR(F35="",46&lt;=F35)),1,0)+IF(AND(46&gt;=E36,OR(F36="",46&lt;=F36)),1,0)+IF(AND(46&gt;=E37,OR(F37="",46&lt;=F37)),1,0)+IF(AND(46&gt;=E38,OR(F38="",46&lt;=F38)),1,0)+IF(AND(46&gt;=E39,OR(F39="",46&lt;=F39)),1,0)+IF(AND(46&gt;=E40,OR(F40="",46&lt;=F40)),1,0)+IF(AND(46&gt;=E41,OR(F41="",46&lt;=F41)),1,0)+IF(AND(46&gt;=E42,OR(F42="",46&lt;=F42)),1,0)</f>
        <v/>
      </c>
      <c r="BA45" s="35">
        <f>IF(AND(47&gt;=E4,OR(F4="",47&lt;=F4)),1,0)+IF(AND(47&gt;=E5,OR(F5="",47&lt;=F5)),1,0)+IF(AND(47&gt;=E6,OR(F6="",47&lt;=F6)),1,0)+IF(AND(47&gt;=E7,OR(F7="",47&lt;=F7)),1,0)+IF(AND(47&gt;=E8,OR(F8="",47&lt;=F8)),1,0)+IF(AND(47&gt;=E9,OR(F9="",47&lt;=F9)),1,0)+IF(AND(47&gt;=E10,OR(F10="",47&lt;=F10)),1,0)+IF(AND(47&gt;=E11,OR(F11="",47&lt;=F11)),1,0)+IF(AND(47&gt;=E12,OR(F12="",47&lt;=F12)),1,0)+IF(AND(47&gt;=E13,OR(F13="",47&lt;=F13)),1,0)+IF(AND(47&gt;=E14,OR(F14="",47&lt;=F14)),1,0)+IF(AND(47&gt;=E15,OR(F15="",47&lt;=F15)),1,0)+IF(AND(47&gt;=E16,OR(F16="",47&lt;=F16)),1,0)+IF(AND(47&gt;=E17,OR(F17="",47&lt;=F17)),1,0)+IF(AND(47&gt;=E18,OR(F18="",47&lt;=F18)),1,0)+IF(AND(47&gt;=E19,OR(F19="",47&lt;=F19)),1,0)+IF(AND(47&gt;=E20,OR(F20="",47&lt;=F20)),1,0)+IF(AND(47&gt;=E21,OR(F21="",47&lt;=F21)),1,0)+IF(AND(47&gt;=E22,OR(F22="",47&lt;=F22)),1,0)+IF(AND(47&gt;=E23,OR(F23="",47&lt;=F23)),1,0)+IF(AND(47&gt;=E24,OR(F24="",47&lt;=F24)),1,0)+IF(AND(47&gt;=E25,OR(F25="",47&lt;=F25)),1,0)+IF(AND(47&gt;=E26,OR(F26="",47&lt;=F26)),1,0)+IF(AND(47&gt;=E27,OR(F27="",47&lt;=F27)),1,0)+IF(AND(47&gt;=E28,OR(F28="",47&lt;=F28)),1,0)+IF(AND(47&gt;=E29,OR(F29="",47&lt;=F29)),1,0)+IF(AND(47&gt;=E30,OR(F30="",47&lt;=F30)),1,0)+IF(AND(47&gt;=E31,OR(F31="",47&lt;=F31)),1,0)+IF(AND(47&gt;=E32,OR(F32="",47&lt;=F32)),1,0)+IF(AND(47&gt;=E33,OR(F33="",47&lt;=F33)),1,0)+IF(AND(47&gt;=E34,OR(F34="",47&lt;=F34)),1,0)+IF(AND(47&gt;=E35,OR(F35="",47&lt;=F35)),1,0)+IF(AND(47&gt;=E36,OR(F36="",47&lt;=F36)),1,0)+IF(AND(47&gt;=E37,OR(F37="",47&lt;=F37)),1,0)+IF(AND(47&gt;=E38,OR(F38="",47&lt;=F38)),1,0)+IF(AND(47&gt;=E39,OR(F39="",47&lt;=F39)),1,0)+IF(AND(47&gt;=E40,OR(F40="",47&lt;=F40)),1,0)+IF(AND(47&gt;=E41,OR(F41="",47&lt;=F41)),1,0)+IF(AND(47&gt;=E42,OR(F42="",47&lt;=F42)),1,0)</f>
        <v/>
      </c>
      <c r="BB45" s="35">
        <f>IF(AND(48&gt;=E4,OR(F4="",48&lt;=F4)),1,0)+IF(AND(48&gt;=E5,OR(F5="",48&lt;=F5)),1,0)+IF(AND(48&gt;=E6,OR(F6="",48&lt;=F6)),1,0)+IF(AND(48&gt;=E7,OR(F7="",48&lt;=F7)),1,0)+IF(AND(48&gt;=E8,OR(F8="",48&lt;=F8)),1,0)+IF(AND(48&gt;=E9,OR(F9="",48&lt;=F9)),1,0)+IF(AND(48&gt;=E10,OR(F10="",48&lt;=F10)),1,0)+IF(AND(48&gt;=E11,OR(F11="",48&lt;=F11)),1,0)+IF(AND(48&gt;=E12,OR(F12="",48&lt;=F12)),1,0)+IF(AND(48&gt;=E13,OR(F13="",48&lt;=F13)),1,0)+IF(AND(48&gt;=E14,OR(F14="",48&lt;=F14)),1,0)+IF(AND(48&gt;=E15,OR(F15="",48&lt;=F15)),1,0)+IF(AND(48&gt;=E16,OR(F16="",48&lt;=F16)),1,0)+IF(AND(48&gt;=E17,OR(F17="",48&lt;=F17)),1,0)+IF(AND(48&gt;=E18,OR(F18="",48&lt;=F18)),1,0)+IF(AND(48&gt;=E19,OR(F19="",48&lt;=F19)),1,0)+IF(AND(48&gt;=E20,OR(F20="",48&lt;=F20)),1,0)+IF(AND(48&gt;=E21,OR(F21="",48&lt;=F21)),1,0)+IF(AND(48&gt;=E22,OR(F22="",48&lt;=F22)),1,0)+IF(AND(48&gt;=E23,OR(F23="",48&lt;=F23)),1,0)+IF(AND(48&gt;=E24,OR(F24="",48&lt;=F24)),1,0)+IF(AND(48&gt;=E25,OR(F25="",48&lt;=F25)),1,0)+IF(AND(48&gt;=E26,OR(F26="",48&lt;=F26)),1,0)+IF(AND(48&gt;=E27,OR(F27="",48&lt;=F27)),1,0)+IF(AND(48&gt;=E28,OR(F28="",48&lt;=F28)),1,0)+IF(AND(48&gt;=E29,OR(F29="",48&lt;=F29)),1,0)+IF(AND(48&gt;=E30,OR(F30="",48&lt;=F30)),1,0)+IF(AND(48&gt;=E31,OR(F31="",48&lt;=F31)),1,0)+IF(AND(48&gt;=E32,OR(F32="",48&lt;=F32)),1,0)+IF(AND(48&gt;=E33,OR(F33="",48&lt;=F33)),1,0)+IF(AND(48&gt;=E34,OR(F34="",48&lt;=F34)),1,0)+IF(AND(48&gt;=E35,OR(F35="",48&lt;=F35)),1,0)+IF(AND(48&gt;=E36,OR(F36="",48&lt;=F36)),1,0)+IF(AND(48&gt;=E37,OR(F37="",48&lt;=F37)),1,0)+IF(AND(48&gt;=E38,OR(F38="",48&lt;=F38)),1,0)+IF(AND(48&gt;=E39,OR(F39="",48&lt;=F39)),1,0)+IF(AND(48&gt;=E40,OR(F40="",48&lt;=F40)),1,0)+IF(AND(48&gt;=E41,OR(F41="",48&lt;=F41)),1,0)+IF(AND(48&gt;=E42,OR(F42="",48&lt;=F42)),1,0)</f>
        <v/>
      </c>
      <c r="BC45" s="35">
        <f>IF(AND(49&gt;=E4,OR(F4="",49&lt;=F4)),1,0)+IF(AND(49&gt;=E5,OR(F5="",49&lt;=F5)),1,0)+IF(AND(49&gt;=E6,OR(F6="",49&lt;=F6)),1,0)+IF(AND(49&gt;=E7,OR(F7="",49&lt;=F7)),1,0)+IF(AND(49&gt;=E8,OR(F8="",49&lt;=F8)),1,0)+IF(AND(49&gt;=E9,OR(F9="",49&lt;=F9)),1,0)+IF(AND(49&gt;=E10,OR(F10="",49&lt;=F10)),1,0)+IF(AND(49&gt;=E11,OR(F11="",49&lt;=F11)),1,0)+IF(AND(49&gt;=E12,OR(F12="",49&lt;=F12)),1,0)+IF(AND(49&gt;=E13,OR(F13="",49&lt;=F13)),1,0)+IF(AND(49&gt;=E14,OR(F14="",49&lt;=F14)),1,0)+IF(AND(49&gt;=E15,OR(F15="",49&lt;=F15)),1,0)+IF(AND(49&gt;=E16,OR(F16="",49&lt;=F16)),1,0)+IF(AND(49&gt;=E17,OR(F17="",49&lt;=F17)),1,0)+IF(AND(49&gt;=E18,OR(F18="",49&lt;=F18)),1,0)+IF(AND(49&gt;=E19,OR(F19="",49&lt;=F19)),1,0)+IF(AND(49&gt;=E20,OR(F20="",49&lt;=F20)),1,0)+IF(AND(49&gt;=E21,OR(F21="",49&lt;=F21)),1,0)+IF(AND(49&gt;=E22,OR(F22="",49&lt;=F22)),1,0)+IF(AND(49&gt;=E23,OR(F23="",49&lt;=F23)),1,0)+IF(AND(49&gt;=E24,OR(F24="",49&lt;=F24)),1,0)+IF(AND(49&gt;=E25,OR(F25="",49&lt;=F25)),1,0)+IF(AND(49&gt;=E26,OR(F26="",49&lt;=F26)),1,0)+IF(AND(49&gt;=E27,OR(F27="",49&lt;=F27)),1,0)+IF(AND(49&gt;=E28,OR(F28="",49&lt;=F28)),1,0)+IF(AND(49&gt;=E29,OR(F29="",49&lt;=F29)),1,0)+IF(AND(49&gt;=E30,OR(F30="",49&lt;=F30)),1,0)+IF(AND(49&gt;=E31,OR(F31="",49&lt;=F31)),1,0)+IF(AND(49&gt;=E32,OR(F32="",49&lt;=F32)),1,0)+IF(AND(49&gt;=E33,OR(F33="",49&lt;=F33)),1,0)+IF(AND(49&gt;=E34,OR(F34="",49&lt;=F34)),1,0)+IF(AND(49&gt;=E35,OR(F35="",49&lt;=F35)),1,0)+IF(AND(49&gt;=E36,OR(F36="",49&lt;=F36)),1,0)+IF(AND(49&gt;=E37,OR(F37="",49&lt;=F37)),1,0)+IF(AND(49&gt;=E38,OR(F38="",49&lt;=F38)),1,0)+IF(AND(49&gt;=E39,OR(F39="",49&lt;=F39)),1,0)+IF(AND(49&gt;=E40,OR(F40="",49&lt;=F40)),1,0)+IF(AND(49&gt;=E41,OR(F41="",49&lt;=F41)),1,0)+IF(AND(49&gt;=E42,OR(F42="",49&lt;=F42)),1,0)</f>
        <v/>
      </c>
      <c r="BD45" s="35">
        <f>IF(AND(50&gt;=E4,OR(F4="",50&lt;=F4)),1,0)+IF(AND(50&gt;=E5,OR(F5="",50&lt;=F5)),1,0)+IF(AND(50&gt;=E6,OR(F6="",50&lt;=F6)),1,0)+IF(AND(50&gt;=E7,OR(F7="",50&lt;=F7)),1,0)+IF(AND(50&gt;=E8,OR(F8="",50&lt;=F8)),1,0)+IF(AND(50&gt;=E9,OR(F9="",50&lt;=F9)),1,0)+IF(AND(50&gt;=E10,OR(F10="",50&lt;=F10)),1,0)+IF(AND(50&gt;=E11,OR(F11="",50&lt;=F11)),1,0)+IF(AND(50&gt;=E12,OR(F12="",50&lt;=F12)),1,0)+IF(AND(50&gt;=E13,OR(F13="",50&lt;=F13)),1,0)+IF(AND(50&gt;=E14,OR(F14="",50&lt;=F14)),1,0)+IF(AND(50&gt;=E15,OR(F15="",50&lt;=F15)),1,0)+IF(AND(50&gt;=E16,OR(F16="",50&lt;=F16)),1,0)+IF(AND(50&gt;=E17,OR(F17="",50&lt;=F17)),1,0)+IF(AND(50&gt;=E18,OR(F18="",50&lt;=F18)),1,0)+IF(AND(50&gt;=E19,OR(F19="",50&lt;=F19)),1,0)+IF(AND(50&gt;=E20,OR(F20="",50&lt;=F20)),1,0)+IF(AND(50&gt;=E21,OR(F21="",50&lt;=F21)),1,0)+IF(AND(50&gt;=E22,OR(F22="",50&lt;=F22)),1,0)+IF(AND(50&gt;=E23,OR(F23="",50&lt;=F23)),1,0)+IF(AND(50&gt;=E24,OR(F24="",50&lt;=F24)),1,0)+IF(AND(50&gt;=E25,OR(F25="",50&lt;=F25)),1,0)+IF(AND(50&gt;=E26,OR(F26="",50&lt;=F26)),1,0)+IF(AND(50&gt;=E27,OR(F27="",50&lt;=F27)),1,0)+IF(AND(50&gt;=E28,OR(F28="",50&lt;=F28)),1,0)+IF(AND(50&gt;=E29,OR(F29="",50&lt;=F29)),1,0)+IF(AND(50&gt;=E30,OR(F30="",50&lt;=F30)),1,0)+IF(AND(50&gt;=E31,OR(F31="",50&lt;=F31)),1,0)+IF(AND(50&gt;=E32,OR(F32="",50&lt;=F32)),1,0)+IF(AND(50&gt;=E33,OR(F33="",50&lt;=F33)),1,0)+IF(AND(50&gt;=E34,OR(F34="",50&lt;=F34)),1,0)+IF(AND(50&gt;=E35,OR(F35="",50&lt;=F35)),1,0)+IF(AND(50&gt;=E36,OR(F36="",50&lt;=F36)),1,0)+IF(AND(50&gt;=E37,OR(F37="",50&lt;=F37)),1,0)+IF(AND(50&gt;=E38,OR(F38="",50&lt;=F38)),1,0)+IF(AND(50&gt;=E39,OR(F39="",50&lt;=F39)),1,0)+IF(AND(50&gt;=E40,OR(F40="",50&lt;=F40)),1,0)+IF(AND(50&gt;=E41,OR(F41="",50&lt;=F41)),1,0)+IF(AND(50&gt;=E42,OR(F42="",50&lt;=F42)),1,0)</f>
        <v/>
      </c>
      <c r="BE45" s="35">
        <f>IF(AND(51&gt;=E4,OR(F4="",51&lt;=F4)),1,0)+IF(AND(51&gt;=E5,OR(F5="",51&lt;=F5)),1,0)+IF(AND(51&gt;=E6,OR(F6="",51&lt;=F6)),1,0)+IF(AND(51&gt;=E7,OR(F7="",51&lt;=F7)),1,0)+IF(AND(51&gt;=E8,OR(F8="",51&lt;=F8)),1,0)+IF(AND(51&gt;=E9,OR(F9="",51&lt;=F9)),1,0)+IF(AND(51&gt;=E10,OR(F10="",51&lt;=F10)),1,0)+IF(AND(51&gt;=E11,OR(F11="",51&lt;=F11)),1,0)+IF(AND(51&gt;=E12,OR(F12="",51&lt;=F12)),1,0)+IF(AND(51&gt;=E13,OR(F13="",51&lt;=F13)),1,0)+IF(AND(51&gt;=E14,OR(F14="",51&lt;=F14)),1,0)+IF(AND(51&gt;=E15,OR(F15="",51&lt;=F15)),1,0)+IF(AND(51&gt;=E16,OR(F16="",51&lt;=F16)),1,0)+IF(AND(51&gt;=E17,OR(F17="",51&lt;=F17)),1,0)+IF(AND(51&gt;=E18,OR(F18="",51&lt;=F18)),1,0)+IF(AND(51&gt;=E19,OR(F19="",51&lt;=F19)),1,0)+IF(AND(51&gt;=E20,OR(F20="",51&lt;=F20)),1,0)+IF(AND(51&gt;=E21,OR(F21="",51&lt;=F21)),1,0)+IF(AND(51&gt;=E22,OR(F22="",51&lt;=F22)),1,0)+IF(AND(51&gt;=E23,OR(F23="",51&lt;=F23)),1,0)+IF(AND(51&gt;=E24,OR(F24="",51&lt;=F24)),1,0)+IF(AND(51&gt;=E25,OR(F25="",51&lt;=F25)),1,0)+IF(AND(51&gt;=E26,OR(F26="",51&lt;=F26)),1,0)+IF(AND(51&gt;=E27,OR(F27="",51&lt;=F27)),1,0)+IF(AND(51&gt;=E28,OR(F28="",51&lt;=F28)),1,0)+IF(AND(51&gt;=E29,OR(F29="",51&lt;=F29)),1,0)+IF(AND(51&gt;=E30,OR(F30="",51&lt;=F30)),1,0)+IF(AND(51&gt;=E31,OR(F31="",51&lt;=F31)),1,0)+IF(AND(51&gt;=E32,OR(F32="",51&lt;=F32)),1,0)+IF(AND(51&gt;=E33,OR(F33="",51&lt;=F33)),1,0)+IF(AND(51&gt;=E34,OR(F34="",51&lt;=F34)),1,0)+IF(AND(51&gt;=E35,OR(F35="",51&lt;=F35)),1,0)+IF(AND(51&gt;=E36,OR(F36="",51&lt;=F36)),1,0)+IF(AND(51&gt;=E37,OR(F37="",51&lt;=F37)),1,0)+IF(AND(51&gt;=E38,OR(F38="",51&lt;=F38)),1,0)+IF(AND(51&gt;=E39,OR(F39="",51&lt;=F39)),1,0)+IF(AND(51&gt;=E40,OR(F40="",51&lt;=F40)),1,0)+IF(AND(51&gt;=E41,OR(F41="",51&lt;=F41)),1,0)+IF(AND(51&gt;=E42,OR(F42="",51&lt;=F42)),1,0)</f>
        <v/>
      </c>
      <c r="BF45" s="35">
        <f>IF(AND(52&gt;=E4,OR(F4="",52&lt;=F4)),1,0)+IF(AND(52&gt;=E5,OR(F5="",52&lt;=F5)),1,0)+IF(AND(52&gt;=E6,OR(F6="",52&lt;=F6)),1,0)+IF(AND(52&gt;=E7,OR(F7="",52&lt;=F7)),1,0)+IF(AND(52&gt;=E8,OR(F8="",52&lt;=F8)),1,0)+IF(AND(52&gt;=E9,OR(F9="",52&lt;=F9)),1,0)+IF(AND(52&gt;=E10,OR(F10="",52&lt;=F10)),1,0)+IF(AND(52&gt;=E11,OR(F11="",52&lt;=F11)),1,0)+IF(AND(52&gt;=E12,OR(F12="",52&lt;=F12)),1,0)+IF(AND(52&gt;=E13,OR(F13="",52&lt;=F13)),1,0)+IF(AND(52&gt;=E14,OR(F14="",52&lt;=F14)),1,0)+IF(AND(52&gt;=E15,OR(F15="",52&lt;=F15)),1,0)+IF(AND(52&gt;=E16,OR(F16="",52&lt;=F16)),1,0)+IF(AND(52&gt;=E17,OR(F17="",52&lt;=F17)),1,0)+IF(AND(52&gt;=E18,OR(F18="",52&lt;=F18)),1,0)+IF(AND(52&gt;=E19,OR(F19="",52&lt;=F19)),1,0)+IF(AND(52&gt;=E20,OR(F20="",52&lt;=F20)),1,0)+IF(AND(52&gt;=E21,OR(F21="",52&lt;=F21)),1,0)+IF(AND(52&gt;=E22,OR(F22="",52&lt;=F22)),1,0)+IF(AND(52&gt;=E23,OR(F23="",52&lt;=F23)),1,0)+IF(AND(52&gt;=E24,OR(F24="",52&lt;=F24)),1,0)+IF(AND(52&gt;=E25,OR(F25="",52&lt;=F25)),1,0)+IF(AND(52&gt;=E26,OR(F26="",52&lt;=F26)),1,0)+IF(AND(52&gt;=E27,OR(F27="",52&lt;=F27)),1,0)+IF(AND(52&gt;=E28,OR(F28="",52&lt;=F28)),1,0)+IF(AND(52&gt;=E29,OR(F29="",52&lt;=F29)),1,0)+IF(AND(52&gt;=E30,OR(F30="",52&lt;=F30)),1,0)+IF(AND(52&gt;=E31,OR(F31="",52&lt;=F31)),1,0)+IF(AND(52&gt;=E32,OR(F32="",52&lt;=F32)),1,0)+IF(AND(52&gt;=E33,OR(F33="",52&lt;=F33)),1,0)+IF(AND(52&gt;=E34,OR(F34="",52&lt;=F34)),1,0)+IF(AND(52&gt;=E35,OR(F35="",52&lt;=F35)),1,0)+IF(AND(52&gt;=E36,OR(F36="",52&lt;=F36)),1,0)+IF(AND(52&gt;=E37,OR(F37="",52&lt;=F37)),1,0)+IF(AND(52&gt;=E38,OR(F38="",52&lt;=F38)),1,0)+IF(AND(52&gt;=E39,OR(F39="",52&lt;=F39)),1,0)+IF(AND(52&gt;=E40,OR(F40="",52&lt;=F40)),1,0)+IF(AND(52&gt;=E41,OR(F41="",52&lt;=F41)),1,0)+IF(AND(52&gt;=E42,OR(F42="",52&lt;=F42)),1,0)</f>
        <v/>
      </c>
      <c r="BG45" s="35">
        <f>IF(AND(53&gt;=E4,OR(F4="",53&lt;=F4)),1,0)+IF(AND(53&gt;=E5,OR(F5="",53&lt;=F5)),1,0)+IF(AND(53&gt;=E6,OR(F6="",53&lt;=F6)),1,0)+IF(AND(53&gt;=E7,OR(F7="",53&lt;=F7)),1,0)+IF(AND(53&gt;=E8,OR(F8="",53&lt;=F8)),1,0)+IF(AND(53&gt;=E9,OR(F9="",53&lt;=F9)),1,0)+IF(AND(53&gt;=E10,OR(F10="",53&lt;=F10)),1,0)+IF(AND(53&gt;=E11,OR(F11="",53&lt;=F11)),1,0)+IF(AND(53&gt;=E12,OR(F12="",53&lt;=F12)),1,0)+IF(AND(53&gt;=E13,OR(F13="",53&lt;=F13)),1,0)+IF(AND(53&gt;=E14,OR(F14="",53&lt;=F14)),1,0)+IF(AND(53&gt;=E15,OR(F15="",53&lt;=F15)),1,0)+IF(AND(53&gt;=E16,OR(F16="",53&lt;=F16)),1,0)+IF(AND(53&gt;=E17,OR(F17="",53&lt;=F17)),1,0)+IF(AND(53&gt;=E18,OR(F18="",53&lt;=F18)),1,0)+IF(AND(53&gt;=E19,OR(F19="",53&lt;=F19)),1,0)+IF(AND(53&gt;=E20,OR(F20="",53&lt;=F20)),1,0)+IF(AND(53&gt;=E21,OR(F21="",53&lt;=F21)),1,0)+IF(AND(53&gt;=E22,OR(F22="",53&lt;=F22)),1,0)+IF(AND(53&gt;=E23,OR(F23="",53&lt;=F23)),1,0)+IF(AND(53&gt;=E24,OR(F24="",53&lt;=F24)),1,0)+IF(AND(53&gt;=E25,OR(F25="",53&lt;=F25)),1,0)+IF(AND(53&gt;=E26,OR(F26="",53&lt;=F26)),1,0)+IF(AND(53&gt;=E27,OR(F27="",53&lt;=F27)),1,0)+IF(AND(53&gt;=E28,OR(F28="",53&lt;=F28)),1,0)+IF(AND(53&gt;=E29,OR(F29="",53&lt;=F29)),1,0)+IF(AND(53&gt;=E30,OR(F30="",53&lt;=F30)),1,0)+IF(AND(53&gt;=E31,OR(F31="",53&lt;=F31)),1,0)+IF(AND(53&gt;=E32,OR(F32="",53&lt;=F32)),1,0)+IF(AND(53&gt;=E33,OR(F33="",53&lt;=F33)),1,0)+IF(AND(53&gt;=E34,OR(F34="",53&lt;=F34)),1,0)+IF(AND(53&gt;=E35,OR(F35="",53&lt;=F35)),1,0)+IF(AND(53&gt;=E36,OR(F36="",53&lt;=F36)),1,0)+IF(AND(53&gt;=E37,OR(F37="",53&lt;=F37)),1,0)+IF(AND(53&gt;=E38,OR(F38="",53&lt;=F38)),1,0)+IF(AND(53&gt;=E39,OR(F39="",53&lt;=F39)),1,0)+IF(AND(53&gt;=E40,OR(F40="",53&lt;=F40)),1,0)+IF(AND(53&gt;=E41,OR(F41="",53&lt;=F41)),1,0)+IF(AND(53&gt;=E42,OR(F42="",53&lt;=F42)),1,0)</f>
        <v/>
      </c>
      <c r="BH45" s="35">
        <f>IF(AND(54&gt;=E4,OR(F4="",54&lt;=F4)),1,0)+IF(AND(54&gt;=E5,OR(F5="",54&lt;=F5)),1,0)+IF(AND(54&gt;=E6,OR(F6="",54&lt;=F6)),1,0)+IF(AND(54&gt;=E7,OR(F7="",54&lt;=F7)),1,0)+IF(AND(54&gt;=E8,OR(F8="",54&lt;=F8)),1,0)+IF(AND(54&gt;=E9,OR(F9="",54&lt;=F9)),1,0)+IF(AND(54&gt;=E10,OR(F10="",54&lt;=F10)),1,0)+IF(AND(54&gt;=E11,OR(F11="",54&lt;=F11)),1,0)+IF(AND(54&gt;=E12,OR(F12="",54&lt;=F12)),1,0)+IF(AND(54&gt;=E13,OR(F13="",54&lt;=F13)),1,0)+IF(AND(54&gt;=E14,OR(F14="",54&lt;=F14)),1,0)+IF(AND(54&gt;=E15,OR(F15="",54&lt;=F15)),1,0)+IF(AND(54&gt;=E16,OR(F16="",54&lt;=F16)),1,0)+IF(AND(54&gt;=E17,OR(F17="",54&lt;=F17)),1,0)+IF(AND(54&gt;=E18,OR(F18="",54&lt;=F18)),1,0)+IF(AND(54&gt;=E19,OR(F19="",54&lt;=F19)),1,0)+IF(AND(54&gt;=E20,OR(F20="",54&lt;=F20)),1,0)+IF(AND(54&gt;=E21,OR(F21="",54&lt;=F21)),1,0)+IF(AND(54&gt;=E22,OR(F22="",54&lt;=F22)),1,0)+IF(AND(54&gt;=E23,OR(F23="",54&lt;=F23)),1,0)+IF(AND(54&gt;=E24,OR(F24="",54&lt;=F24)),1,0)+IF(AND(54&gt;=E25,OR(F25="",54&lt;=F25)),1,0)+IF(AND(54&gt;=E26,OR(F26="",54&lt;=F26)),1,0)+IF(AND(54&gt;=E27,OR(F27="",54&lt;=F27)),1,0)+IF(AND(54&gt;=E28,OR(F28="",54&lt;=F28)),1,0)+IF(AND(54&gt;=E29,OR(F29="",54&lt;=F29)),1,0)+IF(AND(54&gt;=E30,OR(F30="",54&lt;=F30)),1,0)+IF(AND(54&gt;=E31,OR(F31="",54&lt;=F31)),1,0)+IF(AND(54&gt;=E32,OR(F32="",54&lt;=F32)),1,0)+IF(AND(54&gt;=E33,OR(F33="",54&lt;=F33)),1,0)+IF(AND(54&gt;=E34,OR(F34="",54&lt;=F34)),1,0)+IF(AND(54&gt;=E35,OR(F35="",54&lt;=F35)),1,0)+IF(AND(54&gt;=E36,OR(F36="",54&lt;=F36)),1,0)+IF(AND(54&gt;=E37,OR(F37="",54&lt;=F37)),1,0)+IF(AND(54&gt;=E38,OR(F38="",54&lt;=F38)),1,0)+IF(AND(54&gt;=E39,OR(F39="",54&lt;=F39)),1,0)+IF(AND(54&gt;=E40,OR(F40="",54&lt;=F40)),1,0)+IF(AND(54&gt;=E41,OR(F41="",54&lt;=F41)),1,0)+IF(AND(54&gt;=E42,OR(F42="",54&lt;=F42)),1,0)</f>
        <v/>
      </c>
      <c r="BI45" s="35">
        <f>IF(AND(55&gt;=E4,OR(F4="",55&lt;=F4)),1,0)+IF(AND(55&gt;=E5,OR(F5="",55&lt;=F5)),1,0)+IF(AND(55&gt;=E6,OR(F6="",55&lt;=F6)),1,0)+IF(AND(55&gt;=E7,OR(F7="",55&lt;=F7)),1,0)+IF(AND(55&gt;=E8,OR(F8="",55&lt;=F8)),1,0)+IF(AND(55&gt;=E9,OR(F9="",55&lt;=F9)),1,0)+IF(AND(55&gt;=E10,OR(F10="",55&lt;=F10)),1,0)+IF(AND(55&gt;=E11,OR(F11="",55&lt;=F11)),1,0)+IF(AND(55&gt;=E12,OR(F12="",55&lt;=F12)),1,0)+IF(AND(55&gt;=E13,OR(F13="",55&lt;=F13)),1,0)+IF(AND(55&gt;=E14,OR(F14="",55&lt;=F14)),1,0)+IF(AND(55&gt;=E15,OR(F15="",55&lt;=F15)),1,0)+IF(AND(55&gt;=E16,OR(F16="",55&lt;=F16)),1,0)+IF(AND(55&gt;=E17,OR(F17="",55&lt;=F17)),1,0)+IF(AND(55&gt;=E18,OR(F18="",55&lt;=F18)),1,0)+IF(AND(55&gt;=E19,OR(F19="",55&lt;=F19)),1,0)+IF(AND(55&gt;=E20,OR(F20="",55&lt;=F20)),1,0)+IF(AND(55&gt;=E21,OR(F21="",55&lt;=F21)),1,0)+IF(AND(55&gt;=E22,OR(F22="",55&lt;=F22)),1,0)+IF(AND(55&gt;=E23,OR(F23="",55&lt;=F23)),1,0)+IF(AND(55&gt;=E24,OR(F24="",55&lt;=F24)),1,0)+IF(AND(55&gt;=E25,OR(F25="",55&lt;=F25)),1,0)+IF(AND(55&gt;=E26,OR(F26="",55&lt;=F26)),1,0)+IF(AND(55&gt;=E27,OR(F27="",55&lt;=F27)),1,0)+IF(AND(55&gt;=E28,OR(F28="",55&lt;=F28)),1,0)+IF(AND(55&gt;=E29,OR(F29="",55&lt;=F29)),1,0)+IF(AND(55&gt;=E30,OR(F30="",55&lt;=F30)),1,0)+IF(AND(55&gt;=E31,OR(F31="",55&lt;=F31)),1,0)+IF(AND(55&gt;=E32,OR(F32="",55&lt;=F32)),1,0)+IF(AND(55&gt;=E33,OR(F33="",55&lt;=F33)),1,0)+IF(AND(55&gt;=E34,OR(F34="",55&lt;=F34)),1,0)+IF(AND(55&gt;=E35,OR(F35="",55&lt;=F35)),1,0)+IF(AND(55&gt;=E36,OR(F36="",55&lt;=F36)),1,0)+IF(AND(55&gt;=E37,OR(F37="",55&lt;=F37)),1,0)+IF(AND(55&gt;=E38,OR(F38="",55&lt;=F38)),1,0)+IF(AND(55&gt;=E39,OR(F39="",55&lt;=F39)),1,0)+IF(AND(55&gt;=E40,OR(F40="",55&lt;=F40)),1,0)+IF(AND(55&gt;=E41,OR(F41="",55&lt;=F41)),1,0)+IF(AND(55&gt;=E42,OR(F42="",55&lt;=F42)),1,0)</f>
        <v/>
      </c>
      <c r="BJ45" s="35">
        <f>IF(AND(56&gt;=E4,OR(F4="",56&lt;=F4)),1,0)+IF(AND(56&gt;=E5,OR(F5="",56&lt;=F5)),1,0)+IF(AND(56&gt;=E6,OR(F6="",56&lt;=F6)),1,0)+IF(AND(56&gt;=E7,OR(F7="",56&lt;=F7)),1,0)+IF(AND(56&gt;=E8,OR(F8="",56&lt;=F8)),1,0)+IF(AND(56&gt;=E9,OR(F9="",56&lt;=F9)),1,0)+IF(AND(56&gt;=E10,OR(F10="",56&lt;=F10)),1,0)+IF(AND(56&gt;=E11,OR(F11="",56&lt;=F11)),1,0)+IF(AND(56&gt;=E12,OR(F12="",56&lt;=F12)),1,0)+IF(AND(56&gt;=E13,OR(F13="",56&lt;=F13)),1,0)+IF(AND(56&gt;=E14,OR(F14="",56&lt;=F14)),1,0)+IF(AND(56&gt;=E15,OR(F15="",56&lt;=F15)),1,0)+IF(AND(56&gt;=E16,OR(F16="",56&lt;=F16)),1,0)+IF(AND(56&gt;=E17,OR(F17="",56&lt;=F17)),1,0)+IF(AND(56&gt;=E18,OR(F18="",56&lt;=F18)),1,0)+IF(AND(56&gt;=E19,OR(F19="",56&lt;=F19)),1,0)+IF(AND(56&gt;=E20,OR(F20="",56&lt;=F20)),1,0)+IF(AND(56&gt;=E21,OR(F21="",56&lt;=F21)),1,0)+IF(AND(56&gt;=E22,OR(F22="",56&lt;=F22)),1,0)+IF(AND(56&gt;=E23,OR(F23="",56&lt;=F23)),1,0)+IF(AND(56&gt;=E24,OR(F24="",56&lt;=F24)),1,0)+IF(AND(56&gt;=E25,OR(F25="",56&lt;=F25)),1,0)+IF(AND(56&gt;=E26,OR(F26="",56&lt;=F26)),1,0)+IF(AND(56&gt;=E27,OR(F27="",56&lt;=F27)),1,0)+IF(AND(56&gt;=E28,OR(F28="",56&lt;=F28)),1,0)+IF(AND(56&gt;=E29,OR(F29="",56&lt;=F29)),1,0)+IF(AND(56&gt;=E30,OR(F30="",56&lt;=F30)),1,0)+IF(AND(56&gt;=E31,OR(F31="",56&lt;=F31)),1,0)+IF(AND(56&gt;=E32,OR(F32="",56&lt;=F32)),1,0)+IF(AND(56&gt;=E33,OR(F33="",56&lt;=F33)),1,0)+IF(AND(56&gt;=E34,OR(F34="",56&lt;=F34)),1,0)+IF(AND(56&gt;=E35,OR(F35="",56&lt;=F35)),1,0)+IF(AND(56&gt;=E36,OR(F36="",56&lt;=F36)),1,0)+IF(AND(56&gt;=E37,OR(F37="",56&lt;=F37)),1,0)+IF(AND(56&gt;=E38,OR(F38="",56&lt;=F38)),1,0)+IF(AND(56&gt;=E39,OR(F39="",56&lt;=F39)),1,0)+IF(AND(56&gt;=E40,OR(F40="",56&lt;=F40)),1,0)+IF(AND(56&gt;=E41,OR(F41="",56&lt;=F41)),1,0)+IF(AND(56&gt;=E42,OR(F42="",56&lt;=F42)),1,0)</f>
        <v/>
      </c>
      <c r="BK45" s="35">
        <f>IF(AND(57&gt;=E4,OR(F4="",57&lt;=F4)),1,0)+IF(AND(57&gt;=E5,OR(F5="",57&lt;=F5)),1,0)+IF(AND(57&gt;=E6,OR(F6="",57&lt;=F6)),1,0)+IF(AND(57&gt;=E7,OR(F7="",57&lt;=F7)),1,0)+IF(AND(57&gt;=E8,OR(F8="",57&lt;=F8)),1,0)+IF(AND(57&gt;=E9,OR(F9="",57&lt;=F9)),1,0)+IF(AND(57&gt;=E10,OR(F10="",57&lt;=F10)),1,0)+IF(AND(57&gt;=E11,OR(F11="",57&lt;=F11)),1,0)+IF(AND(57&gt;=E12,OR(F12="",57&lt;=F12)),1,0)+IF(AND(57&gt;=E13,OR(F13="",57&lt;=F13)),1,0)+IF(AND(57&gt;=E14,OR(F14="",57&lt;=F14)),1,0)+IF(AND(57&gt;=E15,OR(F15="",57&lt;=F15)),1,0)+IF(AND(57&gt;=E16,OR(F16="",57&lt;=F16)),1,0)+IF(AND(57&gt;=E17,OR(F17="",57&lt;=F17)),1,0)+IF(AND(57&gt;=E18,OR(F18="",57&lt;=F18)),1,0)+IF(AND(57&gt;=E19,OR(F19="",57&lt;=F19)),1,0)+IF(AND(57&gt;=E20,OR(F20="",57&lt;=F20)),1,0)+IF(AND(57&gt;=E21,OR(F21="",57&lt;=F21)),1,0)+IF(AND(57&gt;=E22,OR(F22="",57&lt;=F22)),1,0)+IF(AND(57&gt;=E23,OR(F23="",57&lt;=F23)),1,0)+IF(AND(57&gt;=E24,OR(F24="",57&lt;=F24)),1,0)+IF(AND(57&gt;=E25,OR(F25="",57&lt;=F25)),1,0)+IF(AND(57&gt;=E26,OR(F26="",57&lt;=F26)),1,0)+IF(AND(57&gt;=E27,OR(F27="",57&lt;=F27)),1,0)+IF(AND(57&gt;=E28,OR(F28="",57&lt;=F28)),1,0)+IF(AND(57&gt;=E29,OR(F29="",57&lt;=F29)),1,0)+IF(AND(57&gt;=E30,OR(F30="",57&lt;=F30)),1,0)+IF(AND(57&gt;=E31,OR(F31="",57&lt;=F31)),1,0)+IF(AND(57&gt;=E32,OR(F32="",57&lt;=F32)),1,0)+IF(AND(57&gt;=E33,OR(F33="",57&lt;=F33)),1,0)+IF(AND(57&gt;=E34,OR(F34="",57&lt;=F34)),1,0)+IF(AND(57&gt;=E35,OR(F35="",57&lt;=F35)),1,0)+IF(AND(57&gt;=E36,OR(F36="",57&lt;=F36)),1,0)+IF(AND(57&gt;=E37,OR(F37="",57&lt;=F37)),1,0)+IF(AND(57&gt;=E38,OR(F38="",57&lt;=F38)),1,0)+IF(AND(57&gt;=E39,OR(F39="",57&lt;=F39)),1,0)+IF(AND(57&gt;=E40,OR(F40="",57&lt;=F40)),1,0)+IF(AND(57&gt;=E41,OR(F41="",57&lt;=F41)),1,0)+IF(AND(57&gt;=E42,OR(F42="",57&lt;=F42)),1,0)</f>
        <v/>
      </c>
      <c r="BL45" s="35">
        <f>IF(AND(58&gt;=E4,OR(F4="",58&lt;=F4)),1,0)+IF(AND(58&gt;=E5,OR(F5="",58&lt;=F5)),1,0)+IF(AND(58&gt;=E6,OR(F6="",58&lt;=F6)),1,0)+IF(AND(58&gt;=E7,OR(F7="",58&lt;=F7)),1,0)+IF(AND(58&gt;=E8,OR(F8="",58&lt;=F8)),1,0)+IF(AND(58&gt;=E9,OR(F9="",58&lt;=F9)),1,0)+IF(AND(58&gt;=E10,OR(F10="",58&lt;=F10)),1,0)+IF(AND(58&gt;=E11,OR(F11="",58&lt;=F11)),1,0)+IF(AND(58&gt;=E12,OR(F12="",58&lt;=F12)),1,0)+IF(AND(58&gt;=E13,OR(F13="",58&lt;=F13)),1,0)+IF(AND(58&gt;=E14,OR(F14="",58&lt;=F14)),1,0)+IF(AND(58&gt;=E15,OR(F15="",58&lt;=F15)),1,0)+IF(AND(58&gt;=E16,OR(F16="",58&lt;=F16)),1,0)+IF(AND(58&gt;=E17,OR(F17="",58&lt;=F17)),1,0)+IF(AND(58&gt;=E18,OR(F18="",58&lt;=F18)),1,0)+IF(AND(58&gt;=E19,OR(F19="",58&lt;=F19)),1,0)+IF(AND(58&gt;=E20,OR(F20="",58&lt;=F20)),1,0)+IF(AND(58&gt;=E21,OR(F21="",58&lt;=F21)),1,0)+IF(AND(58&gt;=E22,OR(F22="",58&lt;=F22)),1,0)+IF(AND(58&gt;=E23,OR(F23="",58&lt;=F23)),1,0)+IF(AND(58&gt;=E24,OR(F24="",58&lt;=F24)),1,0)+IF(AND(58&gt;=E25,OR(F25="",58&lt;=F25)),1,0)+IF(AND(58&gt;=E26,OR(F26="",58&lt;=F26)),1,0)+IF(AND(58&gt;=E27,OR(F27="",58&lt;=F27)),1,0)+IF(AND(58&gt;=E28,OR(F28="",58&lt;=F28)),1,0)+IF(AND(58&gt;=E29,OR(F29="",58&lt;=F29)),1,0)+IF(AND(58&gt;=E30,OR(F30="",58&lt;=F30)),1,0)+IF(AND(58&gt;=E31,OR(F31="",58&lt;=F31)),1,0)+IF(AND(58&gt;=E32,OR(F32="",58&lt;=F32)),1,0)+IF(AND(58&gt;=E33,OR(F33="",58&lt;=F33)),1,0)+IF(AND(58&gt;=E34,OR(F34="",58&lt;=F34)),1,0)+IF(AND(58&gt;=E35,OR(F35="",58&lt;=F35)),1,0)+IF(AND(58&gt;=E36,OR(F36="",58&lt;=F36)),1,0)+IF(AND(58&gt;=E37,OR(F37="",58&lt;=F37)),1,0)+IF(AND(58&gt;=E38,OR(F38="",58&lt;=F38)),1,0)+IF(AND(58&gt;=E39,OR(F39="",58&lt;=F39)),1,0)+IF(AND(58&gt;=E40,OR(F40="",58&lt;=F40)),1,0)+IF(AND(58&gt;=E41,OR(F41="",58&lt;=F41)),1,0)+IF(AND(58&gt;=E42,OR(F42="",58&lt;=F42)),1,0)</f>
        <v/>
      </c>
      <c r="BM45" s="35">
        <f>IF(AND(59&gt;=E4,OR(F4="",59&lt;=F4)),1,0)+IF(AND(59&gt;=E5,OR(F5="",59&lt;=F5)),1,0)+IF(AND(59&gt;=E6,OR(F6="",59&lt;=F6)),1,0)+IF(AND(59&gt;=E7,OR(F7="",59&lt;=F7)),1,0)+IF(AND(59&gt;=E8,OR(F8="",59&lt;=F8)),1,0)+IF(AND(59&gt;=E9,OR(F9="",59&lt;=F9)),1,0)+IF(AND(59&gt;=E10,OR(F10="",59&lt;=F10)),1,0)+IF(AND(59&gt;=E11,OR(F11="",59&lt;=F11)),1,0)+IF(AND(59&gt;=E12,OR(F12="",59&lt;=F12)),1,0)+IF(AND(59&gt;=E13,OR(F13="",59&lt;=F13)),1,0)+IF(AND(59&gt;=E14,OR(F14="",59&lt;=F14)),1,0)+IF(AND(59&gt;=E15,OR(F15="",59&lt;=F15)),1,0)+IF(AND(59&gt;=E16,OR(F16="",59&lt;=F16)),1,0)+IF(AND(59&gt;=E17,OR(F17="",59&lt;=F17)),1,0)+IF(AND(59&gt;=E18,OR(F18="",59&lt;=F18)),1,0)+IF(AND(59&gt;=E19,OR(F19="",59&lt;=F19)),1,0)+IF(AND(59&gt;=E20,OR(F20="",59&lt;=F20)),1,0)+IF(AND(59&gt;=E21,OR(F21="",59&lt;=F21)),1,0)+IF(AND(59&gt;=E22,OR(F22="",59&lt;=F22)),1,0)+IF(AND(59&gt;=E23,OR(F23="",59&lt;=F23)),1,0)+IF(AND(59&gt;=E24,OR(F24="",59&lt;=F24)),1,0)+IF(AND(59&gt;=E25,OR(F25="",59&lt;=F25)),1,0)+IF(AND(59&gt;=E26,OR(F26="",59&lt;=F26)),1,0)+IF(AND(59&gt;=E27,OR(F27="",59&lt;=F27)),1,0)+IF(AND(59&gt;=E28,OR(F28="",59&lt;=F28)),1,0)+IF(AND(59&gt;=E29,OR(F29="",59&lt;=F29)),1,0)+IF(AND(59&gt;=E30,OR(F30="",59&lt;=F30)),1,0)+IF(AND(59&gt;=E31,OR(F31="",59&lt;=F31)),1,0)+IF(AND(59&gt;=E32,OR(F32="",59&lt;=F32)),1,0)+IF(AND(59&gt;=E33,OR(F33="",59&lt;=F33)),1,0)+IF(AND(59&gt;=E34,OR(F34="",59&lt;=F34)),1,0)+IF(AND(59&gt;=E35,OR(F35="",59&lt;=F35)),1,0)+IF(AND(59&gt;=E36,OR(F36="",59&lt;=F36)),1,0)+IF(AND(59&gt;=E37,OR(F37="",59&lt;=F37)),1,0)+IF(AND(59&gt;=E38,OR(F38="",59&lt;=F38)),1,0)+IF(AND(59&gt;=E39,OR(F39="",59&lt;=F39)),1,0)+IF(AND(59&gt;=E40,OR(F40="",59&lt;=F40)),1,0)+IF(AND(59&gt;=E41,OR(F41="",59&lt;=F41)),1,0)+IF(AND(59&gt;=E42,OR(F42="",59&lt;=F42)),1,0)</f>
        <v/>
      </c>
      <c r="BN45" s="35">
        <f>IF(AND(60&gt;=E4,OR(F4="",60&lt;=F4)),1,0)+IF(AND(60&gt;=E5,OR(F5="",60&lt;=F5)),1,0)+IF(AND(60&gt;=E6,OR(F6="",60&lt;=F6)),1,0)+IF(AND(60&gt;=E7,OR(F7="",60&lt;=F7)),1,0)+IF(AND(60&gt;=E8,OR(F8="",60&lt;=F8)),1,0)+IF(AND(60&gt;=E9,OR(F9="",60&lt;=F9)),1,0)+IF(AND(60&gt;=E10,OR(F10="",60&lt;=F10)),1,0)+IF(AND(60&gt;=E11,OR(F11="",60&lt;=F11)),1,0)+IF(AND(60&gt;=E12,OR(F12="",60&lt;=F12)),1,0)+IF(AND(60&gt;=E13,OR(F13="",60&lt;=F13)),1,0)+IF(AND(60&gt;=E14,OR(F14="",60&lt;=F14)),1,0)+IF(AND(60&gt;=E15,OR(F15="",60&lt;=F15)),1,0)+IF(AND(60&gt;=E16,OR(F16="",60&lt;=F16)),1,0)+IF(AND(60&gt;=E17,OR(F17="",60&lt;=F17)),1,0)+IF(AND(60&gt;=E18,OR(F18="",60&lt;=F18)),1,0)+IF(AND(60&gt;=E19,OR(F19="",60&lt;=F19)),1,0)+IF(AND(60&gt;=E20,OR(F20="",60&lt;=F20)),1,0)+IF(AND(60&gt;=E21,OR(F21="",60&lt;=F21)),1,0)+IF(AND(60&gt;=E22,OR(F22="",60&lt;=F22)),1,0)+IF(AND(60&gt;=E23,OR(F23="",60&lt;=F23)),1,0)+IF(AND(60&gt;=E24,OR(F24="",60&lt;=F24)),1,0)+IF(AND(60&gt;=E25,OR(F25="",60&lt;=F25)),1,0)+IF(AND(60&gt;=E26,OR(F26="",60&lt;=F26)),1,0)+IF(AND(60&gt;=E27,OR(F27="",60&lt;=F27)),1,0)+IF(AND(60&gt;=E28,OR(F28="",60&lt;=F28)),1,0)+IF(AND(60&gt;=E29,OR(F29="",60&lt;=F29)),1,0)+IF(AND(60&gt;=E30,OR(F30="",60&lt;=F30)),1,0)+IF(AND(60&gt;=E31,OR(F31="",60&lt;=F31)),1,0)+IF(AND(60&gt;=E32,OR(F32="",60&lt;=F32)),1,0)+IF(AND(60&gt;=E33,OR(F33="",60&lt;=F33)),1,0)+IF(AND(60&gt;=E34,OR(F34="",60&lt;=F34)),1,0)+IF(AND(60&gt;=E35,OR(F35="",60&lt;=F35)),1,0)+IF(AND(60&gt;=E36,OR(F36="",60&lt;=F36)),1,0)+IF(AND(60&gt;=E37,OR(F37="",60&lt;=F37)),1,0)+IF(AND(60&gt;=E38,OR(F38="",60&lt;=F38)),1,0)+IF(AND(60&gt;=E39,OR(F39="",60&lt;=F39)),1,0)+IF(AND(60&gt;=E40,OR(F40="",60&lt;=F40)),1,0)+IF(AND(60&gt;=E41,OR(F41="",60&lt;=F41)),1,0)+IF(AND(60&gt;=E42,OR(F42="",60&lt;=F42)),1,0)</f>
        <v/>
      </c>
    </row>
    <row r="46">
      <c r="B46" s="36" t="inlineStr">
        <is>
          <t>FTE by team</t>
        </is>
      </c>
    </row>
    <row r="47">
      <c r="B47" s="5" t="inlineStr">
        <is>
          <t>Exec</t>
        </is>
      </c>
      <c r="G47" s="14">
        <f>IF(AND(1&gt;=E4,OR(F4="",1&lt;=F4)),1,0)+IF(AND(1&gt;=E5,OR(F5="",1&lt;=F5)),1,0)+IF(AND(1&gt;=E33,OR(F33="",1&lt;=F33)),1,0)+IF(AND(1&gt;=E34,OR(F34="",1&lt;=F34)),1,0)+IF(AND(1&gt;=E42,OR(F42="",1&lt;=F42)),1,0)</f>
        <v/>
      </c>
      <c r="H47" s="14">
        <f>IF(AND(2&gt;=E4,OR(F4="",2&lt;=F4)),1,0)+IF(AND(2&gt;=E5,OR(F5="",2&lt;=F5)),1,0)+IF(AND(2&gt;=E33,OR(F33="",2&lt;=F33)),1,0)+IF(AND(2&gt;=E34,OR(F34="",2&lt;=F34)),1,0)+IF(AND(2&gt;=E42,OR(F42="",2&lt;=F42)),1,0)</f>
        <v/>
      </c>
      <c r="I47" s="14">
        <f>IF(AND(3&gt;=E4,OR(F4="",3&lt;=F4)),1,0)+IF(AND(3&gt;=E5,OR(F5="",3&lt;=F5)),1,0)+IF(AND(3&gt;=E33,OR(F33="",3&lt;=F33)),1,0)+IF(AND(3&gt;=E34,OR(F34="",3&lt;=F34)),1,0)+IF(AND(3&gt;=E42,OR(F42="",3&lt;=F42)),1,0)</f>
        <v/>
      </c>
      <c r="J47" s="14">
        <f>IF(AND(4&gt;=E4,OR(F4="",4&lt;=F4)),1,0)+IF(AND(4&gt;=E5,OR(F5="",4&lt;=F5)),1,0)+IF(AND(4&gt;=E33,OR(F33="",4&lt;=F33)),1,0)+IF(AND(4&gt;=E34,OR(F34="",4&lt;=F34)),1,0)+IF(AND(4&gt;=E42,OR(F42="",4&lt;=F42)),1,0)</f>
        <v/>
      </c>
      <c r="K47" s="14">
        <f>IF(AND(5&gt;=E4,OR(F4="",5&lt;=F4)),1,0)+IF(AND(5&gt;=E5,OR(F5="",5&lt;=F5)),1,0)+IF(AND(5&gt;=E33,OR(F33="",5&lt;=F33)),1,0)+IF(AND(5&gt;=E34,OR(F34="",5&lt;=F34)),1,0)+IF(AND(5&gt;=E42,OR(F42="",5&lt;=F42)),1,0)</f>
        <v/>
      </c>
      <c r="L47" s="14">
        <f>IF(AND(6&gt;=E4,OR(F4="",6&lt;=F4)),1,0)+IF(AND(6&gt;=E5,OR(F5="",6&lt;=F5)),1,0)+IF(AND(6&gt;=E33,OR(F33="",6&lt;=F33)),1,0)+IF(AND(6&gt;=E34,OR(F34="",6&lt;=F34)),1,0)+IF(AND(6&gt;=E42,OR(F42="",6&lt;=F42)),1,0)</f>
        <v/>
      </c>
      <c r="M47" s="14">
        <f>IF(AND(7&gt;=E4,OR(F4="",7&lt;=F4)),1,0)+IF(AND(7&gt;=E5,OR(F5="",7&lt;=F5)),1,0)+IF(AND(7&gt;=E33,OR(F33="",7&lt;=F33)),1,0)+IF(AND(7&gt;=E34,OR(F34="",7&lt;=F34)),1,0)+IF(AND(7&gt;=E42,OR(F42="",7&lt;=F42)),1,0)</f>
        <v/>
      </c>
      <c r="N47" s="14">
        <f>IF(AND(8&gt;=E4,OR(F4="",8&lt;=F4)),1,0)+IF(AND(8&gt;=E5,OR(F5="",8&lt;=F5)),1,0)+IF(AND(8&gt;=E33,OR(F33="",8&lt;=F33)),1,0)+IF(AND(8&gt;=E34,OR(F34="",8&lt;=F34)),1,0)+IF(AND(8&gt;=E42,OR(F42="",8&lt;=F42)),1,0)</f>
        <v/>
      </c>
      <c r="O47" s="14">
        <f>IF(AND(9&gt;=E4,OR(F4="",9&lt;=F4)),1,0)+IF(AND(9&gt;=E5,OR(F5="",9&lt;=F5)),1,0)+IF(AND(9&gt;=E33,OR(F33="",9&lt;=F33)),1,0)+IF(AND(9&gt;=E34,OR(F34="",9&lt;=F34)),1,0)+IF(AND(9&gt;=E42,OR(F42="",9&lt;=F42)),1,0)</f>
        <v/>
      </c>
      <c r="P47" s="14">
        <f>IF(AND(10&gt;=E4,OR(F4="",10&lt;=F4)),1,0)+IF(AND(10&gt;=E5,OR(F5="",10&lt;=F5)),1,0)+IF(AND(10&gt;=E33,OR(F33="",10&lt;=F33)),1,0)+IF(AND(10&gt;=E34,OR(F34="",10&lt;=F34)),1,0)+IF(AND(10&gt;=E42,OR(F42="",10&lt;=F42)),1,0)</f>
        <v/>
      </c>
      <c r="Q47" s="14">
        <f>IF(AND(11&gt;=E4,OR(F4="",11&lt;=F4)),1,0)+IF(AND(11&gt;=E5,OR(F5="",11&lt;=F5)),1,0)+IF(AND(11&gt;=E33,OR(F33="",11&lt;=F33)),1,0)+IF(AND(11&gt;=E34,OR(F34="",11&lt;=F34)),1,0)+IF(AND(11&gt;=E42,OR(F42="",11&lt;=F42)),1,0)</f>
        <v/>
      </c>
      <c r="R47" s="14">
        <f>IF(AND(12&gt;=E4,OR(F4="",12&lt;=F4)),1,0)+IF(AND(12&gt;=E5,OR(F5="",12&lt;=F5)),1,0)+IF(AND(12&gt;=E33,OR(F33="",12&lt;=F33)),1,0)+IF(AND(12&gt;=E34,OR(F34="",12&lt;=F34)),1,0)+IF(AND(12&gt;=E42,OR(F42="",12&lt;=F42)),1,0)</f>
        <v/>
      </c>
      <c r="S47" s="14">
        <f>IF(AND(13&gt;=E4,OR(F4="",13&lt;=F4)),1,0)+IF(AND(13&gt;=E5,OR(F5="",13&lt;=F5)),1,0)+IF(AND(13&gt;=E33,OR(F33="",13&lt;=F33)),1,0)+IF(AND(13&gt;=E34,OR(F34="",13&lt;=F34)),1,0)+IF(AND(13&gt;=E42,OR(F42="",13&lt;=F42)),1,0)</f>
        <v/>
      </c>
      <c r="T47" s="14">
        <f>IF(AND(14&gt;=E4,OR(F4="",14&lt;=F4)),1,0)+IF(AND(14&gt;=E5,OR(F5="",14&lt;=F5)),1,0)+IF(AND(14&gt;=E33,OR(F33="",14&lt;=F33)),1,0)+IF(AND(14&gt;=E34,OR(F34="",14&lt;=F34)),1,0)+IF(AND(14&gt;=E42,OR(F42="",14&lt;=F42)),1,0)</f>
        <v/>
      </c>
      <c r="U47" s="14">
        <f>IF(AND(15&gt;=E4,OR(F4="",15&lt;=F4)),1,0)+IF(AND(15&gt;=E5,OR(F5="",15&lt;=F5)),1,0)+IF(AND(15&gt;=E33,OR(F33="",15&lt;=F33)),1,0)+IF(AND(15&gt;=E34,OR(F34="",15&lt;=F34)),1,0)+IF(AND(15&gt;=E42,OR(F42="",15&lt;=F42)),1,0)</f>
        <v/>
      </c>
      <c r="V47" s="14">
        <f>IF(AND(16&gt;=E4,OR(F4="",16&lt;=F4)),1,0)+IF(AND(16&gt;=E5,OR(F5="",16&lt;=F5)),1,0)+IF(AND(16&gt;=E33,OR(F33="",16&lt;=F33)),1,0)+IF(AND(16&gt;=E34,OR(F34="",16&lt;=F34)),1,0)+IF(AND(16&gt;=E42,OR(F42="",16&lt;=F42)),1,0)</f>
        <v/>
      </c>
      <c r="W47" s="14">
        <f>IF(AND(17&gt;=E4,OR(F4="",17&lt;=F4)),1,0)+IF(AND(17&gt;=E5,OR(F5="",17&lt;=F5)),1,0)+IF(AND(17&gt;=E33,OR(F33="",17&lt;=F33)),1,0)+IF(AND(17&gt;=E34,OR(F34="",17&lt;=F34)),1,0)+IF(AND(17&gt;=E42,OR(F42="",17&lt;=F42)),1,0)</f>
        <v/>
      </c>
      <c r="X47" s="14">
        <f>IF(AND(18&gt;=E4,OR(F4="",18&lt;=F4)),1,0)+IF(AND(18&gt;=E5,OR(F5="",18&lt;=F5)),1,0)+IF(AND(18&gt;=E33,OR(F33="",18&lt;=F33)),1,0)+IF(AND(18&gt;=E34,OR(F34="",18&lt;=F34)),1,0)+IF(AND(18&gt;=E42,OR(F42="",18&lt;=F42)),1,0)</f>
        <v/>
      </c>
      <c r="Y47" s="14">
        <f>IF(AND(19&gt;=E4,OR(F4="",19&lt;=F4)),1,0)+IF(AND(19&gt;=E5,OR(F5="",19&lt;=F5)),1,0)+IF(AND(19&gt;=E33,OR(F33="",19&lt;=F33)),1,0)+IF(AND(19&gt;=E34,OR(F34="",19&lt;=F34)),1,0)+IF(AND(19&gt;=E42,OR(F42="",19&lt;=F42)),1,0)</f>
        <v/>
      </c>
      <c r="Z47" s="14">
        <f>IF(AND(20&gt;=E4,OR(F4="",20&lt;=F4)),1,0)+IF(AND(20&gt;=E5,OR(F5="",20&lt;=F5)),1,0)+IF(AND(20&gt;=E33,OR(F33="",20&lt;=F33)),1,0)+IF(AND(20&gt;=E34,OR(F34="",20&lt;=F34)),1,0)+IF(AND(20&gt;=E42,OR(F42="",20&lt;=F42)),1,0)</f>
        <v/>
      </c>
      <c r="AA47" s="14">
        <f>IF(AND(21&gt;=E4,OR(F4="",21&lt;=F4)),1,0)+IF(AND(21&gt;=E5,OR(F5="",21&lt;=F5)),1,0)+IF(AND(21&gt;=E33,OR(F33="",21&lt;=F33)),1,0)+IF(AND(21&gt;=E34,OR(F34="",21&lt;=F34)),1,0)+IF(AND(21&gt;=E42,OR(F42="",21&lt;=F42)),1,0)</f>
        <v/>
      </c>
      <c r="AB47" s="14">
        <f>IF(AND(22&gt;=E4,OR(F4="",22&lt;=F4)),1,0)+IF(AND(22&gt;=E5,OR(F5="",22&lt;=F5)),1,0)+IF(AND(22&gt;=E33,OR(F33="",22&lt;=F33)),1,0)+IF(AND(22&gt;=E34,OR(F34="",22&lt;=F34)),1,0)+IF(AND(22&gt;=E42,OR(F42="",22&lt;=F42)),1,0)</f>
        <v/>
      </c>
      <c r="AC47" s="14">
        <f>IF(AND(23&gt;=E4,OR(F4="",23&lt;=F4)),1,0)+IF(AND(23&gt;=E5,OR(F5="",23&lt;=F5)),1,0)+IF(AND(23&gt;=E33,OR(F33="",23&lt;=F33)),1,0)+IF(AND(23&gt;=E34,OR(F34="",23&lt;=F34)),1,0)+IF(AND(23&gt;=E42,OR(F42="",23&lt;=F42)),1,0)</f>
        <v/>
      </c>
      <c r="AD47" s="14">
        <f>IF(AND(24&gt;=E4,OR(F4="",24&lt;=F4)),1,0)+IF(AND(24&gt;=E5,OR(F5="",24&lt;=F5)),1,0)+IF(AND(24&gt;=E33,OR(F33="",24&lt;=F33)),1,0)+IF(AND(24&gt;=E34,OR(F34="",24&lt;=F34)),1,0)+IF(AND(24&gt;=E42,OR(F42="",24&lt;=F42)),1,0)</f>
        <v/>
      </c>
      <c r="AE47" s="14">
        <f>IF(AND(25&gt;=E4,OR(F4="",25&lt;=F4)),1,0)+IF(AND(25&gt;=E5,OR(F5="",25&lt;=F5)),1,0)+IF(AND(25&gt;=E33,OR(F33="",25&lt;=F33)),1,0)+IF(AND(25&gt;=E34,OR(F34="",25&lt;=F34)),1,0)+IF(AND(25&gt;=E42,OR(F42="",25&lt;=F42)),1,0)</f>
        <v/>
      </c>
      <c r="AF47" s="14">
        <f>IF(AND(26&gt;=E4,OR(F4="",26&lt;=F4)),1,0)+IF(AND(26&gt;=E5,OR(F5="",26&lt;=F5)),1,0)+IF(AND(26&gt;=E33,OR(F33="",26&lt;=F33)),1,0)+IF(AND(26&gt;=E34,OR(F34="",26&lt;=F34)),1,0)+IF(AND(26&gt;=E42,OR(F42="",26&lt;=F42)),1,0)</f>
        <v/>
      </c>
      <c r="AG47" s="14">
        <f>IF(AND(27&gt;=E4,OR(F4="",27&lt;=F4)),1,0)+IF(AND(27&gt;=E5,OR(F5="",27&lt;=F5)),1,0)+IF(AND(27&gt;=E33,OR(F33="",27&lt;=F33)),1,0)+IF(AND(27&gt;=E34,OR(F34="",27&lt;=F34)),1,0)+IF(AND(27&gt;=E42,OR(F42="",27&lt;=F42)),1,0)</f>
        <v/>
      </c>
      <c r="AH47" s="14">
        <f>IF(AND(28&gt;=E4,OR(F4="",28&lt;=F4)),1,0)+IF(AND(28&gt;=E5,OR(F5="",28&lt;=F5)),1,0)+IF(AND(28&gt;=E33,OR(F33="",28&lt;=F33)),1,0)+IF(AND(28&gt;=E34,OR(F34="",28&lt;=F34)),1,0)+IF(AND(28&gt;=E42,OR(F42="",28&lt;=F42)),1,0)</f>
        <v/>
      </c>
      <c r="AI47" s="14">
        <f>IF(AND(29&gt;=E4,OR(F4="",29&lt;=F4)),1,0)+IF(AND(29&gt;=E5,OR(F5="",29&lt;=F5)),1,0)+IF(AND(29&gt;=E33,OR(F33="",29&lt;=F33)),1,0)+IF(AND(29&gt;=E34,OR(F34="",29&lt;=F34)),1,0)+IF(AND(29&gt;=E42,OR(F42="",29&lt;=F42)),1,0)</f>
        <v/>
      </c>
      <c r="AJ47" s="14">
        <f>IF(AND(30&gt;=E4,OR(F4="",30&lt;=F4)),1,0)+IF(AND(30&gt;=E5,OR(F5="",30&lt;=F5)),1,0)+IF(AND(30&gt;=E33,OR(F33="",30&lt;=F33)),1,0)+IF(AND(30&gt;=E34,OR(F34="",30&lt;=F34)),1,0)+IF(AND(30&gt;=E42,OR(F42="",30&lt;=F42)),1,0)</f>
        <v/>
      </c>
      <c r="AK47" s="14">
        <f>IF(AND(31&gt;=E4,OR(F4="",31&lt;=F4)),1,0)+IF(AND(31&gt;=E5,OR(F5="",31&lt;=F5)),1,0)+IF(AND(31&gt;=E33,OR(F33="",31&lt;=F33)),1,0)+IF(AND(31&gt;=E34,OR(F34="",31&lt;=F34)),1,0)+IF(AND(31&gt;=E42,OR(F42="",31&lt;=F42)),1,0)</f>
        <v/>
      </c>
      <c r="AL47" s="14">
        <f>IF(AND(32&gt;=E4,OR(F4="",32&lt;=F4)),1,0)+IF(AND(32&gt;=E5,OR(F5="",32&lt;=F5)),1,0)+IF(AND(32&gt;=E33,OR(F33="",32&lt;=F33)),1,0)+IF(AND(32&gt;=E34,OR(F34="",32&lt;=F34)),1,0)+IF(AND(32&gt;=E42,OR(F42="",32&lt;=F42)),1,0)</f>
        <v/>
      </c>
      <c r="AM47" s="14">
        <f>IF(AND(33&gt;=E4,OR(F4="",33&lt;=F4)),1,0)+IF(AND(33&gt;=E5,OR(F5="",33&lt;=F5)),1,0)+IF(AND(33&gt;=E33,OR(F33="",33&lt;=F33)),1,0)+IF(AND(33&gt;=E34,OR(F34="",33&lt;=F34)),1,0)+IF(AND(33&gt;=E42,OR(F42="",33&lt;=F42)),1,0)</f>
        <v/>
      </c>
      <c r="AN47" s="14">
        <f>IF(AND(34&gt;=E4,OR(F4="",34&lt;=F4)),1,0)+IF(AND(34&gt;=E5,OR(F5="",34&lt;=F5)),1,0)+IF(AND(34&gt;=E33,OR(F33="",34&lt;=F33)),1,0)+IF(AND(34&gt;=E34,OR(F34="",34&lt;=F34)),1,0)+IF(AND(34&gt;=E42,OR(F42="",34&lt;=F42)),1,0)</f>
        <v/>
      </c>
      <c r="AO47" s="14">
        <f>IF(AND(35&gt;=E4,OR(F4="",35&lt;=F4)),1,0)+IF(AND(35&gt;=E5,OR(F5="",35&lt;=F5)),1,0)+IF(AND(35&gt;=E33,OR(F33="",35&lt;=F33)),1,0)+IF(AND(35&gt;=E34,OR(F34="",35&lt;=F34)),1,0)+IF(AND(35&gt;=E42,OR(F42="",35&lt;=F42)),1,0)</f>
        <v/>
      </c>
      <c r="AP47" s="14">
        <f>IF(AND(36&gt;=E4,OR(F4="",36&lt;=F4)),1,0)+IF(AND(36&gt;=E5,OR(F5="",36&lt;=F5)),1,0)+IF(AND(36&gt;=E33,OR(F33="",36&lt;=F33)),1,0)+IF(AND(36&gt;=E34,OR(F34="",36&lt;=F34)),1,0)+IF(AND(36&gt;=E42,OR(F42="",36&lt;=F42)),1,0)</f>
        <v/>
      </c>
      <c r="AQ47" s="14">
        <f>IF(AND(37&gt;=E4,OR(F4="",37&lt;=F4)),1,0)+IF(AND(37&gt;=E5,OR(F5="",37&lt;=F5)),1,0)+IF(AND(37&gt;=E33,OR(F33="",37&lt;=F33)),1,0)+IF(AND(37&gt;=E34,OR(F34="",37&lt;=F34)),1,0)+IF(AND(37&gt;=E42,OR(F42="",37&lt;=F42)),1,0)</f>
        <v/>
      </c>
      <c r="AR47" s="14">
        <f>IF(AND(38&gt;=E4,OR(F4="",38&lt;=F4)),1,0)+IF(AND(38&gt;=E5,OR(F5="",38&lt;=F5)),1,0)+IF(AND(38&gt;=E33,OR(F33="",38&lt;=F33)),1,0)+IF(AND(38&gt;=E34,OR(F34="",38&lt;=F34)),1,0)+IF(AND(38&gt;=E42,OR(F42="",38&lt;=F42)),1,0)</f>
        <v/>
      </c>
      <c r="AS47" s="14">
        <f>IF(AND(39&gt;=E4,OR(F4="",39&lt;=F4)),1,0)+IF(AND(39&gt;=E5,OR(F5="",39&lt;=F5)),1,0)+IF(AND(39&gt;=E33,OR(F33="",39&lt;=F33)),1,0)+IF(AND(39&gt;=E34,OR(F34="",39&lt;=F34)),1,0)+IF(AND(39&gt;=E42,OR(F42="",39&lt;=F42)),1,0)</f>
        <v/>
      </c>
      <c r="AT47" s="14">
        <f>IF(AND(40&gt;=E4,OR(F4="",40&lt;=F4)),1,0)+IF(AND(40&gt;=E5,OR(F5="",40&lt;=F5)),1,0)+IF(AND(40&gt;=E33,OR(F33="",40&lt;=F33)),1,0)+IF(AND(40&gt;=E34,OR(F34="",40&lt;=F34)),1,0)+IF(AND(40&gt;=E42,OR(F42="",40&lt;=F42)),1,0)</f>
        <v/>
      </c>
      <c r="AU47" s="14">
        <f>IF(AND(41&gt;=E4,OR(F4="",41&lt;=F4)),1,0)+IF(AND(41&gt;=E5,OR(F5="",41&lt;=F5)),1,0)+IF(AND(41&gt;=E33,OR(F33="",41&lt;=F33)),1,0)+IF(AND(41&gt;=E34,OR(F34="",41&lt;=F34)),1,0)+IF(AND(41&gt;=E42,OR(F42="",41&lt;=F42)),1,0)</f>
        <v/>
      </c>
      <c r="AV47" s="14">
        <f>IF(AND(42&gt;=E4,OR(F4="",42&lt;=F4)),1,0)+IF(AND(42&gt;=E5,OR(F5="",42&lt;=F5)),1,0)+IF(AND(42&gt;=E33,OR(F33="",42&lt;=F33)),1,0)+IF(AND(42&gt;=E34,OR(F34="",42&lt;=F34)),1,0)+IF(AND(42&gt;=E42,OR(F42="",42&lt;=F42)),1,0)</f>
        <v/>
      </c>
      <c r="AW47" s="14">
        <f>IF(AND(43&gt;=E4,OR(F4="",43&lt;=F4)),1,0)+IF(AND(43&gt;=E5,OR(F5="",43&lt;=F5)),1,0)+IF(AND(43&gt;=E33,OR(F33="",43&lt;=F33)),1,0)+IF(AND(43&gt;=E34,OR(F34="",43&lt;=F34)),1,0)+IF(AND(43&gt;=E42,OR(F42="",43&lt;=F42)),1,0)</f>
        <v/>
      </c>
      <c r="AX47" s="14">
        <f>IF(AND(44&gt;=E4,OR(F4="",44&lt;=F4)),1,0)+IF(AND(44&gt;=E5,OR(F5="",44&lt;=F5)),1,0)+IF(AND(44&gt;=E33,OR(F33="",44&lt;=F33)),1,0)+IF(AND(44&gt;=E34,OR(F34="",44&lt;=F34)),1,0)+IF(AND(44&gt;=E42,OR(F42="",44&lt;=F42)),1,0)</f>
        <v/>
      </c>
      <c r="AY47" s="14">
        <f>IF(AND(45&gt;=E4,OR(F4="",45&lt;=F4)),1,0)+IF(AND(45&gt;=E5,OR(F5="",45&lt;=F5)),1,0)+IF(AND(45&gt;=E33,OR(F33="",45&lt;=F33)),1,0)+IF(AND(45&gt;=E34,OR(F34="",45&lt;=F34)),1,0)+IF(AND(45&gt;=E42,OR(F42="",45&lt;=F42)),1,0)</f>
        <v/>
      </c>
      <c r="AZ47" s="14">
        <f>IF(AND(46&gt;=E4,OR(F4="",46&lt;=F4)),1,0)+IF(AND(46&gt;=E5,OR(F5="",46&lt;=F5)),1,0)+IF(AND(46&gt;=E33,OR(F33="",46&lt;=F33)),1,0)+IF(AND(46&gt;=E34,OR(F34="",46&lt;=F34)),1,0)+IF(AND(46&gt;=E42,OR(F42="",46&lt;=F42)),1,0)</f>
        <v/>
      </c>
      <c r="BA47" s="14">
        <f>IF(AND(47&gt;=E4,OR(F4="",47&lt;=F4)),1,0)+IF(AND(47&gt;=E5,OR(F5="",47&lt;=F5)),1,0)+IF(AND(47&gt;=E33,OR(F33="",47&lt;=F33)),1,0)+IF(AND(47&gt;=E34,OR(F34="",47&lt;=F34)),1,0)+IF(AND(47&gt;=E42,OR(F42="",47&lt;=F42)),1,0)</f>
        <v/>
      </c>
      <c r="BB47" s="14">
        <f>IF(AND(48&gt;=E4,OR(F4="",48&lt;=F4)),1,0)+IF(AND(48&gt;=E5,OR(F5="",48&lt;=F5)),1,0)+IF(AND(48&gt;=E33,OR(F33="",48&lt;=F33)),1,0)+IF(AND(48&gt;=E34,OR(F34="",48&lt;=F34)),1,0)+IF(AND(48&gt;=E42,OR(F42="",48&lt;=F42)),1,0)</f>
        <v/>
      </c>
      <c r="BC47" s="14">
        <f>IF(AND(49&gt;=E4,OR(F4="",49&lt;=F4)),1,0)+IF(AND(49&gt;=E5,OR(F5="",49&lt;=F5)),1,0)+IF(AND(49&gt;=E33,OR(F33="",49&lt;=F33)),1,0)+IF(AND(49&gt;=E34,OR(F34="",49&lt;=F34)),1,0)+IF(AND(49&gt;=E42,OR(F42="",49&lt;=F42)),1,0)</f>
        <v/>
      </c>
      <c r="BD47" s="14">
        <f>IF(AND(50&gt;=E4,OR(F4="",50&lt;=F4)),1,0)+IF(AND(50&gt;=E5,OR(F5="",50&lt;=F5)),1,0)+IF(AND(50&gt;=E33,OR(F33="",50&lt;=F33)),1,0)+IF(AND(50&gt;=E34,OR(F34="",50&lt;=F34)),1,0)+IF(AND(50&gt;=E42,OR(F42="",50&lt;=F42)),1,0)</f>
        <v/>
      </c>
      <c r="BE47" s="14">
        <f>IF(AND(51&gt;=E4,OR(F4="",51&lt;=F4)),1,0)+IF(AND(51&gt;=E5,OR(F5="",51&lt;=F5)),1,0)+IF(AND(51&gt;=E33,OR(F33="",51&lt;=F33)),1,0)+IF(AND(51&gt;=E34,OR(F34="",51&lt;=F34)),1,0)+IF(AND(51&gt;=E42,OR(F42="",51&lt;=F42)),1,0)</f>
        <v/>
      </c>
      <c r="BF47" s="14">
        <f>IF(AND(52&gt;=E4,OR(F4="",52&lt;=F4)),1,0)+IF(AND(52&gt;=E5,OR(F5="",52&lt;=F5)),1,0)+IF(AND(52&gt;=E33,OR(F33="",52&lt;=F33)),1,0)+IF(AND(52&gt;=E34,OR(F34="",52&lt;=F34)),1,0)+IF(AND(52&gt;=E42,OR(F42="",52&lt;=F42)),1,0)</f>
        <v/>
      </c>
      <c r="BG47" s="14">
        <f>IF(AND(53&gt;=E4,OR(F4="",53&lt;=F4)),1,0)+IF(AND(53&gt;=E5,OR(F5="",53&lt;=F5)),1,0)+IF(AND(53&gt;=E33,OR(F33="",53&lt;=F33)),1,0)+IF(AND(53&gt;=E34,OR(F34="",53&lt;=F34)),1,0)+IF(AND(53&gt;=E42,OR(F42="",53&lt;=F42)),1,0)</f>
        <v/>
      </c>
      <c r="BH47" s="14">
        <f>IF(AND(54&gt;=E4,OR(F4="",54&lt;=F4)),1,0)+IF(AND(54&gt;=E5,OR(F5="",54&lt;=F5)),1,0)+IF(AND(54&gt;=E33,OR(F33="",54&lt;=F33)),1,0)+IF(AND(54&gt;=E34,OR(F34="",54&lt;=F34)),1,0)+IF(AND(54&gt;=E42,OR(F42="",54&lt;=F42)),1,0)</f>
        <v/>
      </c>
      <c r="BI47" s="14">
        <f>IF(AND(55&gt;=E4,OR(F4="",55&lt;=F4)),1,0)+IF(AND(55&gt;=E5,OR(F5="",55&lt;=F5)),1,0)+IF(AND(55&gt;=E33,OR(F33="",55&lt;=F33)),1,0)+IF(AND(55&gt;=E34,OR(F34="",55&lt;=F34)),1,0)+IF(AND(55&gt;=E42,OR(F42="",55&lt;=F42)),1,0)</f>
        <v/>
      </c>
      <c r="BJ47" s="14">
        <f>IF(AND(56&gt;=E4,OR(F4="",56&lt;=F4)),1,0)+IF(AND(56&gt;=E5,OR(F5="",56&lt;=F5)),1,0)+IF(AND(56&gt;=E33,OR(F33="",56&lt;=F33)),1,0)+IF(AND(56&gt;=E34,OR(F34="",56&lt;=F34)),1,0)+IF(AND(56&gt;=E42,OR(F42="",56&lt;=F42)),1,0)</f>
        <v/>
      </c>
      <c r="BK47" s="14">
        <f>IF(AND(57&gt;=E4,OR(F4="",57&lt;=F4)),1,0)+IF(AND(57&gt;=E5,OR(F5="",57&lt;=F5)),1,0)+IF(AND(57&gt;=E33,OR(F33="",57&lt;=F33)),1,0)+IF(AND(57&gt;=E34,OR(F34="",57&lt;=F34)),1,0)+IF(AND(57&gt;=E42,OR(F42="",57&lt;=F42)),1,0)</f>
        <v/>
      </c>
      <c r="BL47" s="14">
        <f>IF(AND(58&gt;=E4,OR(F4="",58&lt;=F4)),1,0)+IF(AND(58&gt;=E5,OR(F5="",58&lt;=F5)),1,0)+IF(AND(58&gt;=E33,OR(F33="",58&lt;=F33)),1,0)+IF(AND(58&gt;=E34,OR(F34="",58&lt;=F34)),1,0)+IF(AND(58&gt;=E42,OR(F42="",58&lt;=F42)),1,0)</f>
        <v/>
      </c>
      <c r="BM47" s="14">
        <f>IF(AND(59&gt;=E4,OR(F4="",59&lt;=F4)),1,0)+IF(AND(59&gt;=E5,OR(F5="",59&lt;=F5)),1,0)+IF(AND(59&gt;=E33,OR(F33="",59&lt;=F33)),1,0)+IF(AND(59&gt;=E34,OR(F34="",59&lt;=F34)),1,0)+IF(AND(59&gt;=E42,OR(F42="",59&lt;=F42)),1,0)</f>
        <v/>
      </c>
      <c r="BN47" s="14">
        <f>IF(AND(60&gt;=E4,OR(F4="",60&lt;=F4)),1,0)+IF(AND(60&gt;=E5,OR(F5="",60&lt;=F5)),1,0)+IF(AND(60&gt;=E33,OR(F33="",60&lt;=F33)),1,0)+IF(AND(60&gt;=E34,OR(F34="",60&lt;=F34)),1,0)+IF(AND(60&gt;=E42,OR(F42="",60&lt;=F42)),1,0)</f>
        <v/>
      </c>
    </row>
    <row r="48">
      <c r="B48" s="5" t="inlineStr">
        <is>
          <t>Eng</t>
        </is>
      </c>
      <c r="G48" s="14">
        <f>IF(AND(1&gt;=E6,OR(F6="",1&lt;=F6)),1,0)+IF(AND(1&gt;=E8,OR(F8="",1&lt;=F8)),1,0)+IF(AND(1&gt;=E10,OR(F10="",1&lt;=F10)),1,0)+IF(AND(1&gt;=E13,OR(F13="",1&lt;=F13)),1,0)+IF(AND(1&gt;=E14,OR(F14="",1&lt;=F14)),1,0)+IF(AND(1&gt;=E17,OR(F17="",1&lt;=F17)),1,0)+IF(AND(1&gt;=E22,OR(F22="",1&lt;=F22)),1,0)+IF(AND(1&gt;=E25,OR(F25="",1&lt;=F25)),1,0)+IF(AND(1&gt;=E26,OR(F26="",1&lt;=F26)),1,0)+IF(AND(1&gt;=E29,OR(F29="",1&lt;=F29)),1,0)+IF(AND(1&gt;=E32,OR(F32="",1&lt;=F32)),1,0)+IF(AND(1&gt;=E37,OR(F37="",1&lt;=F37)),1,0)+IF(AND(1&gt;=E39,OR(F39="",1&lt;=F39)),1,0)</f>
        <v/>
      </c>
      <c r="H48" s="14">
        <f>IF(AND(2&gt;=E6,OR(F6="",2&lt;=F6)),1,0)+IF(AND(2&gt;=E8,OR(F8="",2&lt;=F8)),1,0)+IF(AND(2&gt;=E10,OR(F10="",2&lt;=F10)),1,0)+IF(AND(2&gt;=E13,OR(F13="",2&lt;=F13)),1,0)+IF(AND(2&gt;=E14,OR(F14="",2&lt;=F14)),1,0)+IF(AND(2&gt;=E17,OR(F17="",2&lt;=F17)),1,0)+IF(AND(2&gt;=E22,OR(F22="",2&lt;=F22)),1,0)+IF(AND(2&gt;=E25,OR(F25="",2&lt;=F25)),1,0)+IF(AND(2&gt;=E26,OR(F26="",2&lt;=F26)),1,0)+IF(AND(2&gt;=E29,OR(F29="",2&lt;=F29)),1,0)+IF(AND(2&gt;=E32,OR(F32="",2&lt;=F32)),1,0)+IF(AND(2&gt;=E37,OR(F37="",2&lt;=F37)),1,0)+IF(AND(2&gt;=E39,OR(F39="",2&lt;=F39)),1,0)</f>
        <v/>
      </c>
      <c r="I48" s="14">
        <f>IF(AND(3&gt;=E6,OR(F6="",3&lt;=F6)),1,0)+IF(AND(3&gt;=E8,OR(F8="",3&lt;=F8)),1,0)+IF(AND(3&gt;=E10,OR(F10="",3&lt;=F10)),1,0)+IF(AND(3&gt;=E13,OR(F13="",3&lt;=F13)),1,0)+IF(AND(3&gt;=E14,OR(F14="",3&lt;=F14)),1,0)+IF(AND(3&gt;=E17,OR(F17="",3&lt;=F17)),1,0)+IF(AND(3&gt;=E22,OR(F22="",3&lt;=F22)),1,0)+IF(AND(3&gt;=E25,OR(F25="",3&lt;=F25)),1,0)+IF(AND(3&gt;=E26,OR(F26="",3&lt;=F26)),1,0)+IF(AND(3&gt;=E29,OR(F29="",3&lt;=F29)),1,0)+IF(AND(3&gt;=E32,OR(F32="",3&lt;=F32)),1,0)+IF(AND(3&gt;=E37,OR(F37="",3&lt;=F37)),1,0)+IF(AND(3&gt;=E39,OR(F39="",3&lt;=F39)),1,0)</f>
        <v/>
      </c>
      <c r="J48" s="14">
        <f>IF(AND(4&gt;=E6,OR(F6="",4&lt;=F6)),1,0)+IF(AND(4&gt;=E8,OR(F8="",4&lt;=F8)),1,0)+IF(AND(4&gt;=E10,OR(F10="",4&lt;=F10)),1,0)+IF(AND(4&gt;=E13,OR(F13="",4&lt;=F13)),1,0)+IF(AND(4&gt;=E14,OR(F14="",4&lt;=F14)),1,0)+IF(AND(4&gt;=E17,OR(F17="",4&lt;=F17)),1,0)+IF(AND(4&gt;=E22,OR(F22="",4&lt;=F22)),1,0)+IF(AND(4&gt;=E25,OR(F25="",4&lt;=F25)),1,0)+IF(AND(4&gt;=E26,OR(F26="",4&lt;=F26)),1,0)+IF(AND(4&gt;=E29,OR(F29="",4&lt;=F29)),1,0)+IF(AND(4&gt;=E32,OR(F32="",4&lt;=F32)),1,0)+IF(AND(4&gt;=E37,OR(F37="",4&lt;=F37)),1,0)+IF(AND(4&gt;=E39,OR(F39="",4&lt;=F39)),1,0)</f>
        <v/>
      </c>
      <c r="K48" s="14">
        <f>IF(AND(5&gt;=E6,OR(F6="",5&lt;=F6)),1,0)+IF(AND(5&gt;=E8,OR(F8="",5&lt;=F8)),1,0)+IF(AND(5&gt;=E10,OR(F10="",5&lt;=F10)),1,0)+IF(AND(5&gt;=E13,OR(F13="",5&lt;=F13)),1,0)+IF(AND(5&gt;=E14,OR(F14="",5&lt;=F14)),1,0)+IF(AND(5&gt;=E17,OR(F17="",5&lt;=F17)),1,0)+IF(AND(5&gt;=E22,OR(F22="",5&lt;=F22)),1,0)+IF(AND(5&gt;=E25,OR(F25="",5&lt;=F25)),1,0)+IF(AND(5&gt;=E26,OR(F26="",5&lt;=F26)),1,0)+IF(AND(5&gt;=E29,OR(F29="",5&lt;=F29)),1,0)+IF(AND(5&gt;=E32,OR(F32="",5&lt;=F32)),1,0)+IF(AND(5&gt;=E37,OR(F37="",5&lt;=F37)),1,0)+IF(AND(5&gt;=E39,OR(F39="",5&lt;=F39)),1,0)</f>
        <v/>
      </c>
      <c r="L48" s="14">
        <f>IF(AND(6&gt;=E6,OR(F6="",6&lt;=F6)),1,0)+IF(AND(6&gt;=E8,OR(F8="",6&lt;=F8)),1,0)+IF(AND(6&gt;=E10,OR(F10="",6&lt;=F10)),1,0)+IF(AND(6&gt;=E13,OR(F13="",6&lt;=F13)),1,0)+IF(AND(6&gt;=E14,OR(F14="",6&lt;=F14)),1,0)+IF(AND(6&gt;=E17,OR(F17="",6&lt;=F17)),1,0)+IF(AND(6&gt;=E22,OR(F22="",6&lt;=F22)),1,0)+IF(AND(6&gt;=E25,OR(F25="",6&lt;=F25)),1,0)+IF(AND(6&gt;=E26,OR(F26="",6&lt;=F26)),1,0)+IF(AND(6&gt;=E29,OR(F29="",6&lt;=F29)),1,0)+IF(AND(6&gt;=E32,OR(F32="",6&lt;=F32)),1,0)+IF(AND(6&gt;=E37,OR(F37="",6&lt;=F37)),1,0)+IF(AND(6&gt;=E39,OR(F39="",6&lt;=F39)),1,0)</f>
        <v/>
      </c>
      <c r="M48" s="14">
        <f>IF(AND(7&gt;=E6,OR(F6="",7&lt;=F6)),1,0)+IF(AND(7&gt;=E8,OR(F8="",7&lt;=F8)),1,0)+IF(AND(7&gt;=E10,OR(F10="",7&lt;=F10)),1,0)+IF(AND(7&gt;=E13,OR(F13="",7&lt;=F13)),1,0)+IF(AND(7&gt;=E14,OR(F14="",7&lt;=F14)),1,0)+IF(AND(7&gt;=E17,OR(F17="",7&lt;=F17)),1,0)+IF(AND(7&gt;=E22,OR(F22="",7&lt;=F22)),1,0)+IF(AND(7&gt;=E25,OR(F25="",7&lt;=F25)),1,0)+IF(AND(7&gt;=E26,OR(F26="",7&lt;=F26)),1,0)+IF(AND(7&gt;=E29,OR(F29="",7&lt;=F29)),1,0)+IF(AND(7&gt;=E32,OR(F32="",7&lt;=F32)),1,0)+IF(AND(7&gt;=E37,OR(F37="",7&lt;=F37)),1,0)+IF(AND(7&gt;=E39,OR(F39="",7&lt;=F39)),1,0)</f>
        <v/>
      </c>
      <c r="N48" s="14">
        <f>IF(AND(8&gt;=E6,OR(F6="",8&lt;=F6)),1,0)+IF(AND(8&gt;=E8,OR(F8="",8&lt;=F8)),1,0)+IF(AND(8&gt;=E10,OR(F10="",8&lt;=F10)),1,0)+IF(AND(8&gt;=E13,OR(F13="",8&lt;=F13)),1,0)+IF(AND(8&gt;=E14,OR(F14="",8&lt;=F14)),1,0)+IF(AND(8&gt;=E17,OR(F17="",8&lt;=F17)),1,0)+IF(AND(8&gt;=E22,OR(F22="",8&lt;=F22)),1,0)+IF(AND(8&gt;=E25,OR(F25="",8&lt;=F25)),1,0)+IF(AND(8&gt;=E26,OR(F26="",8&lt;=F26)),1,0)+IF(AND(8&gt;=E29,OR(F29="",8&lt;=F29)),1,0)+IF(AND(8&gt;=E32,OR(F32="",8&lt;=F32)),1,0)+IF(AND(8&gt;=E37,OR(F37="",8&lt;=F37)),1,0)+IF(AND(8&gt;=E39,OR(F39="",8&lt;=F39)),1,0)</f>
        <v/>
      </c>
      <c r="O48" s="14">
        <f>IF(AND(9&gt;=E6,OR(F6="",9&lt;=F6)),1,0)+IF(AND(9&gt;=E8,OR(F8="",9&lt;=F8)),1,0)+IF(AND(9&gt;=E10,OR(F10="",9&lt;=F10)),1,0)+IF(AND(9&gt;=E13,OR(F13="",9&lt;=F13)),1,0)+IF(AND(9&gt;=E14,OR(F14="",9&lt;=F14)),1,0)+IF(AND(9&gt;=E17,OR(F17="",9&lt;=F17)),1,0)+IF(AND(9&gt;=E22,OR(F22="",9&lt;=F22)),1,0)+IF(AND(9&gt;=E25,OR(F25="",9&lt;=F25)),1,0)+IF(AND(9&gt;=E26,OR(F26="",9&lt;=F26)),1,0)+IF(AND(9&gt;=E29,OR(F29="",9&lt;=F29)),1,0)+IF(AND(9&gt;=E32,OR(F32="",9&lt;=F32)),1,0)+IF(AND(9&gt;=E37,OR(F37="",9&lt;=F37)),1,0)+IF(AND(9&gt;=E39,OR(F39="",9&lt;=F39)),1,0)</f>
        <v/>
      </c>
      <c r="P48" s="14">
        <f>IF(AND(10&gt;=E6,OR(F6="",10&lt;=F6)),1,0)+IF(AND(10&gt;=E8,OR(F8="",10&lt;=F8)),1,0)+IF(AND(10&gt;=E10,OR(F10="",10&lt;=F10)),1,0)+IF(AND(10&gt;=E13,OR(F13="",10&lt;=F13)),1,0)+IF(AND(10&gt;=E14,OR(F14="",10&lt;=F14)),1,0)+IF(AND(10&gt;=E17,OR(F17="",10&lt;=F17)),1,0)+IF(AND(10&gt;=E22,OR(F22="",10&lt;=F22)),1,0)+IF(AND(10&gt;=E25,OR(F25="",10&lt;=F25)),1,0)+IF(AND(10&gt;=E26,OR(F26="",10&lt;=F26)),1,0)+IF(AND(10&gt;=E29,OR(F29="",10&lt;=F29)),1,0)+IF(AND(10&gt;=E32,OR(F32="",10&lt;=F32)),1,0)+IF(AND(10&gt;=E37,OR(F37="",10&lt;=F37)),1,0)+IF(AND(10&gt;=E39,OR(F39="",10&lt;=F39)),1,0)</f>
        <v/>
      </c>
      <c r="Q48" s="14">
        <f>IF(AND(11&gt;=E6,OR(F6="",11&lt;=F6)),1,0)+IF(AND(11&gt;=E8,OR(F8="",11&lt;=F8)),1,0)+IF(AND(11&gt;=E10,OR(F10="",11&lt;=F10)),1,0)+IF(AND(11&gt;=E13,OR(F13="",11&lt;=F13)),1,0)+IF(AND(11&gt;=E14,OR(F14="",11&lt;=F14)),1,0)+IF(AND(11&gt;=E17,OR(F17="",11&lt;=F17)),1,0)+IF(AND(11&gt;=E22,OR(F22="",11&lt;=F22)),1,0)+IF(AND(11&gt;=E25,OR(F25="",11&lt;=F25)),1,0)+IF(AND(11&gt;=E26,OR(F26="",11&lt;=F26)),1,0)+IF(AND(11&gt;=E29,OR(F29="",11&lt;=F29)),1,0)+IF(AND(11&gt;=E32,OR(F32="",11&lt;=F32)),1,0)+IF(AND(11&gt;=E37,OR(F37="",11&lt;=F37)),1,0)+IF(AND(11&gt;=E39,OR(F39="",11&lt;=F39)),1,0)</f>
        <v/>
      </c>
      <c r="R48" s="14">
        <f>IF(AND(12&gt;=E6,OR(F6="",12&lt;=F6)),1,0)+IF(AND(12&gt;=E8,OR(F8="",12&lt;=F8)),1,0)+IF(AND(12&gt;=E10,OR(F10="",12&lt;=F10)),1,0)+IF(AND(12&gt;=E13,OR(F13="",12&lt;=F13)),1,0)+IF(AND(12&gt;=E14,OR(F14="",12&lt;=F14)),1,0)+IF(AND(12&gt;=E17,OR(F17="",12&lt;=F17)),1,0)+IF(AND(12&gt;=E22,OR(F22="",12&lt;=F22)),1,0)+IF(AND(12&gt;=E25,OR(F25="",12&lt;=F25)),1,0)+IF(AND(12&gt;=E26,OR(F26="",12&lt;=F26)),1,0)+IF(AND(12&gt;=E29,OR(F29="",12&lt;=F29)),1,0)+IF(AND(12&gt;=E32,OR(F32="",12&lt;=F32)),1,0)+IF(AND(12&gt;=E37,OR(F37="",12&lt;=F37)),1,0)+IF(AND(12&gt;=E39,OR(F39="",12&lt;=F39)),1,0)</f>
        <v/>
      </c>
      <c r="S48" s="14">
        <f>IF(AND(13&gt;=E6,OR(F6="",13&lt;=F6)),1,0)+IF(AND(13&gt;=E8,OR(F8="",13&lt;=F8)),1,0)+IF(AND(13&gt;=E10,OR(F10="",13&lt;=F10)),1,0)+IF(AND(13&gt;=E13,OR(F13="",13&lt;=F13)),1,0)+IF(AND(13&gt;=E14,OR(F14="",13&lt;=F14)),1,0)+IF(AND(13&gt;=E17,OR(F17="",13&lt;=F17)),1,0)+IF(AND(13&gt;=E22,OR(F22="",13&lt;=F22)),1,0)+IF(AND(13&gt;=E25,OR(F25="",13&lt;=F25)),1,0)+IF(AND(13&gt;=E26,OR(F26="",13&lt;=F26)),1,0)+IF(AND(13&gt;=E29,OR(F29="",13&lt;=F29)),1,0)+IF(AND(13&gt;=E32,OR(F32="",13&lt;=F32)),1,0)+IF(AND(13&gt;=E37,OR(F37="",13&lt;=F37)),1,0)+IF(AND(13&gt;=E39,OR(F39="",13&lt;=F39)),1,0)</f>
        <v/>
      </c>
      <c r="T48" s="14">
        <f>IF(AND(14&gt;=E6,OR(F6="",14&lt;=F6)),1,0)+IF(AND(14&gt;=E8,OR(F8="",14&lt;=F8)),1,0)+IF(AND(14&gt;=E10,OR(F10="",14&lt;=F10)),1,0)+IF(AND(14&gt;=E13,OR(F13="",14&lt;=F13)),1,0)+IF(AND(14&gt;=E14,OR(F14="",14&lt;=F14)),1,0)+IF(AND(14&gt;=E17,OR(F17="",14&lt;=F17)),1,0)+IF(AND(14&gt;=E22,OR(F22="",14&lt;=F22)),1,0)+IF(AND(14&gt;=E25,OR(F25="",14&lt;=F25)),1,0)+IF(AND(14&gt;=E26,OR(F26="",14&lt;=F26)),1,0)+IF(AND(14&gt;=E29,OR(F29="",14&lt;=F29)),1,0)+IF(AND(14&gt;=E32,OR(F32="",14&lt;=F32)),1,0)+IF(AND(14&gt;=E37,OR(F37="",14&lt;=F37)),1,0)+IF(AND(14&gt;=E39,OR(F39="",14&lt;=F39)),1,0)</f>
        <v/>
      </c>
      <c r="U48" s="14">
        <f>IF(AND(15&gt;=E6,OR(F6="",15&lt;=F6)),1,0)+IF(AND(15&gt;=E8,OR(F8="",15&lt;=F8)),1,0)+IF(AND(15&gt;=E10,OR(F10="",15&lt;=F10)),1,0)+IF(AND(15&gt;=E13,OR(F13="",15&lt;=F13)),1,0)+IF(AND(15&gt;=E14,OR(F14="",15&lt;=F14)),1,0)+IF(AND(15&gt;=E17,OR(F17="",15&lt;=F17)),1,0)+IF(AND(15&gt;=E22,OR(F22="",15&lt;=F22)),1,0)+IF(AND(15&gt;=E25,OR(F25="",15&lt;=F25)),1,0)+IF(AND(15&gt;=E26,OR(F26="",15&lt;=F26)),1,0)+IF(AND(15&gt;=E29,OR(F29="",15&lt;=F29)),1,0)+IF(AND(15&gt;=E32,OR(F32="",15&lt;=F32)),1,0)+IF(AND(15&gt;=E37,OR(F37="",15&lt;=F37)),1,0)+IF(AND(15&gt;=E39,OR(F39="",15&lt;=F39)),1,0)</f>
        <v/>
      </c>
      <c r="V48" s="14">
        <f>IF(AND(16&gt;=E6,OR(F6="",16&lt;=F6)),1,0)+IF(AND(16&gt;=E8,OR(F8="",16&lt;=F8)),1,0)+IF(AND(16&gt;=E10,OR(F10="",16&lt;=F10)),1,0)+IF(AND(16&gt;=E13,OR(F13="",16&lt;=F13)),1,0)+IF(AND(16&gt;=E14,OR(F14="",16&lt;=F14)),1,0)+IF(AND(16&gt;=E17,OR(F17="",16&lt;=F17)),1,0)+IF(AND(16&gt;=E22,OR(F22="",16&lt;=F22)),1,0)+IF(AND(16&gt;=E25,OR(F25="",16&lt;=F25)),1,0)+IF(AND(16&gt;=E26,OR(F26="",16&lt;=F26)),1,0)+IF(AND(16&gt;=E29,OR(F29="",16&lt;=F29)),1,0)+IF(AND(16&gt;=E32,OR(F32="",16&lt;=F32)),1,0)+IF(AND(16&gt;=E37,OR(F37="",16&lt;=F37)),1,0)+IF(AND(16&gt;=E39,OR(F39="",16&lt;=F39)),1,0)</f>
        <v/>
      </c>
      <c r="W48" s="14">
        <f>IF(AND(17&gt;=E6,OR(F6="",17&lt;=F6)),1,0)+IF(AND(17&gt;=E8,OR(F8="",17&lt;=F8)),1,0)+IF(AND(17&gt;=E10,OR(F10="",17&lt;=F10)),1,0)+IF(AND(17&gt;=E13,OR(F13="",17&lt;=F13)),1,0)+IF(AND(17&gt;=E14,OR(F14="",17&lt;=F14)),1,0)+IF(AND(17&gt;=E17,OR(F17="",17&lt;=F17)),1,0)+IF(AND(17&gt;=E22,OR(F22="",17&lt;=F22)),1,0)+IF(AND(17&gt;=E25,OR(F25="",17&lt;=F25)),1,0)+IF(AND(17&gt;=E26,OR(F26="",17&lt;=F26)),1,0)+IF(AND(17&gt;=E29,OR(F29="",17&lt;=F29)),1,0)+IF(AND(17&gt;=E32,OR(F32="",17&lt;=F32)),1,0)+IF(AND(17&gt;=E37,OR(F37="",17&lt;=F37)),1,0)+IF(AND(17&gt;=E39,OR(F39="",17&lt;=F39)),1,0)</f>
        <v/>
      </c>
      <c r="X48" s="14">
        <f>IF(AND(18&gt;=E6,OR(F6="",18&lt;=F6)),1,0)+IF(AND(18&gt;=E8,OR(F8="",18&lt;=F8)),1,0)+IF(AND(18&gt;=E10,OR(F10="",18&lt;=F10)),1,0)+IF(AND(18&gt;=E13,OR(F13="",18&lt;=F13)),1,0)+IF(AND(18&gt;=E14,OR(F14="",18&lt;=F14)),1,0)+IF(AND(18&gt;=E17,OR(F17="",18&lt;=F17)),1,0)+IF(AND(18&gt;=E22,OR(F22="",18&lt;=F22)),1,0)+IF(AND(18&gt;=E25,OR(F25="",18&lt;=F25)),1,0)+IF(AND(18&gt;=E26,OR(F26="",18&lt;=F26)),1,0)+IF(AND(18&gt;=E29,OR(F29="",18&lt;=F29)),1,0)+IF(AND(18&gt;=E32,OR(F32="",18&lt;=F32)),1,0)+IF(AND(18&gt;=E37,OR(F37="",18&lt;=F37)),1,0)+IF(AND(18&gt;=E39,OR(F39="",18&lt;=F39)),1,0)</f>
        <v/>
      </c>
      <c r="Y48" s="14">
        <f>IF(AND(19&gt;=E6,OR(F6="",19&lt;=F6)),1,0)+IF(AND(19&gt;=E8,OR(F8="",19&lt;=F8)),1,0)+IF(AND(19&gt;=E10,OR(F10="",19&lt;=F10)),1,0)+IF(AND(19&gt;=E13,OR(F13="",19&lt;=F13)),1,0)+IF(AND(19&gt;=E14,OR(F14="",19&lt;=F14)),1,0)+IF(AND(19&gt;=E17,OR(F17="",19&lt;=F17)),1,0)+IF(AND(19&gt;=E22,OR(F22="",19&lt;=F22)),1,0)+IF(AND(19&gt;=E25,OR(F25="",19&lt;=F25)),1,0)+IF(AND(19&gt;=E26,OR(F26="",19&lt;=F26)),1,0)+IF(AND(19&gt;=E29,OR(F29="",19&lt;=F29)),1,0)+IF(AND(19&gt;=E32,OR(F32="",19&lt;=F32)),1,0)+IF(AND(19&gt;=E37,OR(F37="",19&lt;=F37)),1,0)+IF(AND(19&gt;=E39,OR(F39="",19&lt;=F39)),1,0)</f>
        <v/>
      </c>
      <c r="Z48" s="14">
        <f>IF(AND(20&gt;=E6,OR(F6="",20&lt;=F6)),1,0)+IF(AND(20&gt;=E8,OR(F8="",20&lt;=F8)),1,0)+IF(AND(20&gt;=E10,OR(F10="",20&lt;=F10)),1,0)+IF(AND(20&gt;=E13,OR(F13="",20&lt;=F13)),1,0)+IF(AND(20&gt;=E14,OR(F14="",20&lt;=F14)),1,0)+IF(AND(20&gt;=E17,OR(F17="",20&lt;=F17)),1,0)+IF(AND(20&gt;=E22,OR(F22="",20&lt;=F22)),1,0)+IF(AND(20&gt;=E25,OR(F25="",20&lt;=F25)),1,0)+IF(AND(20&gt;=E26,OR(F26="",20&lt;=F26)),1,0)+IF(AND(20&gt;=E29,OR(F29="",20&lt;=F29)),1,0)+IF(AND(20&gt;=E32,OR(F32="",20&lt;=F32)),1,0)+IF(AND(20&gt;=E37,OR(F37="",20&lt;=F37)),1,0)+IF(AND(20&gt;=E39,OR(F39="",20&lt;=F39)),1,0)</f>
        <v/>
      </c>
      <c r="AA48" s="14">
        <f>IF(AND(21&gt;=E6,OR(F6="",21&lt;=F6)),1,0)+IF(AND(21&gt;=E8,OR(F8="",21&lt;=F8)),1,0)+IF(AND(21&gt;=E10,OR(F10="",21&lt;=F10)),1,0)+IF(AND(21&gt;=E13,OR(F13="",21&lt;=F13)),1,0)+IF(AND(21&gt;=E14,OR(F14="",21&lt;=F14)),1,0)+IF(AND(21&gt;=E17,OR(F17="",21&lt;=F17)),1,0)+IF(AND(21&gt;=E22,OR(F22="",21&lt;=F22)),1,0)+IF(AND(21&gt;=E25,OR(F25="",21&lt;=F25)),1,0)+IF(AND(21&gt;=E26,OR(F26="",21&lt;=F26)),1,0)+IF(AND(21&gt;=E29,OR(F29="",21&lt;=F29)),1,0)+IF(AND(21&gt;=E32,OR(F32="",21&lt;=F32)),1,0)+IF(AND(21&gt;=E37,OR(F37="",21&lt;=F37)),1,0)+IF(AND(21&gt;=E39,OR(F39="",21&lt;=F39)),1,0)</f>
        <v/>
      </c>
      <c r="AB48" s="14">
        <f>IF(AND(22&gt;=E6,OR(F6="",22&lt;=F6)),1,0)+IF(AND(22&gt;=E8,OR(F8="",22&lt;=F8)),1,0)+IF(AND(22&gt;=E10,OR(F10="",22&lt;=F10)),1,0)+IF(AND(22&gt;=E13,OR(F13="",22&lt;=F13)),1,0)+IF(AND(22&gt;=E14,OR(F14="",22&lt;=F14)),1,0)+IF(AND(22&gt;=E17,OR(F17="",22&lt;=F17)),1,0)+IF(AND(22&gt;=E22,OR(F22="",22&lt;=F22)),1,0)+IF(AND(22&gt;=E25,OR(F25="",22&lt;=F25)),1,0)+IF(AND(22&gt;=E26,OR(F26="",22&lt;=F26)),1,0)+IF(AND(22&gt;=E29,OR(F29="",22&lt;=F29)),1,0)+IF(AND(22&gt;=E32,OR(F32="",22&lt;=F32)),1,0)+IF(AND(22&gt;=E37,OR(F37="",22&lt;=F37)),1,0)+IF(AND(22&gt;=E39,OR(F39="",22&lt;=F39)),1,0)</f>
        <v/>
      </c>
      <c r="AC48" s="14">
        <f>IF(AND(23&gt;=E6,OR(F6="",23&lt;=F6)),1,0)+IF(AND(23&gt;=E8,OR(F8="",23&lt;=F8)),1,0)+IF(AND(23&gt;=E10,OR(F10="",23&lt;=F10)),1,0)+IF(AND(23&gt;=E13,OR(F13="",23&lt;=F13)),1,0)+IF(AND(23&gt;=E14,OR(F14="",23&lt;=F14)),1,0)+IF(AND(23&gt;=E17,OR(F17="",23&lt;=F17)),1,0)+IF(AND(23&gt;=E22,OR(F22="",23&lt;=F22)),1,0)+IF(AND(23&gt;=E25,OR(F25="",23&lt;=F25)),1,0)+IF(AND(23&gt;=E26,OR(F26="",23&lt;=F26)),1,0)+IF(AND(23&gt;=E29,OR(F29="",23&lt;=F29)),1,0)+IF(AND(23&gt;=E32,OR(F32="",23&lt;=F32)),1,0)+IF(AND(23&gt;=E37,OR(F37="",23&lt;=F37)),1,0)+IF(AND(23&gt;=E39,OR(F39="",23&lt;=F39)),1,0)</f>
        <v/>
      </c>
      <c r="AD48" s="14">
        <f>IF(AND(24&gt;=E6,OR(F6="",24&lt;=F6)),1,0)+IF(AND(24&gt;=E8,OR(F8="",24&lt;=F8)),1,0)+IF(AND(24&gt;=E10,OR(F10="",24&lt;=F10)),1,0)+IF(AND(24&gt;=E13,OR(F13="",24&lt;=F13)),1,0)+IF(AND(24&gt;=E14,OR(F14="",24&lt;=F14)),1,0)+IF(AND(24&gt;=E17,OR(F17="",24&lt;=F17)),1,0)+IF(AND(24&gt;=E22,OR(F22="",24&lt;=F22)),1,0)+IF(AND(24&gt;=E25,OR(F25="",24&lt;=F25)),1,0)+IF(AND(24&gt;=E26,OR(F26="",24&lt;=F26)),1,0)+IF(AND(24&gt;=E29,OR(F29="",24&lt;=F29)),1,0)+IF(AND(24&gt;=E32,OR(F32="",24&lt;=F32)),1,0)+IF(AND(24&gt;=E37,OR(F37="",24&lt;=F37)),1,0)+IF(AND(24&gt;=E39,OR(F39="",24&lt;=F39)),1,0)</f>
        <v/>
      </c>
      <c r="AE48" s="14">
        <f>IF(AND(25&gt;=E6,OR(F6="",25&lt;=F6)),1,0)+IF(AND(25&gt;=E8,OR(F8="",25&lt;=F8)),1,0)+IF(AND(25&gt;=E10,OR(F10="",25&lt;=F10)),1,0)+IF(AND(25&gt;=E13,OR(F13="",25&lt;=F13)),1,0)+IF(AND(25&gt;=E14,OR(F14="",25&lt;=F14)),1,0)+IF(AND(25&gt;=E17,OR(F17="",25&lt;=F17)),1,0)+IF(AND(25&gt;=E22,OR(F22="",25&lt;=F22)),1,0)+IF(AND(25&gt;=E25,OR(F25="",25&lt;=F25)),1,0)+IF(AND(25&gt;=E26,OR(F26="",25&lt;=F26)),1,0)+IF(AND(25&gt;=E29,OR(F29="",25&lt;=F29)),1,0)+IF(AND(25&gt;=E32,OR(F32="",25&lt;=F32)),1,0)+IF(AND(25&gt;=E37,OR(F37="",25&lt;=F37)),1,0)+IF(AND(25&gt;=E39,OR(F39="",25&lt;=F39)),1,0)</f>
        <v/>
      </c>
      <c r="AF48" s="14">
        <f>IF(AND(26&gt;=E6,OR(F6="",26&lt;=F6)),1,0)+IF(AND(26&gt;=E8,OR(F8="",26&lt;=F8)),1,0)+IF(AND(26&gt;=E10,OR(F10="",26&lt;=F10)),1,0)+IF(AND(26&gt;=E13,OR(F13="",26&lt;=F13)),1,0)+IF(AND(26&gt;=E14,OR(F14="",26&lt;=F14)),1,0)+IF(AND(26&gt;=E17,OR(F17="",26&lt;=F17)),1,0)+IF(AND(26&gt;=E22,OR(F22="",26&lt;=F22)),1,0)+IF(AND(26&gt;=E25,OR(F25="",26&lt;=F25)),1,0)+IF(AND(26&gt;=E26,OR(F26="",26&lt;=F26)),1,0)+IF(AND(26&gt;=E29,OR(F29="",26&lt;=F29)),1,0)+IF(AND(26&gt;=E32,OR(F32="",26&lt;=F32)),1,0)+IF(AND(26&gt;=E37,OR(F37="",26&lt;=F37)),1,0)+IF(AND(26&gt;=E39,OR(F39="",26&lt;=F39)),1,0)</f>
        <v/>
      </c>
      <c r="AG48" s="14">
        <f>IF(AND(27&gt;=E6,OR(F6="",27&lt;=F6)),1,0)+IF(AND(27&gt;=E8,OR(F8="",27&lt;=F8)),1,0)+IF(AND(27&gt;=E10,OR(F10="",27&lt;=F10)),1,0)+IF(AND(27&gt;=E13,OR(F13="",27&lt;=F13)),1,0)+IF(AND(27&gt;=E14,OR(F14="",27&lt;=F14)),1,0)+IF(AND(27&gt;=E17,OR(F17="",27&lt;=F17)),1,0)+IF(AND(27&gt;=E22,OR(F22="",27&lt;=F22)),1,0)+IF(AND(27&gt;=E25,OR(F25="",27&lt;=F25)),1,0)+IF(AND(27&gt;=E26,OR(F26="",27&lt;=F26)),1,0)+IF(AND(27&gt;=E29,OR(F29="",27&lt;=F29)),1,0)+IF(AND(27&gt;=E32,OR(F32="",27&lt;=F32)),1,0)+IF(AND(27&gt;=E37,OR(F37="",27&lt;=F37)),1,0)+IF(AND(27&gt;=E39,OR(F39="",27&lt;=F39)),1,0)</f>
        <v/>
      </c>
      <c r="AH48" s="14">
        <f>IF(AND(28&gt;=E6,OR(F6="",28&lt;=F6)),1,0)+IF(AND(28&gt;=E8,OR(F8="",28&lt;=F8)),1,0)+IF(AND(28&gt;=E10,OR(F10="",28&lt;=F10)),1,0)+IF(AND(28&gt;=E13,OR(F13="",28&lt;=F13)),1,0)+IF(AND(28&gt;=E14,OR(F14="",28&lt;=F14)),1,0)+IF(AND(28&gt;=E17,OR(F17="",28&lt;=F17)),1,0)+IF(AND(28&gt;=E22,OR(F22="",28&lt;=F22)),1,0)+IF(AND(28&gt;=E25,OR(F25="",28&lt;=F25)),1,0)+IF(AND(28&gt;=E26,OR(F26="",28&lt;=F26)),1,0)+IF(AND(28&gt;=E29,OR(F29="",28&lt;=F29)),1,0)+IF(AND(28&gt;=E32,OR(F32="",28&lt;=F32)),1,0)+IF(AND(28&gt;=E37,OR(F37="",28&lt;=F37)),1,0)+IF(AND(28&gt;=E39,OR(F39="",28&lt;=F39)),1,0)</f>
        <v/>
      </c>
      <c r="AI48" s="14">
        <f>IF(AND(29&gt;=E6,OR(F6="",29&lt;=F6)),1,0)+IF(AND(29&gt;=E8,OR(F8="",29&lt;=F8)),1,0)+IF(AND(29&gt;=E10,OR(F10="",29&lt;=F10)),1,0)+IF(AND(29&gt;=E13,OR(F13="",29&lt;=F13)),1,0)+IF(AND(29&gt;=E14,OR(F14="",29&lt;=F14)),1,0)+IF(AND(29&gt;=E17,OR(F17="",29&lt;=F17)),1,0)+IF(AND(29&gt;=E22,OR(F22="",29&lt;=F22)),1,0)+IF(AND(29&gt;=E25,OR(F25="",29&lt;=F25)),1,0)+IF(AND(29&gt;=E26,OR(F26="",29&lt;=F26)),1,0)+IF(AND(29&gt;=E29,OR(F29="",29&lt;=F29)),1,0)+IF(AND(29&gt;=E32,OR(F32="",29&lt;=F32)),1,0)+IF(AND(29&gt;=E37,OR(F37="",29&lt;=F37)),1,0)+IF(AND(29&gt;=E39,OR(F39="",29&lt;=F39)),1,0)</f>
        <v/>
      </c>
      <c r="AJ48" s="14">
        <f>IF(AND(30&gt;=E6,OR(F6="",30&lt;=F6)),1,0)+IF(AND(30&gt;=E8,OR(F8="",30&lt;=F8)),1,0)+IF(AND(30&gt;=E10,OR(F10="",30&lt;=F10)),1,0)+IF(AND(30&gt;=E13,OR(F13="",30&lt;=F13)),1,0)+IF(AND(30&gt;=E14,OR(F14="",30&lt;=F14)),1,0)+IF(AND(30&gt;=E17,OR(F17="",30&lt;=F17)),1,0)+IF(AND(30&gt;=E22,OR(F22="",30&lt;=F22)),1,0)+IF(AND(30&gt;=E25,OR(F25="",30&lt;=F25)),1,0)+IF(AND(30&gt;=E26,OR(F26="",30&lt;=F26)),1,0)+IF(AND(30&gt;=E29,OR(F29="",30&lt;=F29)),1,0)+IF(AND(30&gt;=E32,OR(F32="",30&lt;=F32)),1,0)+IF(AND(30&gt;=E37,OR(F37="",30&lt;=F37)),1,0)+IF(AND(30&gt;=E39,OR(F39="",30&lt;=F39)),1,0)</f>
        <v/>
      </c>
      <c r="AK48" s="14">
        <f>IF(AND(31&gt;=E6,OR(F6="",31&lt;=F6)),1,0)+IF(AND(31&gt;=E8,OR(F8="",31&lt;=F8)),1,0)+IF(AND(31&gt;=E10,OR(F10="",31&lt;=F10)),1,0)+IF(AND(31&gt;=E13,OR(F13="",31&lt;=F13)),1,0)+IF(AND(31&gt;=E14,OR(F14="",31&lt;=F14)),1,0)+IF(AND(31&gt;=E17,OR(F17="",31&lt;=F17)),1,0)+IF(AND(31&gt;=E22,OR(F22="",31&lt;=F22)),1,0)+IF(AND(31&gt;=E25,OR(F25="",31&lt;=F25)),1,0)+IF(AND(31&gt;=E26,OR(F26="",31&lt;=F26)),1,0)+IF(AND(31&gt;=E29,OR(F29="",31&lt;=F29)),1,0)+IF(AND(31&gt;=E32,OR(F32="",31&lt;=F32)),1,0)+IF(AND(31&gt;=E37,OR(F37="",31&lt;=F37)),1,0)+IF(AND(31&gt;=E39,OR(F39="",31&lt;=F39)),1,0)</f>
        <v/>
      </c>
      <c r="AL48" s="14">
        <f>IF(AND(32&gt;=E6,OR(F6="",32&lt;=F6)),1,0)+IF(AND(32&gt;=E8,OR(F8="",32&lt;=F8)),1,0)+IF(AND(32&gt;=E10,OR(F10="",32&lt;=F10)),1,0)+IF(AND(32&gt;=E13,OR(F13="",32&lt;=F13)),1,0)+IF(AND(32&gt;=E14,OR(F14="",32&lt;=F14)),1,0)+IF(AND(32&gt;=E17,OR(F17="",32&lt;=F17)),1,0)+IF(AND(32&gt;=E22,OR(F22="",32&lt;=F22)),1,0)+IF(AND(32&gt;=E25,OR(F25="",32&lt;=F25)),1,0)+IF(AND(32&gt;=E26,OR(F26="",32&lt;=F26)),1,0)+IF(AND(32&gt;=E29,OR(F29="",32&lt;=F29)),1,0)+IF(AND(32&gt;=E32,OR(F32="",32&lt;=F32)),1,0)+IF(AND(32&gt;=E37,OR(F37="",32&lt;=F37)),1,0)+IF(AND(32&gt;=E39,OR(F39="",32&lt;=F39)),1,0)</f>
        <v/>
      </c>
      <c r="AM48" s="14">
        <f>IF(AND(33&gt;=E6,OR(F6="",33&lt;=F6)),1,0)+IF(AND(33&gt;=E8,OR(F8="",33&lt;=F8)),1,0)+IF(AND(33&gt;=E10,OR(F10="",33&lt;=F10)),1,0)+IF(AND(33&gt;=E13,OR(F13="",33&lt;=F13)),1,0)+IF(AND(33&gt;=E14,OR(F14="",33&lt;=F14)),1,0)+IF(AND(33&gt;=E17,OR(F17="",33&lt;=F17)),1,0)+IF(AND(33&gt;=E22,OR(F22="",33&lt;=F22)),1,0)+IF(AND(33&gt;=E25,OR(F25="",33&lt;=F25)),1,0)+IF(AND(33&gt;=E26,OR(F26="",33&lt;=F26)),1,0)+IF(AND(33&gt;=E29,OR(F29="",33&lt;=F29)),1,0)+IF(AND(33&gt;=E32,OR(F32="",33&lt;=F32)),1,0)+IF(AND(33&gt;=E37,OR(F37="",33&lt;=F37)),1,0)+IF(AND(33&gt;=E39,OR(F39="",33&lt;=F39)),1,0)</f>
        <v/>
      </c>
      <c r="AN48" s="14">
        <f>IF(AND(34&gt;=E6,OR(F6="",34&lt;=F6)),1,0)+IF(AND(34&gt;=E8,OR(F8="",34&lt;=F8)),1,0)+IF(AND(34&gt;=E10,OR(F10="",34&lt;=F10)),1,0)+IF(AND(34&gt;=E13,OR(F13="",34&lt;=F13)),1,0)+IF(AND(34&gt;=E14,OR(F14="",34&lt;=F14)),1,0)+IF(AND(34&gt;=E17,OR(F17="",34&lt;=F17)),1,0)+IF(AND(34&gt;=E22,OR(F22="",34&lt;=F22)),1,0)+IF(AND(34&gt;=E25,OR(F25="",34&lt;=F25)),1,0)+IF(AND(34&gt;=E26,OR(F26="",34&lt;=F26)),1,0)+IF(AND(34&gt;=E29,OR(F29="",34&lt;=F29)),1,0)+IF(AND(34&gt;=E32,OR(F32="",34&lt;=F32)),1,0)+IF(AND(34&gt;=E37,OR(F37="",34&lt;=F37)),1,0)+IF(AND(34&gt;=E39,OR(F39="",34&lt;=F39)),1,0)</f>
        <v/>
      </c>
      <c r="AO48" s="14">
        <f>IF(AND(35&gt;=E6,OR(F6="",35&lt;=F6)),1,0)+IF(AND(35&gt;=E8,OR(F8="",35&lt;=F8)),1,0)+IF(AND(35&gt;=E10,OR(F10="",35&lt;=F10)),1,0)+IF(AND(35&gt;=E13,OR(F13="",35&lt;=F13)),1,0)+IF(AND(35&gt;=E14,OR(F14="",35&lt;=F14)),1,0)+IF(AND(35&gt;=E17,OR(F17="",35&lt;=F17)),1,0)+IF(AND(35&gt;=E22,OR(F22="",35&lt;=F22)),1,0)+IF(AND(35&gt;=E25,OR(F25="",35&lt;=F25)),1,0)+IF(AND(35&gt;=E26,OR(F26="",35&lt;=F26)),1,0)+IF(AND(35&gt;=E29,OR(F29="",35&lt;=F29)),1,0)+IF(AND(35&gt;=E32,OR(F32="",35&lt;=F32)),1,0)+IF(AND(35&gt;=E37,OR(F37="",35&lt;=F37)),1,0)+IF(AND(35&gt;=E39,OR(F39="",35&lt;=F39)),1,0)</f>
        <v/>
      </c>
      <c r="AP48" s="14">
        <f>IF(AND(36&gt;=E6,OR(F6="",36&lt;=F6)),1,0)+IF(AND(36&gt;=E8,OR(F8="",36&lt;=F8)),1,0)+IF(AND(36&gt;=E10,OR(F10="",36&lt;=F10)),1,0)+IF(AND(36&gt;=E13,OR(F13="",36&lt;=F13)),1,0)+IF(AND(36&gt;=E14,OR(F14="",36&lt;=F14)),1,0)+IF(AND(36&gt;=E17,OR(F17="",36&lt;=F17)),1,0)+IF(AND(36&gt;=E22,OR(F22="",36&lt;=F22)),1,0)+IF(AND(36&gt;=E25,OR(F25="",36&lt;=F25)),1,0)+IF(AND(36&gt;=E26,OR(F26="",36&lt;=F26)),1,0)+IF(AND(36&gt;=E29,OR(F29="",36&lt;=F29)),1,0)+IF(AND(36&gt;=E32,OR(F32="",36&lt;=F32)),1,0)+IF(AND(36&gt;=E37,OR(F37="",36&lt;=F37)),1,0)+IF(AND(36&gt;=E39,OR(F39="",36&lt;=F39)),1,0)</f>
        <v/>
      </c>
      <c r="AQ48" s="14">
        <f>IF(AND(37&gt;=E6,OR(F6="",37&lt;=F6)),1,0)+IF(AND(37&gt;=E8,OR(F8="",37&lt;=F8)),1,0)+IF(AND(37&gt;=E10,OR(F10="",37&lt;=F10)),1,0)+IF(AND(37&gt;=E13,OR(F13="",37&lt;=F13)),1,0)+IF(AND(37&gt;=E14,OR(F14="",37&lt;=F14)),1,0)+IF(AND(37&gt;=E17,OR(F17="",37&lt;=F17)),1,0)+IF(AND(37&gt;=E22,OR(F22="",37&lt;=F22)),1,0)+IF(AND(37&gt;=E25,OR(F25="",37&lt;=F25)),1,0)+IF(AND(37&gt;=E26,OR(F26="",37&lt;=F26)),1,0)+IF(AND(37&gt;=E29,OR(F29="",37&lt;=F29)),1,0)+IF(AND(37&gt;=E32,OR(F32="",37&lt;=F32)),1,0)+IF(AND(37&gt;=E37,OR(F37="",37&lt;=F37)),1,0)+IF(AND(37&gt;=E39,OR(F39="",37&lt;=F39)),1,0)</f>
        <v/>
      </c>
      <c r="AR48" s="14">
        <f>IF(AND(38&gt;=E6,OR(F6="",38&lt;=F6)),1,0)+IF(AND(38&gt;=E8,OR(F8="",38&lt;=F8)),1,0)+IF(AND(38&gt;=E10,OR(F10="",38&lt;=F10)),1,0)+IF(AND(38&gt;=E13,OR(F13="",38&lt;=F13)),1,0)+IF(AND(38&gt;=E14,OR(F14="",38&lt;=F14)),1,0)+IF(AND(38&gt;=E17,OR(F17="",38&lt;=F17)),1,0)+IF(AND(38&gt;=E22,OR(F22="",38&lt;=F22)),1,0)+IF(AND(38&gt;=E25,OR(F25="",38&lt;=F25)),1,0)+IF(AND(38&gt;=E26,OR(F26="",38&lt;=F26)),1,0)+IF(AND(38&gt;=E29,OR(F29="",38&lt;=F29)),1,0)+IF(AND(38&gt;=E32,OR(F32="",38&lt;=F32)),1,0)+IF(AND(38&gt;=E37,OR(F37="",38&lt;=F37)),1,0)+IF(AND(38&gt;=E39,OR(F39="",38&lt;=F39)),1,0)</f>
        <v/>
      </c>
      <c r="AS48" s="14">
        <f>IF(AND(39&gt;=E6,OR(F6="",39&lt;=F6)),1,0)+IF(AND(39&gt;=E8,OR(F8="",39&lt;=F8)),1,0)+IF(AND(39&gt;=E10,OR(F10="",39&lt;=F10)),1,0)+IF(AND(39&gt;=E13,OR(F13="",39&lt;=F13)),1,0)+IF(AND(39&gt;=E14,OR(F14="",39&lt;=F14)),1,0)+IF(AND(39&gt;=E17,OR(F17="",39&lt;=F17)),1,0)+IF(AND(39&gt;=E22,OR(F22="",39&lt;=F22)),1,0)+IF(AND(39&gt;=E25,OR(F25="",39&lt;=F25)),1,0)+IF(AND(39&gt;=E26,OR(F26="",39&lt;=F26)),1,0)+IF(AND(39&gt;=E29,OR(F29="",39&lt;=F29)),1,0)+IF(AND(39&gt;=E32,OR(F32="",39&lt;=F32)),1,0)+IF(AND(39&gt;=E37,OR(F37="",39&lt;=F37)),1,0)+IF(AND(39&gt;=E39,OR(F39="",39&lt;=F39)),1,0)</f>
        <v/>
      </c>
      <c r="AT48" s="14">
        <f>IF(AND(40&gt;=E6,OR(F6="",40&lt;=F6)),1,0)+IF(AND(40&gt;=E8,OR(F8="",40&lt;=F8)),1,0)+IF(AND(40&gt;=E10,OR(F10="",40&lt;=F10)),1,0)+IF(AND(40&gt;=E13,OR(F13="",40&lt;=F13)),1,0)+IF(AND(40&gt;=E14,OR(F14="",40&lt;=F14)),1,0)+IF(AND(40&gt;=E17,OR(F17="",40&lt;=F17)),1,0)+IF(AND(40&gt;=E22,OR(F22="",40&lt;=F22)),1,0)+IF(AND(40&gt;=E25,OR(F25="",40&lt;=F25)),1,0)+IF(AND(40&gt;=E26,OR(F26="",40&lt;=F26)),1,0)+IF(AND(40&gt;=E29,OR(F29="",40&lt;=F29)),1,0)+IF(AND(40&gt;=E32,OR(F32="",40&lt;=F32)),1,0)+IF(AND(40&gt;=E37,OR(F37="",40&lt;=F37)),1,0)+IF(AND(40&gt;=E39,OR(F39="",40&lt;=F39)),1,0)</f>
        <v/>
      </c>
      <c r="AU48" s="14">
        <f>IF(AND(41&gt;=E6,OR(F6="",41&lt;=F6)),1,0)+IF(AND(41&gt;=E8,OR(F8="",41&lt;=F8)),1,0)+IF(AND(41&gt;=E10,OR(F10="",41&lt;=F10)),1,0)+IF(AND(41&gt;=E13,OR(F13="",41&lt;=F13)),1,0)+IF(AND(41&gt;=E14,OR(F14="",41&lt;=F14)),1,0)+IF(AND(41&gt;=E17,OR(F17="",41&lt;=F17)),1,0)+IF(AND(41&gt;=E22,OR(F22="",41&lt;=F22)),1,0)+IF(AND(41&gt;=E25,OR(F25="",41&lt;=F25)),1,0)+IF(AND(41&gt;=E26,OR(F26="",41&lt;=F26)),1,0)+IF(AND(41&gt;=E29,OR(F29="",41&lt;=F29)),1,0)+IF(AND(41&gt;=E32,OR(F32="",41&lt;=F32)),1,0)+IF(AND(41&gt;=E37,OR(F37="",41&lt;=F37)),1,0)+IF(AND(41&gt;=E39,OR(F39="",41&lt;=F39)),1,0)</f>
        <v/>
      </c>
      <c r="AV48" s="14">
        <f>IF(AND(42&gt;=E6,OR(F6="",42&lt;=F6)),1,0)+IF(AND(42&gt;=E8,OR(F8="",42&lt;=F8)),1,0)+IF(AND(42&gt;=E10,OR(F10="",42&lt;=F10)),1,0)+IF(AND(42&gt;=E13,OR(F13="",42&lt;=F13)),1,0)+IF(AND(42&gt;=E14,OR(F14="",42&lt;=F14)),1,0)+IF(AND(42&gt;=E17,OR(F17="",42&lt;=F17)),1,0)+IF(AND(42&gt;=E22,OR(F22="",42&lt;=F22)),1,0)+IF(AND(42&gt;=E25,OR(F25="",42&lt;=F25)),1,0)+IF(AND(42&gt;=E26,OR(F26="",42&lt;=F26)),1,0)+IF(AND(42&gt;=E29,OR(F29="",42&lt;=F29)),1,0)+IF(AND(42&gt;=E32,OR(F32="",42&lt;=F32)),1,0)+IF(AND(42&gt;=E37,OR(F37="",42&lt;=F37)),1,0)+IF(AND(42&gt;=E39,OR(F39="",42&lt;=F39)),1,0)</f>
        <v/>
      </c>
      <c r="AW48" s="14">
        <f>IF(AND(43&gt;=E6,OR(F6="",43&lt;=F6)),1,0)+IF(AND(43&gt;=E8,OR(F8="",43&lt;=F8)),1,0)+IF(AND(43&gt;=E10,OR(F10="",43&lt;=F10)),1,0)+IF(AND(43&gt;=E13,OR(F13="",43&lt;=F13)),1,0)+IF(AND(43&gt;=E14,OR(F14="",43&lt;=F14)),1,0)+IF(AND(43&gt;=E17,OR(F17="",43&lt;=F17)),1,0)+IF(AND(43&gt;=E22,OR(F22="",43&lt;=F22)),1,0)+IF(AND(43&gt;=E25,OR(F25="",43&lt;=F25)),1,0)+IF(AND(43&gt;=E26,OR(F26="",43&lt;=F26)),1,0)+IF(AND(43&gt;=E29,OR(F29="",43&lt;=F29)),1,0)+IF(AND(43&gt;=E32,OR(F32="",43&lt;=F32)),1,0)+IF(AND(43&gt;=E37,OR(F37="",43&lt;=F37)),1,0)+IF(AND(43&gt;=E39,OR(F39="",43&lt;=F39)),1,0)</f>
        <v/>
      </c>
      <c r="AX48" s="14">
        <f>IF(AND(44&gt;=E6,OR(F6="",44&lt;=F6)),1,0)+IF(AND(44&gt;=E8,OR(F8="",44&lt;=F8)),1,0)+IF(AND(44&gt;=E10,OR(F10="",44&lt;=F10)),1,0)+IF(AND(44&gt;=E13,OR(F13="",44&lt;=F13)),1,0)+IF(AND(44&gt;=E14,OR(F14="",44&lt;=F14)),1,0)+IF(AND(44&gt;=E17,OR(F17="",44&lt;=F17)),1,0)+IF(AND(44&gt;=E22,OR(F22="",44&lt;=F22)),1,0)+IF(AND(44&gt;=E25,OR(F25="",44&lt;=F25)),1,0)+IF(AND(44&gt;=E26,OR(F26="",44&lt;=F26)),1,0)+IF(AND(44&gt;=E29,OR(F29="",44&lt;=F29)),1,0)+IF(AND(44&gt;=E32,OR(F32="",44&lt;=F32)),1,0)+IF(AND(44&gt;=E37,OR(F37="",44&lt;=F37)),1,0)+IF(AND(44&gt;=E39,OR(F39="",44&lt;=F39)),1,0)</f>
        <v/>
      </c>
      <c r="AY48" s="14">
        <f>IF(AND(45&gt;=E6,OR(F6="",45&lt;=F6)),1,0)+IF(AND(45&gt;=E8,OR(F8="",45&lt;=F8)),1,0)+IF(AND(45&gt;=E10,OR(F10="",45&lt;=F10)),1,0)+IF(AND(45&gt;=E13,OR(F13="",45&lt;=F13)),1,0)+IF(AND(45&gt;=E14,OR(F14="",45&lt;=F14)),1,0)+IF(AND(45&gt;=E17,OR(F17="",45&lt;=F17)),1,0)+IF(AND(45&gt;=E22,OR(F22="",45&lt;=F22)),1,0)+IF(AND(45&gt;=E25,OR(F25="",45&lt;=F25)),1,0)+IF(AND(45&gt;=E26,OR(F26="",45&lt;=F26)),1,0)+IF(AND(45&gt;=E29,OR(F29="",45&lt;=F29)),1,0)+IF(AND(45&gt;=E32,OR(F32="",45&lt;=F32)),1,0)+IF(AND(45&gt;=E37,OR(F37="",45&lt;=F37)),1,0)+IF(AND(45&gt;=E39,OR(F39="",45&lt;=F39)),1,0)</f>
        <v/>
      </c>
      <c r="AZ48" s="14">
        <f>IF(AND(46&gt;=E6,OR(F6="",46&lt;=F6)),1,0)+IF(AND(46&gt;=E8,OR(F8="",46&lt;=F8)),1,0)+IF(AND(46&gt;=E10,OR(F10="",46&lt;=F10)),1,0)+IF(AND(46&gt;=E13,OR(F13="",46&lt;=F13)),1,0)+IF(AND(46&gt;=E14,OR(F14="",46&lt;=F14)),1,0)+IF(AND(46&gt;=E17,OR(F17="",46&lt;=F17)),1,0)+IF(AND(46&gt;=E22,OR(F22="",46&lt;=F22)),1,0)+IF(AND(46&gt;=E25,OR(F25="",46&lt;=F25)),1,0)+IF(AND(46&gt;=E26,OR(F26="",46&lt;=F26)),1,0)+IF(AND(46&gt;=E29,OR(F29="",46&lt;=F29)),1,0)+IF(AND(46&gt;=E32,OR(F32="",46&lt;=F32)),1,0)+IF(AND(46&gt;=E37,OR(F37="",46&lt;=F37)),1,0)+IF(AND(46&gt;=E39,OR(F39="",46&lt;=F39)),1,0)</f>
        <v/>
      </c>
      <c r="BA48" s="14">
        <f>IF(AND(47&gt;=E6,OR(F6="",47&lt;=F6)),1,0)+IF(AND(47&gt;=E8,OR(F8="",47&lt;=F8)),1,0)+IF(AND(47&gt;=E10,OR(F10="",47&lt;=F10)),1,0)+IF(AND(47&gt;=E13,OR(F13="",47&lt;=F13)),1,0)+IF(AND(47&gt;=E14,OR(F14="",47&lt;=F14)),1,0)+IF(AND(47&gt;=E17,OR(F17="",47&lt;=F17)),1,0)+IF(AND(47&gt;=E22,OR(F22="",47&lt;=F22)),1,0)+IF(AND(47&gt;=E25,OR(F25="",47&lt;=F25)),1,0)+IF(AND(47&gt;=E26,OR(F26="",47&lt;=F26)),1,0)+IF(AND(47&gt;=E29,OR(F29="",47&lt;=F29)),1,0)+IF(AND(47&gt;=E32,OR(F32="",47&lt;=F32)),1,0)+IF(AND(47&gt;=E37,OR(F37="",47&lt;=F37)),1,0)+IF(AND(47&gt;=E39,OR(F39="",47&lt;=F39)),1,0)</f>
        <v/>
      </c>
      <c r="BB48" s="14">
        <f>IF(AND(48&gt;=E6,OR(F6="",48&lt;=F6)),1,0)+IF(AND(48&gt;=E8,OR(F8="",48&lt;=F8)),1,0)+IF(AND(48&gt;=E10,OR(F10="",48&lt;=F10)),1,0)+IF(AND(48&gt;=E13,OR(F13="",48&lt;=F13)),1,0)+IF(AND(48&gt;=E14,OR(F14="",48&lt;=F14)),1,0)+IF(AND(48&gt;=E17,OR(F17="",48&lt;=F17)),1,0)+IF(AND(48&gt;=E22,OR(F22="",48&lt;=F22)),1,0)+IF(AND(48&gt;=E25,OR(F25="",48&lt;=F25)),1,0)+IF(AND(48&gt;=E26,OR(F26="",48&lt;=F26)),1,0)+IF(AND(48&gt;=E29,OR(F29="",48&lt;=F29)),1,0)+IF(AND(48&gt;=E32,OR(F32="",48&lt;=F32)),1,0)+IF(AND(48&gt;=E37,OR(F37="",48&lt;=F37)),1,0)+IF(AND(48&gt;=E39,OR(F39="",48&lt;=F39)),1,0)</f>
        <v/>
      </c>
      <c r="BC48" s="14">
        <f>IF(AND(49&gt;=E6,OR(F6="",49&lt;=F6)),1,0)+IF(AND(49&gt;=E8,OR(F8="",49&lt;=F8)),1,0)+IF(AND(49&gt;=E10,OR(F10="",49&lt;=F10)),1,0)+IF(AND(49&gt;=E13,OR(F13="",49&lt;=F13)),1,0)+IF(AND(49&gt;=E14,OR(F14="",49&lt;=F14)),1,0)+IF(AND(49&gt;=E17,OR(F17="",49&lt;=F17)),1,0)+IF(AND(49&gt;=E22,OR(F22="",49&lt;=F22)),1,0)+IF(AND(49&gt;=E25,OR(F25="",49&lt;=F25)),1,0)+IF(AND(49&gt;=E26,OR(F26="",49&lt;=F26)),1,0)+IF(AND(49&gt;=E29,OR(F29="",49&lt;=F29)),1,0)+IF(AND(49&gt;=E32,OR(F32="",49&lt;=F32)),1,0)+IF(AND(49&gt;=E37,OR(F37="",49&lt;=F37)),1,0)+IF(AND(49&gt;=E39,OR(F39="",49&lt;=F39)),1,0)</f>
        <v/>
      </c>
      <c r="BD48" s="14">
        <f>IF(AND(50&gt;=E6,OR(F6="",50&lt;=F6)),1,0)+IF(AND(50&gt;=E8,OR(F8="",50&lt;=F8)),1,0)+IF(AND(50&gt;=E10,OR(F10="",50&lt;=F10)),1,0)+IF(AND(50&gt;=E13,OR(F13="",50&lt;=F13)),1,0)+IF(AND(50&gt;=E14,OR(F14="",50&lt;=F14)),1,0)+IF(AND(50&gt;=E17,OR(F17="",50&lt;=F17)),1,0)+IF(AND(50&gt;=E22,OR(F22="",50&lt;=F22)),1,0)+IF(AND(50&gt;=E25,OR(F25="",50&lt;=F25)),1,0)+IF(AND(50&gt;=E26,OR(F26="",50&lt;=F26)),1,0)+IF(AND(50&gt;=E29,OR(F29="",50&lt;=F29)),1,0)+IF(AND(50&gt;=E32,OR(F32="",50&lt;=F32)),1,0)+IF(AND(50&gt;=E37,OR(F37="",50&lt;=F37)),1,0)+IF(AND(50&gt;=E39,OR(F39="",50&lt;=F39)),1,0)</f>
        <v/>
      </c>
      <c r="BE48" s="14">
        <f>IF(AND(51&gt;=E6,OR(F6="",51&lt;=F6)),1,0)+IF(AND(51&gt;=E8,OR(F8="",51&lt;=F8)),1,0)+IF(AND(51&gt;=E10,OR(F10="",51&lt;=F10)),1,0)+IF(AND(51&gt;=E13,OR(F13="",51&lt;=F13)),1,0)+IF(AND(51&gt;=E14,OR(F14="",51&lt;=F14)),1,0)+IF(AND(51&gt;=E17,OR(F17="",51&lt;=F17)),1,0)+IF(AND(51&gt;=E22,OR(F22="",51&lt;=F22)),1,0)+IF(AND(51&gt;=E25,OR(F25="",51&lt;=F25)),1,0)+IF(AND(51&gt;=E26,OR(F26="",51&lt;=F26)),1,0)+IF(AND(51&gt;=E29,OR(F29="",51&lt;=F29)),1,0)+IF(AND(51&gt;=E32,OR(F32="",51&lt;=F32)),1,0)+IF(AND(51&gt;=E37,OR(F37="",51&lt;=F37)),1,0)+IF(AND(51&gt;=E39,OR(F39="",51&lt;=F39)),1,0)</f>
        <v/>
      </c>
      <c r="BF48" s="14">
        <f>IF(AND(52&gt;=E6,OR(F6="",52&lt;=F6)),1,0)+IF(AND(52&gt;=E8,OR(F8="",52&lt;=F8)),1,0)+IF(AND(52&gt;=E10,OR(F10="",52&lt;=F10)),1,0)+IF(AND(52&gt;=E13,OR(F13="",52&lt;=F13)),1,0)+IF(AND(52&gt;=E14,OR(F14="",52&lt;=F14)),1,0)+IF(AND(52&gt;=E17,OR(F17="",52&lt;=F17)),1,0)+IF(AND(52&gt;=E22,OR(F22="",52&lt;=F22)),1,0)+IF(AND(52&gt;=E25,OR(F25="",52&lt;=F25)),1,0)+IF(AND(52&gt;=E26,OR(F26="",52&lt;=F26)),1,0)+IF(AND(52&gt;=E29,OR(F29="",52&lt;=F29)),1,0)+IF(AND(52&gt;=E32,OR(F32="",52&lt;=F32)),1,0)+IF(AND(52&gt;=E37,OR(F37="",52&lt;=F37)),1,0)+IF(AND(52&gt;=E39,OR(F39="",52&lt;=F39)),1,0)</f>
        <v/>
      </c>
      <c r="BG48" s="14">
        <f>IF(AND(53&gt;=E6,OR(F6="",53&lt;=F6)),1,0)+IF(AND(53&gt;=E8,OR(F8="",53&lt;=F8)),1,0)+IF(AND(53&gt;=E10,OR(F10="",53&lt;=F10)),1,0)+IF(AND(53&gt;=E13,OR(F13="",53&lt;=F13)),1,0)+IF(AND(53&gt;=E14,OR(F14="",53&lt;=F14)),1,0)+IF(AND(53&gt;=E17,OR(F17="",53&lt;=F17)),1,0)+IF(AND(53&gt;=E22,OR(F22="",53&lt;=F22)),1,0)+IF(AND(53&gt;=E25,OR(F25="",53&lt;=F25)),1,0)+IF(AND(53&gt;=E26,OR(F26="",53&lt;=F26)),1,0)+IF(AND(53&gt;=E29,OR(F29="",53&lt;=F29)),1,0)+IF(AND(53&gt;=E32,OR(F32="",53&lt;=F32)),1,0)+IF(AND(53&gt;=E37,OR(F37="",53&lt;=F37)),1,0)+IF(AND(53&gt;=E39,OR(F39="",53&lt;=F39)),1,0)</f>
        <v/>
      </c>
      <c r="BH48" s="14">
        <f>IF(AND(54&gt;=E6,OR(F6="",54&lt;=F6)),1,0)+IF(AND(54&gt;=E8,OR(F8="",54&lt;=F8)),1,0)+IF(AND(54&gt;=E10,OR(F10="",54&lt;=F10)),1,0)+IF(AND(54&gt;=E13,OR(F13="",54&lt;=F13)),1,0)+IF(AND(54&gt;=E14,OR(F14="",54&lt;=F14)),1,0)+IF(AND(54&gt;=E17,OR(F17="",54&lt;=F17)),1,0)+IF(AND(54&gt;=E22,OR(F22="",54&lt;=F22)),1,0)+IF(AND(54&gt;=E25,OR(F25="",54&lt;=F25)),1,0)+IF(AND(54&gt;=E26,OR(F26="",54&lt;=F26)),1,0)+IF(AND(54&gt;=E29,OR(F29="",54&lt;=F29)),1,0)+IF(AND(54&gt;=E32,OR(F32="",54&lt;=F32)),1,0)+IF(AND(54&gt;=E37,OR(F37="",54&lt;=F37)),1,0)+IF(AND(54&gt;=E39,OR(F39="",54&lt;=F39)),1,0)</f>
        <v/>
      </c>
      <c r="BI48" s="14">
        <f>IF(AND(55&gt;=E6,OR(F6="",55&lt;=F6)),1,0)+IF(AND(55&gt;=E8,OR(F8="",55&lt;=F8)),1,0)+IF(AND(55&gt;=E10,OR(F10="",55&lt;=F10)),1,0)+IF(AND(55&gt;=E13,OR(F13="",55&lt;=F13)),1,0)+IF(AND(55&gt;=E14,OR(F14="",55&lt;=F14)),1,0)+IF(AND(55&gt;=E17,OR(F17="",55&lt;=F17)),1,0)+IF(AND(55&gt;=E22,OR(F22="",55&lt;=F22)),1,0)+IF(AND(55&gt;=E25,OR(F25="",55&lt;=F25)),1,0)+IF(AND(55&gt;=E26,OR(F26="",55&lt;=F26)),1,0)+IF(AND(55&gt;=E29,OR(F29="",55&lt;=F29)),1,0)+IF(AND(55&gt;=E32,OR(F32="",55&lt;=F32)),1,0)+IF(AND(55&gt;=E37,OR(F37="",55&lt;=F37)),1,0)+IF(AND(55&gt;=E39,OR(F39="",55&lt;=F39)),1,0)</f>
        <v/>
      </c>
      <c r="BJ48" s="14">
        <f>IF(AND(56&gt;=E6,OR(F6="",56&lt;=F6)),1,0)+IF(AND(56&gt;=E8,OR(F8="",56&lt;=F8)),1,0)+IF(AND(56&gt;=E10,OR(F10="",56&lt;=F10)),1,0)+IF(AND(56&gt;=E13,OR(F13="",56&lt;=F13)),1,0)+IF(AND(56&gt;=E14,OR(F14="",56&lt;=F14)),1,0)+IF(AND(56&gt;=E17,OR(F17="",56&lt;=F17)),1,0)+IF(AND(56&gt;=E22,OR(F22="",56&lt;=F22)),1,0)+IF(AND(56&gt;=E25,OR(F25="",56&lt;=F25)),1,0)+IF(AND(56&gt;=E26,OR(F26="",56&lt;=F26)),1,0)+IF(AND(56&gt;=E29,OR(F29="",56&lt;=F29)),1,0)+IF(AND(56&gt;=E32,OR(F32="",56&lt;=F32)),1,0)+IF(AND(56&gt;=E37,OR(F37="",56&lt;=F37)),1,0)+IF(AND(56&gt;=E39,OR(F39="",56&lt;=F39)),1,0)</f>
        <v/>
      </c>
      <c r="BK48" s="14">
        <f>IF(AND(57&gt;=E6,OR(F6="",57&lt;=F6)),1,0)+IF(AND(57&gt;=E8,OR(F8="",57&lt;=F8)),1,0)+IF(AND(57&gt;=E10,OR(F10="",57&lt;=F10)),1,0)+IF(AND(57&gt;=E13,OR(F13="",57&lt;=F13)),1,0)+IF(AND(57&gt;=E14,OR(F14="",57&lt;=F14)),1,0)+IF(AND(57&gt;=E17,OR(F17="",57&lt;=F17)),1,0)+IF(AND(57&gt;=E22,OR(F22="",57&lt;=F22)),1,0)+IF(AND(57&gt;=E25,OR(F25="",57&lt;=F25)),1,0)+IF(AND(57&gt;=E26,OR(F26="",57&lt;=F26)),1,0)+IF(AND(57&gt;=E29,OR(F29="",57&lt;=F29)),1,0)+IF(AND(57&gt;=E32,OR(F32="",57&lt;=F32)),1,0)+IF(AND(57&gt;=E37,OR(F37="",57&lt;=F37)),1,0)+IF(AND(57&gt;=E39,OR(F39="",57&lt;=F39)),1,0)</f>
        <v/>
      </c>
      <c r="BL48" s="14">
        <f>IF(AND(58&gt;=E6,OR(F6="",58&lt;=F6)),1,0)+IF(AND(58&gt;=E8,OR(F8="",58&lt;=F8)),1,0)+IF(AND(58&gt;=E10,OR(F10="",58&lt;=F10)),1,0)+IF(AND(58&gt;=E13,OR(F13="",58&lt;=F13)),1,0)+IF(AND(58&gt;=E14,OR(F14="",58&lt;=F14)),1,0)+IF(AND(58&gt;=E17,OR(F17="",58&lt;=F17)),1,0)+IF(AND(58&gt;=E22,OR(F22="",58&lt;=F22)),1,0)+IF(AND(58&gt;=E25,OR(F25="",58&lt;=F25)),1,0)+IF(AND(58&gt;=E26,OR(F26="",58&lt;=F26)),1,0)+IF(AND(58&gt;=E29,OR(F29="",58&lt;=F29)),1,0)+IF(AND(58&gt;=E32,OR(F32="",58&lt;=F32)),1,0)+IF(AND(58&gt;=E37,OR(F37="",58&lt;=F37)),1,0)+IF(AND(58&gt;=E39,OR(F39="",58&lt;=F39)),1,0)</f>
        <v/>
      </c>
      <c r="BM48" s="14">
        <f>IF(AND(59&gt;=E6,OR(F6="",59&lt;=F6)),1,0)+IF(AND(59&gt;=E8,OR(F8="",59&lt;=F8)),1,0)+IF(AND(59&gt;=E10,OR(F10="",59&lt;=F10)),1,0)+IF(AND(59&gt;=E13,OR(F13="",59&lt;=F13)),1,0)+IF(AND(59&gt;=E14,OR(F14="",59&lt;=F14)),1,0)+IF(AND(59&gt;=E17,OR(F17="",59&lt;=F17)),1,0)+IF(AND(59&gt;=E22,OR(F22="",59&lt;=F22)),1,0)+IF(AND(59&gt;=E25,OR(F25="",59&lt;=F25)),1,0)+IF(AND(59&gt;=E26,OR(F26="",59&lt;=F26)),1,0)+IF(AND(59&gt;=E29,OR(F29="",59&lt;=F29)),1,0)+IF(AND(59&gt;=E32,OR(F32="",59&lt;=F32)),1,0)+IF(AND(59&gt;=E37,OR(F37="",59&lt;=F37)),1,0)+IF(AND(59&gt;=E39,OR(F39="",59&lt;=F39)),1,0)</f>
        <v/>
      </c>
      <c r="BN48" s="14">
        <f>IF(AND(60&gt;=E6,OR(F6="",60&lt;=F6)),1,0)+IF(AND(60&gt;=E8,OR(F8="",60&lt;=F8)),1,0)+IF(AND(60&gt;=E10,OR(F10="",60&lt;=F10)),1,0)+IF(AND(60&gt;=E13,OR(F13="",60&lt;=F13)),1,0)+IF(AND(60&gt;=E14,OR(F14="",60&lt;=F14)),1,0)+IF(AND(60&gt;=E17,OR(F17="",60&lt;=F17)),1,0)+IF(AND(60&gt;=E22,OR(F22="",60&lt;=F22)),1,0)+IF(AND(60&gt;=E25,OR(F25="",60&lt;=F25)),1,0)+IF(AND(60&gt;=E26,OR(F26="",60&lt;=F26)),1,0)+IF(AND(60&gt;=E29,OR(F29="",60&lt;=F29)),1,0)+IF(AND(60&gt;=E32,OR(F32="",60&lt;=F32)),1,0)+IF(AND(60&gt;=E37,OR(F37="",60&lt;=F37)),1,0)+IF(AND(60&gt;=E39,OR(F39="",60&lt;=F39)),1,0)</f>
        <v/>
      </c>
    </row>
    <row r="49">
      <c r="B49" s="5" t="inlineStr">
        <is>
          <t>Product</t>
        </is>
      </c>
      <c r="G49" s="14">
        <f>IF(AND(1&gt;=E20,OR(F20="",1&lt;=F20)),1,0)+IF(AND(1&gt;=E35,OR(F35="",1&lt;=F35)),1,0)+IF(AND(1&gt;=E41,OR(F41="",1&lt;=F41)),1,0)</f>
        <v/>
      </c>
      <c r="H49" s="14">
        <f>IF(AND(2&gt;=E20,OR(F20="",2&lt;=F20)),1,0)+IF(AND(2&gt;=E35,OR(F35="",2&lt;=F35)),1,0)+IF(AND(2&gt;=E41,OR(F41="",2&lt;=F41)),1,0)</f>
        <v/>
      </c>
      <c r="I49" s="14">
        <f>IF(AND(3&gt;=E20,OR(F20="",3&lt;=F20)),1,0)+IF(AND(3&gt;=E35,OR(F35="",3&lt;=F35)),1,0)+IF(AND(3&gt;=E41,OR(F41="",3&lt;=F41)),1,0)</f>
        <v/>
      </c>
      <c r="J49" s="14">
        <f>IF(AND(4&gt;=E20,OR(F20="",4&lt;=F20)),1,0)+IF(AND(4&gt;=E35,OR(F35="",4&lt;=F35)),1,0)+IF(AND(4&gt;=E41,OR(F41="",4&lt;=F41)),1,0)</f>
        <v/>
      </c>
      <c r="K49" s="14">
        <f>IF(AND(5&gt;=E20,OR(F20="",5&lt;=F20)),1,0)+IF(AND(5&gt;=E35,OR(F35="",5&lt;=F35)),1,0)+IF(AND(5&gt;=E41,OR(F41="",5&lt;=F41)),1,0)</f>
        <v/>
      </c>
      <c r="L49" s="14">
        <f>IF(AND(6&gt;=E20,OR(F20="",6&lt;=F20)),1,0)+IF(AND(6&gt;=E35,OR(F35="",6&lt;=F35)),1,0)+IF(AND(6&gt;=E41,OR(F41="",6&lt;=F41)),1,0)</f>
        <v/>
      </c>
      <c r="M49" s="14">
        <f>IF(AND(7&gt;=E20,OR(F20="",7&lt;=F20)),1,0)+IF(AND(7&gt;=E35,OR(F35="",7&lt;=F35)),1,0)+IF(AND(7&gt;=E41,OR(F41="",7&lt;=F41)),1,0)</f>
        <v/>
      </c>
      <c r="N49" s="14">
        <f>IF(AND(8&gt;=E20,OR(F20="",8&lt;=F20)),1,0)+IF(AND(8&gt;=E35,OR(F35="",8&lt;=F35)),1,0)+IF(AND(8&gt;=E41,OR(F41="",8&lt;=F41)),1,0)</f>
        <v/>
      </c>
      <c r="O49" s="14">
        <f>IF(AND(9&gt;=E20,OR(F20="",9&lt;=F20)),1,0)+IF(AND(9&gt;=E35,OR(F35="",9&lt;=F35)),1,0)+IF(AND(9&gt;=E41,OR(F41="",9&lt;=F41)),1,0)</f>
        <v/>
      </c>
      <c r="P49" s="14">
        <f>IF(AND(10&gt;=E20,OR(F20="",10&lt;=F20)),1,0)+IF(AND(10&gt;=E35,OR(F35="",10&lt;=F35)),1,0)+IF(AND(10&gt;=E41,OR(F41="",10&lt;=F41)),1,0)</f>
        <v/>
      </c>
      <c r="Q49" s="14">
        <f>IF(AND(11&gt;=E20,OR(F20="",11&lt;=F20)),1,0)+IF(AND(11&gt;=E35,OR(F35="",11&lt;=F35)),1,0)+IF(AND(11&gt;=E41,OR(F41="",11&lt;=F41)),1,0)</f>
        <v/>
      </c>
      <c r="R49" s="14">
        <f>IF(AND(12&gt;=E20,OR(F20="",12&lt;=F20)),1,0)+IF(AND(12&gt;=E35,OR(F35="",12&lt;=F35)),1,0)+IF(AND(12&gt;=E41,OR(F41="",12&lt;=F41)),1,0)</f>
        <v/>
      </c>
      <c r="S49" s="14">
        <f>IF(AND(13&gt;=E20,OR(F20="",13&lt;=F20)),1,0)+IF(AND(13&gt;=E35,OR(F35="",13&lt;=F35)),1,0)+IF(AND(13&gt;=E41,OR(F41="",13&lt;=F41)),1,0)</f>
        <v/>
      </c>
      <c r="T49" s="14">
        <f>IF(AND(14&gt;=E20,OR(F20="",14&lt;=F20)),1,0)+IF(AND(14&gt;=E35,OR(F35="",14&lt;=F35)),1,0)+IF(AND(14&gt;=E41,OR(F41="",14&lt;=F41)),1,0)</f>
        <v/>
      </c>
      <c r="U49" s="14">
        <f>IF(AND(15&gt;=E20,OR(F20="",15&lt;=F20)),1,0)+IF(AND(15&gt;=E35,OR(F35="",15&lt;=F35)),1,0)+IF(AND(15&gt;=E41,OR(F41="",15&lt;=F41)),1,0)</f>
        <v/>
      </c>
      <c r="V49" s="14">
        <f>IF(AND(16&gt;=E20,OR(F20="",16&lt;=F20)),1,0)+IF(AND(16&gt;=E35,OR(F35="",16&lt;=F35)),1,0)+IF(AND(16&gt;=E41,OR(F41="",16&lt;=F41)),1,0)</f>
        <v/>
      </c>
      <c r="W49" s="14">
        <f>IF(AND(17&gt;=E20,OR(F20="",17&lt;=F20)),1,0)+IF(AND(17&gt;=E35,OR(F35="",17&lt;=F35)),1,0)+IF(AND(17&gt;=E41,OR(F41="",17&lt;=F41)),1,0)</f>
        <v/>
      </c>
      <c r="X49" s="14">
        <f>IF(AND(18&gt;=E20,OR(F20="",18&lt;=F20)),1,0)+IF(AND(18&gt;=E35,OR(F35="",18&lt;=F35)),1,0)+IF(AND(18&gt;=E41,OR(F41="",18&lt;=F41)),1,0)</f>
        <v/>
      </c>
      <c r="Y49" s="14">
        <f>IF(AND(19&gt;=E20,OR(F20="",19&lt;=F20)),1,0)+IF(AND(19&gt;=E35,OR(F35="",19&lt;=F35)),1,0)+IF(AND(19&gt;=E41,OR(F41="",19&lt;=F41)),1,0)</f>
        <v/>
      </c>
      <c r="Z49" s="14">
        <f>IF(AND(20&gt;=E20,OR(F20="",20&lt;=F20)),1,0)+IF(AND(20&gt;=E35,OR(F35="",20&lt;=F35)),1,0)+IF(AND(20&gt;=E41,OR(F41="",20&lt;=F41)),1,0)</f>
        <v/>
      </c>
      <c r="AA49" s="14">
        <f>IF(AND(21&gt;=E20,OR(F20="",21&lt;=F20)),1,0)+IF(AND(21&gt;=E35,OR(F35="",21&lt;=F35)),1,0)+IF(AND(21&gt;=E41,OR(F41="",21&lt;=F41)),1,0)</f>
        <v/>
      </c>
      <c r="AB49" s="14">
        <f>IF(AND(22&gt;=E20,OR(F20="",22&lt;=F20)),1,0)+IF(AND(22&gt;=E35,OR(F35="",22&lt;=F35)),1,0)+IF(AND(22&gt;=E41,OR(F41="",22&lt;=F41)),1,0)</f>
        <v/>
      </c>
      <c r="AC49" s="14">
        <f>IF(AND(23&gt;=E20,OR(F20="",23&lt;=F20)),1,0)+IF(AND(23&gt;=E35,OR(F35="",23&lt;=F35)),1,0)+IF(AND(23&gt;=E41,OR(F41="",23&lt;=F41)),1,0)</f>
        <v/>
      </c>
      <c r="AD49" s="14">
        <f>IF(AND(24&gt;=E20,OR(F20="",24&lt;=F20)),1,0)+IF(AND(24&gt;=E35,OR(F35="",24&lt;=F35)),1,0)+IF(AND(24&gt;=E41,OR(F41="",24&lt;=F41)),1,0)</f>
        <v/>
      </c>
      <c r="AE49" s="14">
        <f>IF(AND(25&gt;=E20,OR(F20="",25&lt;=F20)),1,0)+IF(AND(25&gt;=E35,OR(F35="",25&lt;=F35)),1,0)+IF(AND(25&gt;=E41,OR(F41="",25&lt;=F41)),1,0)</f>
        <v/>
      </c>
      <c r="AF49" s="14">
        <f>IF(AND(26&gt;=E20,OR(F20="",26&lt;=F20)),1,0)+IF(AND(26&gt;=E35,OR(F35="",26&lt;=F35)),1,0)+IF(AND(26&gt;=E41,OR(F41="",26&lt;=F41)),1,0)</f>
        <v/>
      </c>
      <c r="AG49" s="14">
        <f>IF(AND(27&gt;=E20,OR(F20="",27&lt;=F20)),1,0)+IF(AND(27&gt;=E35,OR(F35="",27&lt;=F35)),1,0)+IF(AND(27&gt;=E41,OR(F41="",27&lt;=F41)),1,0)</f>
        <v/>
      </c>
      <c r="AH49" s="14">
        <f>IF(AND(28&gt;=E20,OR(F20="",28&lt;=F20)),1,0)+IF(AND(28&gt;=E35,OR(F35="",28&lt;=F35)),1,0)+IF(AND(28&gt;=E41,OR(F41="",28&lt;=F41)),1,0)</f>
        <v/>
      </c>
      <c r="AI49" s="14">
        <f>IF(AND(29&gt;=E20,OR(F20="",29&lt;=F20)),1,0)+IF(AND(29&gt;=E35,OR(F35="",29&lt;=F35)),1,0)+IF(AND(29&gt;=E41,OR(F41="",29&lt;=F41)),1,0)</f>
        <v/>
      </c>
      <c r="AJ49" s="14">
        <f>IF(AND(30&gt;=E20,OR(F20="",30&lt;=F20)),1,0)+IF(AND(30&gt;=E35,OR(F35="",30&lt;=F35)),1,0)+IF(AND(30&gt;=E41,OR(F41="",30&lt;=F41)),1,0)</f>
        <v/>
      </c>
      <c r="AK49" s="14">
        <f>IF(AND(31&gt;=E20,OR(F20="",31&lt;=F20)),1,0)+IF(AND(31&gt;=E35,OR(F35="",31&lt;=F35)),1,0)+IF(AND(31&gt;=E41,OR(F41="",31&lt;=F41)),1,0)</f>
        <v/>
      </c>
      <c r="AL49" s="14">
        <f>IF(AND(32&gt;=E20,OR(F20="",32&lt;=F20)),1,0)+IF(AND(32&gt;=E35,OR(F35="",32&lt;=F35)),1,0)+IF(AND(32&gt;=E41,OR(F41="",32&lt;=F41)),1,0)</f>
        <v/>
      </c>
      <c r="AM49" s="14">
        <f>IF(AND(33&gt;=E20,OR(F20="",33&lt;=F20)),1,0)+IF(AND(33&gt;=E35,OR(F35="",33&lt;=F35)),1,0)+IF(AND(33&gt;=E41,OR(F41="",33&lt;=F41)),1,0)</f>
        <v/>
      </c>
      <c r="AN49" s="14">
        <f>IF(AND(34&gt;=E20,OR(F20="",34&lt;=F20)),1,0)+IF(AND(34&gt;=E35,OR(F35="",34&lt;=F35)),1,0)+IF(AND(34&gt;=E41,OR(F41="",34&lt;=F41)),1,0)</f>
        <v/>
      </c>
      <c r="AO49" s="14">
        <f>IF(AND(35&gt;=E20,OR(F20="",35&lt;=F20)),1,0)+IF(AND(35&gt;=E35,OR(F35="",35&lt;=F35)),1,0)+IF(AND(35&gt;=E41,OR(F41="",35&lt;=F41)),1,0)</f>
        <v/>
      </c>
      <c r="AP49" s="14">
        <f>IF(AND(36&gt;=E20,OR(F20="",36&lt;=F20)),1,0)+IF(AND(36&gt;=E35,OR(F35="",36&lt;=F35)),1,0)+IF(AND(36&gt;=E41,OR(F41="",36&lt;=F41)),1,0)</f>
        <v/>
      </c>
      <c r="AQ49" s="14">
        <f>IF(AND(37&gt;=E20,OR(F20="",37&lt;=F20)),1,0)+IF(AND(37&gt;=E35,OR(F35="",37&lt;=F35)),1,0)+IF(AND(37&gt;=E41,OR(F41="",37&lt;=F41)),1,0)</f>
        <v/>
      </c>
      <c r="AR49" s="14">
        <f>IF(AND(38&gt;=E20,OR(F20="",38&lt;=F20)),1,0)+IF(AND(38&gt;=E35,OR(F35="",38&lt;=F35)),1,0)+IF(AND(38&gt;=E41,OR(F41="",38&lt;=F41)),1,0)</f>
        <v/>
      </c>
      <c r="AS49" s="14">
        <f>IF(AND(39&gt;=E20,OR(F20="",39&lt;=F20)),1,0)+IF(AND(39&gt;=E35,OR(F35="",39&lt;=F35)),1,0)+IF(AND(39&gt;=E41,OR(F41="",39&lt;=F41)),1,0)</f>
        <v/>
      </c>
      <c r="AT49" s="14">
        <f>IF(AND(40&gt;=E20,OR(F20="",40&lt;=F20)),1,0)+IF(AND(40&gt;=E35,OR(F35="",40&lt;=F35)),1,0)+IF(AND(40&gt;=E41,OR(F41="",40&lt;=F41)),1,0)</f>
        <v/>
      </c>
      <c r="AU49" s="14">
        <f>IF(AND(41&gt;=E20,OR(F20="",41&lt;=F20)),1,0)+IF(AND(41&gt;=E35,OR(F35="",41&lt;=F35)),1,0)+IF(AND(41&gt;=E41,OR(F41="",41&lt;=F41)),1,0)</f>
        <v/>
      </c>
      <c r="AV49" s="14">
        <f>IF(AND(42&gt;=E20,OR(F20="",42&lt;=F20)),1,0)+IF(AND(42&gt;=E35,OR(F35="",42&lt;=F35)),1,0)+IF(AND(42&gt;=E41,OR(F41="",42&lt;=F41)),1,0)</f>
        <v/>
      </c>
      <c r="AW49" s="14">
        <f>IF(AND(43&gt;=E20,OR(F20="",43&lt;=F20)),1,0)+IF(AND(43&gt;=E35,OR(F35="",43&lt;=F35)),1,0)+IF(AND(43&gt;=E41,OR(F41="",43&lt;=F41)),1,0)</f>
        <v/>
      </c>
      <c r="AX49" s="14">
        <f>IF(AND(44&gt;=E20,OR(F20="",44&lt;=F20)),1,0)+IF(AND(44&gt;=E35,OR(F35="",44&lt;=F35)),1,0)+IF(AND(44&gt;=E41,OR(F41="",44&lt;=F41)),1,0)</f>
        <v/>
      </c>
      <c r="AY49" s="14">
        <f>IF(AND(45&gt;=E20,OR(F20="",45&lt;=F20)),1,0)+IF(AND(45&gt;=E35,OR(F35="",45&lt;=F35)),1,0)+IF(AND(45&gt;=E41,OR(F41="",45&lt;=F41)),1,0)</f>
        <v/>
      </c>
      <c r="AZ49" s="14">
        <f>IF(AND(46&gt;=E20,OR(F20="",46&lt;=F20)),1,0)+IF(AND(46&gt;=E35,OR(F35="",46&lt;=F35)),1,0)+IF(AND(46&gt;=E41,OR(F41="",46&lt;=F41)),1,0)</f>
        <v/>
      </c>
      <c r="BA49" s="14">
        <f>IF(AND(47&gt;=E20,OR(F20="",47&lt;=F20)),1,0)+IF(AND(47&gt;=E35,OR(F35="",47&lt;=F35)),1,0)+IF(AND(47&gt;=E41,OR(F41="",47&lt;=F41)),1,0)</f>
        <v/>
      </c>
      <c r="BB49" s="14">
        <f>IF(AND(48&gt;=E20,OR(F20="",48&lt;=F20)),1,0)+IF(AND(48&gt;=E35,OR(F35="",48&lt;=F35)),1,0)+IF(AND(48&gt;=E41,OR(F41="",48&lt;=F41)),1,0)</f>
        <v/>
      </c>
      <c r="BC49" s="14">
        <f>IF(AND(49&gt;=E20,OR(F20="",49&lt;=F20)),1,0)+IF(AND(49&gt;=E35,OR(F35="",49&lt;=F35)),1,0)+IF(AND(49&gt;=E41,OR(F41="",49&lt;=F41)),1,0)</f>
        <v/>
      </c>
      <c r="BD49" s="14">
        <f>IF(AND(50&gt;=E20,OR(F20="",50&lt;=F20)),1,0)+IF(AND(50&gt;=E35,OR(F35="",50&lt;=F35)),1,0)+IF(AND(50&gt;=E41,OR(F41="",50&lt;=F41)),1,0)</f>
        <v/>
      </c>
      <c r="BE49" s="14">
        <f>IF(AND(51&gt;=E20,OR(F20="",51&lt;=F20)),1,0)+IF(AND(51&gt;=E35,OR(F35="",51&lt;=F35)),1,0)+IF(AND(51&gt;=E41,OR(F41="",51&lt;=F41)),1,0)</f>
        <v/>
      </c>
      <c r="BF49" s="14">
        <f>IF(AND(52&gt;=E20,OR(F20="",52&lt;=F20)),1,0)+IF(AND(52&gt;=E35,OR(F35="",52&lt;=F35)),1,0)+IF(AND(52&gt;=E41,OR(F41="",52&lt;=F41)),1,0)</f>
        <v/>
      </c>
      <c r="BG49" s="14">
        <f>IF(AND(53&gt;=E20,OR(F20="",53&lt;=F20)),1,0)+IF(AND(53&gt;=E35,OR(F35="",53&lt;=F35)),1,0)+IF(AND(53&gt;=E41,OR(F41="",53&lt;=F41)),1,0)</f>
        <v/>
      </c>
      <c r="BH49" s="14">
        <f>IF(AND(54&gt;=E20,OR(F20="",54&lt;=F20)),1,0)+IF(AND(54&gt;=E35,OR(F35="",54&lt;=F35)),1,0)+IF(AND(54&gt;=E41,OR(F41="",54&lt;=F41)),1,0)</f>
        <v/>
      </c>
      <c r="BI49" s="14">
        <f>IF(AND(55&gt;=E20,OR(F20="",55&lt;=F20)),1,0)+IF(AND(55&gt;=E35,OR(F35="",55&lt;=F35)),1,0)+IF(AND(55&gt;=E41,OR(F41="",55&lt;=F41)),1,0)</f>
        <v/>
      </c>
      <c r="BJ49" s="14">
        <f>IF(AND(56&gt;=E20,OR(F20="",56&lt;=F20)),1,0)+IF(AND(56&gt;=E35,OR(F35="",56&lt;=F35)),1,0)+IF(AND(56&gt;=E41,OR(F41="",56&lt;=F41)),1,0)</f>
        <v/>
      </c>
      <c r="BK49" s="14">
        <f>IF(AND(57&gt;=E20,OR(F20="",57&lt;=F20)),1,0)+IF(AND(57&gt;=E35,OR(F35="",57&lt;=F35)),1,0)+IF(AND(57&gt;=E41,OR(F41="",57&lt;=F41)),1,0)</f>
        <v/>
      </c>
      <c r="BL49" s="14">
        <f>IF(AND(58&gt;=E20,OR(F20="",58&lt;=F20)),1,0)+IF(AND(58&gt;=E35,OR(F35="",58&lt;=F35)),1,0)+IF(AND(58&gt;=E41,OR(F41="",58&lt;=F41)),1,0)</f>
        <v/>
      </c>
      <c r="BM49" s="14">
        <f>IF(AND(59&gt;=E20,OR(F20="",59&lt;=F20)),1,0)+IF(AND(59&gt;=E35,OR(F35="",59&lt;=F35)),1,0)+IF(AND(59&gt;=E41,OR(F41="",59&lt;=F41)),1,0)</f>
        <v/>
      </c>
      <c r="BN49" s="14">
        <f>IF(AND(60&gt;=E20,OR(F20="",60&lt;=F20)),1,0)+IF(AND(60&gt;=E35,OR(F35="",60&lt;=F35)),1,0)+IF(AND(60&gt;=E41,OR(F41="",60&lt;=F41)),1,0)</f>
        <v/>
      </c>
    </row>
    <row r="50">
      <c r="B50" s="5" t="inlineStr">
        <is>
          <t>Design</t>
        </is>
      </c>
      <c r="G50" s="14">
        <f>IF(AND(1&gt;=E9,OR(F9="",1&lt;=F9)),1,0)+IF(AND(1&gt;=E23,OR(F23="",1&lt;=F23)),1,0)+IF(AND(1&gt;=E31,OR(F31="",1&lt;=F31)),1,0)</f>
        <v/>
      </c>
      <c r="H50" s="14">
        <f>IF(AND(2&gt;=E9,OR(F9="",2&lt;=F9)),1,0)+IF(AND(2&gt;=E23,OR(F23="",2&lt;=F23)),1,0)+IF(AND(2&gt;=E31,OR(F31="",2&lt;=F31)),1,0)</f>
        <v/>
      </c>
      <c r="I50" s="14">
        <f>IF(AND(3&gt;=E9,OR(F9="",3&lt;=F9)),1,0)+IF(AND(3&gt;=E23,OR(F23="",3&lt;=F23)),1,0)+IF(AND(3&gt;=E31,OR(F31="",3&lt;=F31)),1,0)</f>
        <v/>
      </c>
      <c r="J50" s="14">
        <f>IF(AND(4&gt;=E9,OR(F9="",4&lt;=F9)),1,0)+IF(AND(4&gt;=E23,OR(F23="",4&lt;=F23)),1,0)+IF(AND(4&gt;=E31,OR(F31="",4&lt;=F31)),1,0)</f>
        <v/>
      </c>
      <c r="K50" s="14">
        <f>IF(AND(5&gt;=E9,OR(F9="",5&lt;=F9)),1,0)+IF(AND(5&gt;=E23,OR(F23="",5&lt;=F23)),1,0)+IF(AND(5&gt;=E31,OR(F31="",5&lt;=F31)),1,0)</f>
        <v/>
      </c>
      <c r="L50" s="14">
        <f>IF(AND(6&gt;=E9,OR(F9="",6&lt;=F9)),1,0)+IF(AND(6&gt;=E23,OR(F23="",6&lt;=F23)),1,0)+IF(AND(6&gt;=E31,OR(F31="",6&lt;=F31)),1,0)</f>
        <v/>
      </c>
      <c r="M50" s="14">
        <f>IF(AND(7&gt;=E9,OR(F9="",7&lt;=F9)),1,0)+IF(AND(7&gt;=E23,OR(F23="",7&lt;=F23)),1,0)+IF(AND(7&gt;=E31,OR(F31="",7&lt;=F31)),1,0)</f>
        <v/>
      </c>
      <c r="N50" s="14">
        <f>IF(AND(8&gt;=E9,OR(F9="",8&lt;=F9)),1,0)+IF(AND(8&gt;=E23,OR(F23="",8&lt;=F23)),1,0)+IF(AND(8&gt;=E31,OR(F31="",8&lt;=F31)),1,0)</f>
        <v/>
      </c>
      <c r="O50" s="14">
        <f>IF(AND(9&gt;=E9,OR(F9="",9&lt;=F9)),1,0)+IF(AND(9&gt;=E23,OR(F23="",9&lt;=F23)),1,0)+IF(AND(9&gt;=E31,OR(F31="",9&lt;=F31)),1,0)</f>
        <v/>
      </c>
      <c r="P50" s="14">
        <f>IF(AND(10&gt;=E9,OR(F9="",10&lt;=F9)),1,0)+IF(AND(10&gt;=E23,OR(F23="",10&lt;=F23)),1,0)+IF(AND(10&gt;=E31,OR(F31="",10&lt;=F31)),1,0)</f>
        <v/>
      </c>
      <c r="Q50" s="14">
        <f>IF(AND(11&gt;=E9,OR(F9="",11&lt;=F9)),1,0)+IF(AND(11&gt;=E23,OR(F23="",11&lt;=F23)),1,0)+IF(AND(11&gt;=E31,OR(F31="",11&lt;=F31)),1,0)</f>
        <v/>
      </c>
      <c r="R50" s="14">
        <f>IF(AND(12&gt;=E9,OR(F9="",12&lt;=F9)),1,0)+IF(AND(12&gt;=E23,OR(F23="",12&lt;=F23)),1,0)+IF(AND(12&gt;=E31,OR(F31="",12&lt;=F31)),1,0)</f>
        <v/>
      </c>
      <c r="S50" s="14">
        <f>IF(AND(13&gt;=E9,OR(F9="",13&lt;=F9)),1,0)+IF(AND(13&gt;=E23,OR(F23="",13&lt;=F23)),1,0)+IF(AND(13&gt;=E31,OR(F31="",13&lt;=F31)),1,0)</f>
        <v/>
      </c>
      <c r="T50" s="14">
        <f>IF(AND(14&gt;=E9,OR(F9="",14&lt;=F9)),1,0)+IF(AND(14&gt;=E23,OR(F23="",14&lt;=F23)),1,0)+IF(AND(14&gt;=E31,OR(F31="",14&lt;=F31)),1,0)</f>
        <v/>
      </c>
      <c r="U50" s="14">
        <f>IF(AND(15&gt;=E9,OR(F9="",15&lt;=F9)),1,0)+IF(AND(15&gt;=E23,OR(F23="",15&lt;=F23)),1,0)+IF(AND(15&gt;=E31,OR(F31="",15&lt;=F31)),1,0)</f>
        <v/>
      </c>
      <c r="V50" s="14">
        <f>IF(AND(16&gt;=E9,OR(F9="",16&lt;=F9)),1,0)+IF(AND(16&gt;=E23,OR(F23="",16&lt;=F23)),1,0)+IF(AND(16&gt;=E31,OR(F31="",16&lt;=F31)),1,0)</f>
        <v/>
      </c>
      <c r="W50" s="14">
        <f>IF(AND(17&gt;=E9,OR(F9="",17&lt;=F9)),1,0)+IF(AND(17&gt;=E23,OR(F23="",17&lt;=F23)),1,0)+IF(AND(17&gt;=E31,OR(F31="",17&lt;=F31)),1,0)</f>
        <v/>
      </c>
      <c r="X50" s="14">
        <f>IF(AND(18&gt;=E9,OR(F9="",18&lt;=F9)),1,0)+IF(AND(18&gt;=E23,OR(F23="",18&lt;=F23)),1,0)+IF(AND(18&gt;=E31,OR(F31="",18&lt;=F31)),1,0)</f>
        <v/>
      </c>
      <c r="Y50" s="14">
        <f>IF(AND(19&gt;=E9,OR(F9="",19&lt;=F9)),1,0)+IF(AND(19&gt;=E23,OR(F23="",19&lt;=F23)),1,0)+IF(AND(19&gt;=E31,OR(F31="",19&lt;=F31)),1,0)</f>
        <v/>
      </c>
      <c r="Z50" s="14">
        <f>IF(AND(20&gt;=E9,OR(F9="",20&lt;=F9)),1,0)+IF(AND(20&gt;=E23,OR(F23="",20&lt;=F23)),1,0)+IF(AND(20&gt;=E31,OR(F31="",20&lt;=F31)),1,0)</f>
        <v/>
      </c>
      <c r="AA50" s="14">
        <f>IF(AND(21&gt;=E9,OR(F9="",21&lt;=F9)),1,0)+IF(AND(21&gt;=E23,OR(F23="",21&lt;=F23)),1,0)+IF(AND(21&gt;=E31,OR(F31="",21&lt;=F31)),1,0)</f>
        <v/>
      </c>
      <c r="AB50" s="14">
        <f>IF(AND(22&gt;=E9,OR(F9="",22&lt;=F9)),1,0)+IF(AND(22&gt;=E23,OR(F23="",22&lt;=F23)),1,0)+IF(AND(22&gt;=E31,OR(F31="",22&lt;=F31)),1,0)</f>
        <v/>
      </c>
      <c r="AC50" s="14">
        <f>IF(AND(23&gt;=E9,OR(F9="",23&lt;=F9)),1,0)+IF(AND(23&gt;=E23,OR(F23="",23&lt;=F23)),1,0)+IF(AND(23&gt;=E31,OR(F31="",23&lt;=F31)),1,0)</f>
        <v/>
      </c>
      <c r="AD50" s="14">
        <f>IF(AND(24&gt;=E9,OR(F9="",24&lt;=F9)),1,0)+IF(AND(24&gt;=E23,OR(F23="",24&lt;=F23)),1,0)+IF(AND(24&gt;=E31,OR(F31="",24&lt;=F31)),1,0)</f>
        <v/>
      </c>
      <c r="AE50" s="14">
        <f>IF(AND(25&gt;=E9,OR(F9="",25&lt;=F9)),1,0)+IF(AND(25&gt;=E23,OR(F23="",25&lt;=F23)),1,0)+IF(AND(25&gt;=E31,OR(F31="",25&lt;=F31)),1,0)</f>
        <v/>
      </c>
      <c r="AF50" s="14">
        <f>IF(AND(26&gt;=E9,OR(F9="",26&lt;=F9)),1,0)+IF(AND(26&gt;=E23,OR(F23="",26&lt;=F23)),1,0)+IF(AND(26&gt;=E31,OR(F31="",26&lt;=F31)),1,0)</f>
        <v/>
      </c>
      <c r="AG50" s="14">
        <f>IF(AND(27&gt;=E9,OR(F9="",27&lt;=F9)),1,0)+IF(AND(27&gt;=E23,OR(F23="",27&lt;=F23)),1,0)+IF(AND(27&gt;=E31,OR(F31="",27&lt;=F31)),1,0)</f>
        <v/>
      </c>
      <c r="AH50" s="14">
        <f>IF(AND(28&gt;=E9,OR(F9="",28&lt;=F9)),1,0)+IF(AND(28&gt;=E23,OR(F23="",28&lt;=F23)),1,0)+IF(AND(28&gt;=E31,OR(F31="",28&lt;=F31)),1,0)</f>
        <v/>
      </c>
      <c r="AI50" s="14">
        <f>IF(AND(29&gt;=E9,OR(F9="",29&lt;=F9)),1,0)+IF(AND(29&gt;=E23,OR(F23="",29&lt;=F23)),1,0)+IF(AND(29&gt;=E31,OR(F31="",29&lt;=F31)),1,0)</f>
        <v/>
      </c>
      <c r="AJ50" s="14">
        <f>IF(AND(30&gt;=E9,OR(F9="",30&lt;=F9)),1,0)+IF(AND(30&gt;=E23,OR(F23="",30&lt;=F23)),1,0)+IF(AND(30&gt;=E31,OR(F31="",30&lt;=F31)),1,0)</f>
        <v/>
      </c>
      <c r="AK50" s="14">
        <f>IF(AND(31&gt;=E9,OR(F9="",31&lt;=F9)),1,0)+IF(AND(31&gt;=E23,OR(F23="",31&lt;=F23)),1,0)+IF(AND(31&gt;=E31,OR(F31="",31&lt;=F31)),1,0)</f>
        <v/>
      </c>
      <c r="AL50" s="14">
        <f>IF(AND(32&gt;=E9,OR(F9="",32&lt;=F9)),1,0)+IF(AND(32&gt;=E23,OR(F23="",32&lt;=F23)),1,0)+IF(AND(32&gt;=E31,OR(F31="",32&lt;=F31)),1,0)</f>
        <v/>
      </c>
      <c r="AM50" s="14">
        <f>IF(AND(33&gt;=E9,OR(F9="",33&lt;=F9)),1,0)+IF(AND(33&gt;=E23,OR(F23="",33&lt;=F23)),1,0)+IF(AND(33&gt;=E31,OR(F31="",33&lt;=F31)),1,0)</f>
        <v/>
      </c>
      <c r="AN50" s="14">
        <f>IF(AND(34&gt;=E9,OR(F9="",34&lt;=F9)),1,0)+IF(AND(34&gt;=E23,OR(F23="",34&lt;=F23)),1,0)+IF(AND(34&gt;=E31,OR(F31="",34&lt;=F31)),1,0)</f>
        <v/>
      </c>
      <c r="AO50" s="14">
        <f>IF(AND(35&gt;=E9,OR(F9="",35&lt;=F9)),1,0)+IF(AND(35&gt;=E23,OR(F23="",35&lt;=F23)),1,0)+IF(AND(35&gt;=E31,OR(F31="",35&lt;=F31)),1,0)</f>
        <v/>
      </c>
      <c r="AP50" s="14">
        <f>IF(AND(36&gt;=E9,OR(F9="",36&lt;=F9)),1,0)+IF(AND(36&gt;=E23,OR(F23="",36&lt;=F23)),1,0)+IF(AND(36&gt;=E31,OR(F31="",36&lt;=F31)),1,0)</f>
        <v/>
      </c>
      <c r="AQ50" s="14">
        <f>IF(AND(37&gt;=E9,OR(F9="",37&lt;=F9)),1,0)+IF(AND(37&gt;=E23,OR(F23="",37&lt;=F23)),1,0)+IF(AND(37&gt;=E31,OR(F31="",37&lt;=F31)),1,0)</f>
        <v/>
      </c>
      <c r="AR50" s="14">
        <f>IF(AND(38&gt;=E9,OR(F9="",38&lt;=F9)),1,0)+IF(AND(38&gt;=E23,OR(F23="",38&lt;=F23)),1,0)+IF(AND(38&gt;=E31,OR(F31="",38&lt;=F31)),1,0)</f>
        <v/>
      </c>
      <c r="AS50" s="14">
        <f>IF(AND(39&gt;=E9,OR(F9="",39&lt;=F9)),1,0)+IF(AND(39&gt;=E23,OR(F23="",39&lt;=F23)),1,0)+IF(AND(39&gt;=E31,OR(F31="",39&lt;=F31)),1,0)</f>
        <v/>
      </c>
      <c r="AT50" s="14">
        <f>IF(AND(40&gt;=E9,OR(F9="",40&lt;=F9)),1,0)+IF(AND(40&gt;=E23,OR(F23="",40&lt;=F23)),1,0)+IF(AND(40&gt;=E31,OR(F31="",40&lt;=F31)),1,0)</f>
        <v/>
      </c>
      <c r="AU50" s="14">
        <f>IF(AND(41&gt;=E9,OR(F9="",41&lt;=F9)),1,0)+IF(AND(41&gt;=E23,OR(F23="",41&lt;=F23)),1,0)+IF(AND(41&gt;=E31,OR(F31="",41&lt;=F31)),1,0)</f>
        <v/>
      </c>
      <c r="AV50" s="14">
        <f>IF(AND(42&gt;=E9,OR(F9="",42&lt;=F9)),1,0)+IF(AND(42&gt;=E23,OR(F23="",42&lt;=F23)),1,0)+IF(AND(42&gt;=E31,OR(F31="",42&lt;=F31)),1,0)</f>
        <v/>
      </c>
      <c r="AW50" s="14">
        <f>IF(AND(43&gt;=E9,OR(F9="",43&lt;=F9)),1,0)+IF(AND(43&gt;=E23,OR(F23="",43&lt;=F23)),1,0)+IF(AND(43&gt;=E31,OR(F31="",43&lt;=F31)),1,0)</f>
        <v/>
      </c>
      <c r="AX50" s="14">
        <f>IF(AND(44&gt;=E9,OR(F9="",44&lt;=F9)),1,0)+IF(AND(44&gt;=E23,OR(F23="",44&lt;=F23)),1,0)+IF(AND(44&gt;=E31,OR(F31="",44&lt;=F31)),1,0)</f>
        <v/>
      </c>
      <c r="AY50" s="14">
        <f>IF(AND(45&gt;=E9,OR(F9="",45&lt;=F9)),1,0)+IF(AND(45&gt;=E23,OR(F23="",45&lt;=F23)),1,0)+IF(AND(45&gt;=E31,OR(F31="",45&lt;=F31)),1,0)</f>
        <v/>
      </c>
      <c r="AZ50" s="14">
        <f>IF(AND(46&gt;=E9,OR(F9="",46&lt;=F9)),1,0)+IF(AND(46&gt;=E23,OR(F23="",46&lt;=F23)),1,0)+IF(AND(46&gt;=E31,OR(F31="",46&lt;=F31)),1,0)</f>
        <v/>
      </c>
      <c r="BA50" s="14">
        <f>IF(AND(47&gt;=E9,OR(F9="",47&lt;=F9)),1,0)+IF(AND(47&gt;=E23,OR(F23="",47&lt;=F23)),1,0)+IF(AND(47&gt;=E31,OR(F31="",47&lt;=F31)),1,0)</f>
        <v/>
      </c>
      <c r="BB50" s="14">
        <f>IF(AND(48&gt;=E9,OR(F9="",48&lt;=F9)),1,0)+IF(AND(48&gt;=E23,OR(F23="",48&lt;=F23)),1,0)+IF(AND(48&gt;=E31,OR(F31="",48&lt;=F31)),1,0)</f>
        <v/>
      </c>
      <c r="BC50" s="14">
        <f>IF(AND(49&gt;=E9,OR(F9="",49&lt;=F9)),1,0)+IF(AND(49&gt;=E23,OR(F23="",49&lt;=F23)),1,0)+IF(AND(49&gt;=E31,OR(F31="",49&lt;=F31)),1,0)</f>
        <v/>
      </c>
      <c r="BD50" s="14">
        <f>IF(AND(50&gt;=E9,OR(F9="",50&lt;=F9)),1,0)+IF(AND(50&gt;=E23,OR(F23="",50&lt;=F23)),1,0)+IF(AND(50&gt;=E31,OR(F31="",50&lt;=F31)),1,0)</f>
        <v/>
      </c>
      <c r="BE50" s="14">
        <f>IF(AND(51&gt;=E9,OR(F9="",51&lt;=F9)),1,0)+IF(AND(51&gt;=E23,OR(F23="",51&lt;=F23)),1,0)+IF(AND(51&gt;=E31,OR(F31="",51&lt;=F31)),1,0)</f>
        <v/>
      </c>
      <c r="BF50" s="14">
        <f>IF(AND(52&gt;=E9,OR(F9="",52&lt;=F9)),1,0)+IF(AND(52&gt;=E23,OR(F23="",52&lt;=F23)),1,0)+IF(AND(52&gt;=E31,OR(F31="",52&lt;=F31)),1,0)</f>
        <v/>
      </c>
      <c r="BG50" s="14">
        <f>IF(AND(53&gt;=E9,OR(F9="",53&lt;=F9)),1,0)+IF(AND(53&gt;=E23,OR(F23="",53&lt;=F23)),1,0)+IF(AND(53&gt;=E31,OR(F31="",53&lt;=F31)),1,0)</f>
        <v/>
      </c>
      <c r="BH50" s="14">
        <f>IF(AND(54&gt;=E9,OR(F9="",54&lt;=F9)),1,0)+IF(AND(54&gt;=E23,OR(F23="",54&lt;=F23)),1,0)+IF(AND(54&gt;=E31,OR(F31="",54&lt;=F31)),1,0)</f>
        <v/>
      </c>
      <c r="BI50" s="14">
        <f>IF(AND(55&gt;=E9,OR(F9="",55&lt;=F9)),1,0)+IF(AND(55&gt;=E23,OR(F23="",55&lt;=F23)),1,0)+IF(AND(55&gt;=E31,OR(F31="",55&lt;=F31)),1,0)</f>
        <v/>
      </c>
      <c r="BJ50" s="14">
        <f>IF(AND(56&gt;=E9,OR(F9="",56&lt;=F9)),1,0)+IF(AND(56&gt;=E23,OR(F23="",56&lt;=F23)),1,0)+IF(AND(56&gt;=E31,OR(F31="",56&lt;=F31)),1,0)</f>
        <v/>
      </c>
      <c r="BK50" s="14">
        <f>IF(AND(57&gt;=E9,OR(F9="",57&lt;=F9)),1,0)+IF(AND(57&gt;=E23,OR(F23="",57&lt;=F23)),1,0)+IF(AND(57&gt;=E31,OR(F31="",57&lt;=F31)),1,0)</f>
        <v/>
      </c>
      <c r="BL50" s="14">
        <f>IF(AND(58&gt;=E9,OR(F9="",58&lt;=F9)),1,0)+IF(AND(58&gt;=E23,OR(F23="",58&lt;=F23)),1,0)+IF(AND(58&gt;=E31,OR(F31="",58&lt;=F31)),1,0)</f>
        <v/>
      </c>
      <c r="BM50" s="14">
        <f>IF(AND(59&gt;=E9,OR(F9="",59&lt;=F9)),1,0)+IF(AND(59&gt;=E23,OR(F23="",59&lt;=F23)),1,0)+IF(AND(59&gt;=E31,OR(F31="",59&lt;=F31)),1,0)</f>
        <v/>
      </c>
      <c r="BN50" s="14">
        <f>IF(AND(60&gt;=E9,OR(F9="",60&lt;=F9)),1,0)+IF(AND(60&gt;=E23,OR(F23="",60&lt;=F23)),1,0)+IF(AND(60&gt;=E31,OR(F31="",60&lt;=F31)),1,0)</f>
        <v/>
      </c>
    </row>
    <row r="51">
      <c r="B51" s="5" t="inlineStr">
        <is>
          <t>Growth</t>
        </is>
      </c>
      <c r="G51" s="14">
        <f>IF(AND(1&gt;=E7,OR(F7="",1&lt;=F7)),1,0)+IF(AND(1&gt;=E11,OR(F11="",1&lt;=F11)),1,0)+IF(AND(1&gt;=E15,OR(F15="",1&lt;=F15)),1,0)+IF(AND(1&gt;=E18,OR(F18="",1&lt;=F18)),1,0)+IF(AND(1&gt;=E24,OR(F24="",1&lt;=F24)),1,0)+IF(AND(1&gt;=E30,OR(F30="",1&lt;=F30)),1,0)+IF(AND(1&gt;=E36,OR(F36="",1&lt;=F36)),1,0)</f>
        <v/>
      </c>
      <c r="H51" s="14">
        <f>IF(AND(2&gt;=E7,OR(F7="",2&lt;=F7)),1,0)+IF(AND(2&gt;=E11,OR(F11="",2&lt;=F11)),1,0)+IF(AND(2&gt;=E15,OR(F15="",2&lt;=F15)),1,0)+IF(AND(2&gt;=E18,OR(F18="",2&lt;=F18)),1,0)+IF(AND(2&gt;=E24,OR(F24="",2&lt;=F24)),1,0)+IF(AND(2&gt;=E30,OR(F30="",2&lt;=F30)),1,0)+IF(AND(2&gt;=E36,OR(F36="",2&lt;=F36)),1,0)</f>
        <v/>
      </c>
      <c r="I51" s="14">
        <f>IF(AND(3&gt;=E7,OR(F7="",3&lt;=F7)),1,0)+IF(AND(3&gt;=E11,OR(F11="",3&lt;=F11)),1,0)+IF(AND(3&gt;=E15,OR(F15="",3&lt;=F15)),1,0)+IF(AND(3&gt;=E18,OR(F18="",3&lt;=F18)),1,0)+IF(AND(3&gt;=E24,OR(F24="",3&lt;=F24)),1,0)+IF(AND(3&gt;=E30,OR(F30="",3&lt;=F30)),1,0)+IF(AND(3&gt;=E36,OR(F36="",3&lt;=F36)),1,0)</f>
        <v/>
      </c>
      <c r="J51" s="14">
        <f>IF(AND(4&gt;=E7,OR(F7="",4&lt;=F7)),1,0)+IF(AND(4&gt;=E11,OR(F11="",4&lt;=F11)),1,0)+IF(AND(4&gt;=E15,OR(F15="",4&lt;=F15)),1,0)+IF(AND(4&gt;=E18,OR(F18="",4&lt;=F18)),1,0)+IF(AND(4&gt;=E24,OR(F24="",4&lt;=F24)),1,0)+IF(AND(4&gt;=E30,OR(F30="",4&lt;=F30)),1,0)+IF(AND(4&gt;=E36,OR(F36="",4&lt;=F36)),1,0)</f>
        <v/>
      </c>
      <c r="K51" s="14">
        <f>IF(AND(5&gt;=E7,OR(F7="",5&lt;=F7)),1,0)+IF(AND(5&gt;=E11,OR(F11="",5&lt;=F11)),1,0)+IF(AND(5&gt;=E15,OR(F15="",5&lt;=F15)),1,0)+IF(AND(5&gt;=E18,OR(F18="",5&lt;=F18)),1,0)+IF(AND(5&gt;=E24,OR(F24="",5&lt;=F24)),1,0)+IF(AND(5&gt;=E30,OR(F30="",5&lt;=F30)),1,0)+IF(AND(5&gt;=E36,OR(F36="",5&lt;=F36)),1,0)</f>
        <v/>
      </c>
      <c r="L51" s="14">
        <f>IF(AND(6&gt;=E7,OR(F7="",6&lt;=F7)),1,0)+IF(AND(6&gt;=E11,OR(F11="",6&lt;=F11)),1,0)+IF(AND(6&gt;=E15,OR(F15="",6&lt;=F15)),1,0)+IF(AND(6&gt;=E18,OR(F18="",6&lt;=F18)),1,0)+IF(AND(6&gt;=E24,OR(F24="",6&lt;=F24)),1,0)+IF(AND(6&gt;=E30,OR(F30="",6&lt;=F30)),1,0)+IF(AND(6&gt;=E36,OR(F36="",6&lt;=F36)),1,0)</f>
        <v/>
      </c>
      <c r="M51" s="14">
        <f>IF(AND(7&gt;=E7,OR(F7="",7&lt;=F7)),1,0)+IF(AND(7&gt;=E11,OR(F11="",7&lt;=F11)),1,0)+IF(AND(7&gt;=E15,OR(F15="",7&lt;=F15)),1,0)+IF(AND(7&gt;=E18,OR(F18="",7&lt;=F18)),1,0)+IF(AND(7&gt;=E24,OR(F24="",7&lt;=F24)),1,0)+IF(AND(7&gt;=E30,OR(F30="",7&lt;=F30)),1,0)+IF(AND(7&gt;=E36,OR(F36="",7&lt;=F36)),1,0)</f>
        <v/>
      </c>
      <c r="N51" s="14">
        <f>IF(AND(8&gt;=E7,OR(F7="",8&lt;=F7)),1,0)+IF(AND(8&gt;=E11,OR(F11="",8&lt;=F11)),1,0)+IF(AND(8&gt;=E15,OR(F15="",8&lt;=F15)),1,0)+IF(AND(8&gt;=E18,OR(F18="",8&lt;=F18)),1,0)+IF(AND(8&gt;=E24,OR(F24="",8&lt;=F24)),1,0)+IF(AND(8&gt;=E30,OR(F30="",8&lt;=F30)),1,0)+IF(AND(8&gt;=E36,OR(F36="",8&lt;=F36)),1,0)</f>
        <v/>
      </c>
      <c r="O51" s="14">
        <f>IF(AND(9&gt;=E7,OR(F7="",9&lt;=F7)),1,0)+IF(AND(9&gt;=E11,OR(F11="",9&lt;=F11)),1,0)+IF(AND(9&gt;=E15,OR(F15="",9&lt;=F15)),1,0)+IF(AND(9&gt;=E18,OR(F18="",9&lt;=F18)),1,0)+IF(AND(9&gt;=E24,OR(F24="",9&lt;=F24)),1,0)+IF(AND(9&gt;=E30,OR(F30="",9&lt;=F30)),1,0)+IF(AND(9&gt;=E36,OR(F36="",9&lt;=F36)),1,0)</f>
        <v/>
      </c>
      <c r="P51" s="14">
        <f>IF(AND(10&gt;=E7,OR(F7="",10&lt;=F7)),1,0)+IF(AND(10&gt;=E11,OR(F11="",10&lt;=F11)),1,0)+IF(AND(10&gt;=E15,OR(F15="",10&lt;=F15)),1,0)+IF(AND(10&gt;=E18,OR(F18="",10&lt;=F18)),1,0)+IF(AND(10&gt;=E24,OR(F24="",10&lt;=F24)),1,0)+IF(AND(10&gt;=E30,OR(F30="",10&lt;=F30)),1,0)+IF(AND(10&gt;=E36,OR(F36="",10&lt;=F36)),1,0)</f>
        <v/>
      </c>
      <c r="Q51" s="14">
        <f>IF(AND(11&gt;=E7,OR(F7="",11&lt;=F7)),1,0)+IF(AND(11&gt;=E11,OR(F11="",11&lt;=F11)),1,0)+IF(AND(11&gt;=E15,OR(F15="",11&lt;=F15)),1,0)+IF(AND(11&gt;=E18,OR(F18="",11&lt;=F18)),1,0)+IF(AND(11&gt;=E24,OR(F24="",11&lt;=F24)),1,0)+IF(AND(11&gt;=E30,OR(F30="",11&lt;=F30)),1,0)+IF(AND(11&gt;=E36,OR(F36="",11&lt;=F36)),1,0)</f>
        <v/>
      </c>
      <c r="R51" s="14">
        <f>IF(AND(12&gt;=E7,OR(F7="",12&lt;=F7)),1,0)+IF(AND(12&gt;=E11,OR(F11="",12&lt;=F11)),1,0)+IF(AND(12&gt;=E15,OR(F15="",12&lt;=F15)),1,0)+IF(AND(12&gt;=E18,OR(F18="",12&lt;=F18)),1,0)+IF(AND(12&gt;=E24,OR(F24="",12&lt;=F24)),1,0)+IF(AND(12&gt;=E30,OR(F30="",12&lt;=F30)),1,0)+IF(AND(12&gt;=E36,OR(F36="",12&lt;=F36)),1,0)</f>
        <v/>
      </c>
      <c r="S51" s="14">
        <f>IF(AND(13&gt;=E7,OR(F7="",13&lt;=F7)),1,0)+IF(AND(13&gt;=E11,OR(F11="",13&lt;=F11)),1,0)+IF(AND(13&gt;=E15,OR(F15="",13&lt;=F15)),1,0)+IF(AND(13&gt;=E18,OR(F18="",13&lt;=F18)),1,0)+IF(AND(13&gt;=E24,OR(F24="",13&lt;=F24)),1,0)+IF(AND(13&gt;=E30,OR(F30="",13&lt;=F30)),1,0)+IF(AND(13&gt;=E36,OR(F36="",13&lt;=F36)),1,0)</f>
        <v/>
      </c>
      <c r="T51" s="14">
        <f>IF(AND(14&gt;=E7,OR(F7="",14&lt;=F7)),1,0)+IF(AND(14&gt;=E11,OR(F11="",14&lt;=F11)),1,0)+IF(AND(14&gt;=E15,OR(F15="",14&lt;=F15)),1,0)+IF(AND(14&gt;=E18,OR(F18="",14&lt;=F18)),1,0)+IF(AND(14&gt;=E24,OR(F24="",14&lt;=F24)),1,0)+IF(AND(14&gt;=E30,OR(F30="",14&lt;=F30)),1,0)+IF(AND(14&gt;=E36,OR(F36="",14&lt;=F36)),1,0)</f>
        <v/>
      </c>
      <c r="U51" s="14">
        <f>IF(AND(15&gt;=E7,OR(F7="",15&lt;=F7)),1,0)+IF(AND(15&gt;=E11,OR(F11="",15&lt;=F11)),1,0)+IF(AND(15&gt;=E15,OR(F15="",15&lt;=F15)),1,0)+IF(AND(15&gt;=E18,OR(F18="",15&lt;=F18)),1,0)+IF(AND(15&gt;=E24,OR(F24="",15&lt;=F24)),1,0)+IF(AND(15&gt;=E30,OR(F30="",15&lt;=F30)),1,0)+IF(AND(15&gt;=E36,OR(F36="",15&lt;=F36)),1,0)</f>
        <v/>
      </c>
      <c r="V51" s="14">
        <f>IF(AND(16&gt;=E7,OR(F7="",16&lt;=F7)),1,0)+IF(AND(16&gt;=E11,OR(F11="",16&lt;=F11)),1,0)+IF(AND(16&gt;=E15,OR(F15="",16&lt;=F15)),1,0)+IF(AND(16&gt;=E18,OR(F18="",16&lt;=F18)),1,0)+IF(AND(16&gt;=E24,OR(F24="",16&lt;=F24)),1,0)+IF(AND(16&gt;=E30,OR(F30="",16&lt;=F30)),1,0)+IF(AND(16&gt;=E36,OR(F36="",16&lt;=F36)),1,0)</f>
        <v/>
      </c>
      <c r="W51" s="14">
        <f>IF(AND(17&gt;=E7,OR(F7="",17&lt;=F7)),1,0)+IF(AND(17&gt;=E11,OR(F11="",17&lt;=F11)),1,0)+IF(AND(17&gt;=E15,OR(F15="",17&lt;=F15)),1,0)+IF(AND(17&gt;=E18,OR(F18="",17&lt;=F18)),1,0)+IF(AND(17&gt;=E24,OR(F24="",17&lt;=F24)),1,0)+IF(AND(17&gt;=E30,OR(F30="",17&lt;=F30)),1,0)+IF(AND(17&gt;=E36,OR(F36="",17&lt;=F36)),1,0)</f>
        <v/>
      </c>
      <c r="X51" s="14">
        <f>IF(AND(18&gt;=E7,OR(F7="",18&lt;=F7)),1,0)+IF(AND(18&gt;=E11,OR(F11="",18&lt;=F11)),1,0)+IF(AND(18&gt;=E15,OR(F15="",18&lt;=F15)),1,0)+IF(AND(18&gt;=E18,OR(F18="",18&lt;=F18)),1,0)+IF(AND(18&gt;=E24,OR(F24="",18&lt;=F24)),1,0)+IF(AND(18&gt;=E30,OR(F30="",18&lt;=F30)),1,0)+IF(AND(18&gt;=E36,OR(F36="",18&lt;=F36)),1,0)</f>
        <v/>
      </c>
      <c r="Y51" s="14">
        <f>IF(AND(19&gt;=E7,OR(F7="",19&lt;=F7)),1,0)+IF(AND(19&gt;=E11,OR(F11="",19&lt;=F11)),1,0)+IF(AND(19&gt;=E15,OR(F15="",19&lt;=F15)),1,0)+IF(AND(19&gt;=E18,OR(F18="",19&lt;=F18)),1,0)+IF(AND(19&gt;=E24,OR(F24="",19&lt;=F24)),1,0)+IF(AND(19&gt;=E30,OR(F30="",19&lt;=F30)),1,0)+IF(AND(19&gt;=E36,OR(F36="",19&lt;=F36)),1,0)</f>
        <v/>
      </c>
      <c r="Z51" s="14">
        <f>IF(AND(20&gt;=E7,OR(F7="",20&lt;=F7)),1,0)+IF(AND(20&gt;=E11,OR(F11="",20&lt;=F11)),1,0)+IF(AND(20&gt;=E15,OR(F15="",20&lt;=F15)),1,0)+IF(AND(20&gt;=E18,OR(F18="",20&lt;=F18)),1,0)+IF(AND(20&gt;=E24,OR(F24="",20&lt;=F24)),1,0)+IF(AND(20&gt;=E30,OR(F30="",20&lt;=F30)),1,0)+IF(AND(20&gt;=E36,OR(F36="",20&lt;=F36)),1,0)</f>
        <v/>
      </c>
      <c r="AA51" s="14">
        <f>IF(AND(21&gt;=E7,OR(F7="",21&lt;=F7)),1,0)+IF(AND(21&gt;=E11,OR(F11="",21&lt;=F11)),1,0)+IF(AND(21&gt;=E15,OR(F15="",21&lt;=F15)),1,0)+IF(AND(21&gt;=E18,OR(F18="",21&lt;=F18)),1,0)+IF(AND(21&gt;=E24,OR(F24="",21&lt;=F24)),1,0)+IF(AND(21&gt;=E30,OR(F30="",21&lt;=F30)),1,0)+IF(AND(21&gt;=E36,OR(F36="",21&lt;=F36)),1,0)</f>
        <v/>
      </c>
      <c r="AB51" s="14">
        <f>IF(AND(22&gt;=E7,OR(F7="",22&lt;=F7)),1,0)+IF(AND(22&gt;=E11,OR(F11="",22&lt;=F11)),1,0)+IF(AND(22&gt;=E15,OR(F15="",22&lt;=F15)),1,0)+IF(AND(22&gt;=E18,OR(F18="",22&lt;=F18)),1,0)+IF(AND(22&gt;=E24,OR(F24="",22&lt;=F24)),1,0)+IF(AND(22&gt;=E30,OR(F30="",22&lt;=F30)),1,0)+IF(AND(22&gt;=E36,OR(F36="",22&lt;=F36)),1,0)</f>
        <v/>
      </c>
      <c r="AC51" s="14">
        <f>IF(AND(23&gt;=E7,OR(F7="",23&lt;=F7)),1,0)+IF(AND(23&gt;=E11,OR(F11="",23&lt;=F11)),1,0)+IF(AND(23&gt;=E15,OR(F15="",23&lt;=F15)),1,0)+IF(AND(23&gt;=E18,OR(F18="",23&lt;=F18)),1,0)+IF(AND(23&gt;=E24,OR(F24="",23&lt;=F24)),1,0)+IF(AND(23&gt;=E30,OR(F30="",23&lt;=F30)),1,0)+IF(AND(23&gt;=E36,OR(F36="",23&lt;=F36)),1,0)</f>
        <v/>
      </c>
      <c r="AD51" s="14">
        <f>IF(AND(24&gt;=E7,OR(F7="",24&lt;=F7)),1,0)+IF(AND(24&gt;=E11,OR(F11="",24&lt;=F11)),1,0)+IF(AND(24&gt;=E15,OR(F15="",24&lt;=F15)),1,0)+IF(AND(24&gt;=E18,OR(F18="",24&lt;=F18)),1,0)+IF(AND(24&gt;=E24,OR(F24="",24&lt;=F24)),1,0)+IF(AND(24&gt;=E30,OR(F30="",24&lt;=F30)),1,0)+IF(AND(24&gt;=E36,OR(F36="",24&lt;=F36)),1,0)</f>
        <v/>
      </c>
      <c r="AE51" s="14">
        <f>IF(AND(25&gt;=E7,OR(F7="",25&lt;=F7)),1,0)+IF(AND(25&gt;=E11,OR(F11="",25&lt;=F11)),1,0)+IF(AND(25&gt;=E15,OR(F15="",25&lt;=F15)),1,0)+IF(AND(25&gt;=E18,OR(F18="",25&lt;=F18)),1,0)+IF(AND(25&gt;=E24,OR(F24="",25&lt;=F24)),1,0)+IF(AND(25&gt;=E30,OR(F30="",25&lt;=F30)),1,0)+IF(AND(25&gt;=E36,OR(F36="",25&lt;=F36)),1,0)</f>
        <v/>
      </c>
      <c r="AF51" s="14">
        <f>IF(AND(26&gt;=E7,OR(F7="",26&lt;=F7)),1,0)+IF(AND(26&gt;=E11,OR(F11="",26&lt;=F11)),1,0)+IF(AND(26&gt;=E15,OR(F15="",26&lt;=F15)),1,0)+IF(AND(26&gt;=E18,OR(F18="",26&lt;=F18)),1,0)+IF(AND(26&gt;=E24,OR(F24="",26&lt;=F24)),1,0)+IF(AND(26&gt;=E30,OR(F30="",26&lt;=F30)),1,0)+IF(AND(26&gt;=E36,OR(F36="",26&lt;=F36)),1,0)</f>
        <v/>
      </c>
      <c r="AG51" s="14">
        <f>IF(AND(27&gt;=E7,OR(F7="",27&lt;=F7)),1,0)+IF(AND(27&gt;=E11,OR(F11="",27&lt;=F11)),1,0)+IF(AND(27&gt;=E15,OR(F15="",27&lt;=F15)),1,0)+IF(AND(27&gt;=E18,OR(F18="",27&lt;=F18)),1,0)+IF(AND(27&gt;=E24,OR(F24="",27&lt;=F24)),1,0)+IF(AND(27&gt;=E30,OR(F30="",27&lt;=F30)),1,0)+IF(AND(27&gt;=E36,OR(F36="",27&lt;=F36)),1,0)</f>
        <v/>
      </c>
      <c r="AH51" s="14">
        <f>IF(AND(28&gt;=E7,OR(F7="",28&lt;=F7)),1,0)+IF(AND(28&gt;=E11,OR(F11="",28&lt;=F11)),1,0)+IF(AND(28&gt;=E15,OR(F15="",28&lt;=F15)),1,0)+IF(AND(28&gt;=E18,OR(F18="",28&lt;=F18)),1,0)+IF(AND(28&gt;=E24,OR(F24="",28&lt;=F24)),1,0)+IF(AND(28&gt;=E30,OR(F30="",28&lt;=F30)),1,0)+IF(AND(28&gt;=E36,OR(F36="",28&lt;=F36)),1,0)</f>
        <v/>
      </c>
      <c r="AI51" s="14">
        <f>IF(AND(29&gt;=E7,OR(F7="",29&lt;=F7)),1,0)+IF(AND(29&gt;=E11,OR(F11="",29&lt;=F11)),1,0)+IF(AND(29&gt;=E15,OR(F15="",29&lt;=F15)),1,0)+IF(AND(29&gt;=E18,OR(F18="",29&lt;=F18)),1,0)+IF(AND(29&gt;=E24,OR(F24="",29&lt;=F24)),1,0)+IF(AND(29&gt;=E30,OR(F30="",29&lt;=F30)),1,0)+IF(AND(29&gt;=E36,OR(F36="",29&lt;=F36)),1,0)</f>
        <v/>
      </c>
      <c r="AJ51" s="14">
        <f>IF(AND(30&gt;=E7,OR(F7="",30&lt;=F7)),1,0)+IF(AND(30&gt;=E11,OR(F11="",30&lt;=F11)),1,0)+IF(AND(30&gt;=E15,OR(F15="",30&lt;=F15)),1,0)+IF(AND(30&gt;=E18,OR(F18="",30&lt;=F18)),1,0)+IF(AND(30&gt;=E24,OR(F24="",30&lt;=F24)),1,0)+IF(AND(30&gt;=E30,OR(F30="",30&lt;=F30)),1,0)+IF(AND(30&gt;=E36,OR(F36="",30&lt;=F36)),1,0)</f>
        <v/>
      </c>
      <c r="AK51" s="14">
        <f>IF(AND(31&gt;=E7,OR(F7="",31&lt;=F7)),1,0)+IF(AND(31&gt;=E11,OR(F11="",31&lt;=F11)),1,0)+IF(AND(31&gt;=E15,OR(F15="",31&lt;=F15)),1,0)+IF(AND(31&gt;=E18,OR(F18="",31&lt;=F18)),1,0)+IF(AND(31&gt;=E24,OR(F24="",31&lt;=F24)),1,0)+IF(AND(31&gt;=E30,OR(F30="",31&lt;=F30)),1,0)+IF(AND(31&gt;=E36,OR(F36="",31&lt;=F36)),1,0)</f>
        <v/>
      </c>
      <c r="AL51" s="14">
        <f>IF(AND(32&gt;=E7,OR(F7="",32&lt;=F7)),1,0)+IF(AND(32&gt;=E11,OR(F11="",32&lt;=F11)),1,0)+IF(AND(32&gt;=E15,OR(F15="",32&lt;=F15)),1,0)+IF(AND(32&gt;=E18,OR(F18="",32&lt;=F18)),1,0)+IF(AND(32&gt;=E24,OR(F24="",32&lt;=F24)),1,0)+IF(AND(32&gt;=E30,OR(F30="",32&lt;=F30)),1,0)+IF(AND(32&gt;=E36,OR(F36="",32&lt;=F36)),1,0)</f>
        <v/>
      </c>
      <c r="AM51" s="14">
        <f>IF(AND(33&gt;=E7,OR(F7="",33&lt;=F7)),1,0)+IF(AND(33&gt;=E11,OR(F11="",33&lt;=F11)),1,0)+IF(AND(33&gt;=E15,OR(F15="",33&lt;=F15)),1,0)+IF(AND(33&gt;=E18,OR(F18="",33&lt;=F18)),1,0)+IF(AND(33&gt;=E24,OR(F24="",33&lt;=F24)),1,0)+IF(AND(33&gt;=E30,OR(F30="",33&lt;=F30)),1,0)+IF(AND(33&gt;=E36,OR(F36="",33&lt;=F36)),1,0)</f>
        <v/>
      </c>
      <c r="AN51" s="14">
        <f>IF(AND(34&gt;=E7,OR(F7="",34&lt;=F7)),1,0)+IF(AND(34&gt;=E11,OR(F11="",34&lt;=F11)),1,0)+IF(AND(34&gt;=E15,OR(F15="",34&lt;=F15)),1,0)+IF(AND(34&gt;=E18,OR(F18="",34&lt;=F18)),1,0)+IF(AND(34&gt;=E24,OR(F24="",34&lt;=F24)),1,0)+IF(AND(34&gt;=E30,OR(F30="",34&lt;=F30)),1,0)+IF(AND(34&gt;=E36,OR(F36="",34&lt;=F36)),1,0)</f>
        <v/>
      </c>
      <c r="AO51" s="14">
        <f>IF(AND(35&gt;=E7,OR(F7="",35&lt;=F7)),1,0)+IF(AND(35&gt;=E11,OR(F11="",35&lt;=F11)),1,0)+IF(AND(35&gt;=E15,OR(F15="",35&lt;=F15)),1,0)+IF(AND(35&gt;=E18,OR(F18="",35&lt;=F18)),1,0)+IF(AND(35&gt;=E24,OR(F24="",35&lt;=F24)),1,0)+IF(AND(35&gt;=E30,OR(F30="",35&lt;=F30)),1,0)+IF(AND(35&gt;=E36,OR(F36="",35&lt;=F36)),1,0)</f>
        <v/>
      </c>
      <c r="AP51" s="14">
        <f>IF(AND(36&gt;=E7,OR(F7="",36&lt;=F7)),1,0)+IF(AND(36&gt;=E11,OR(F11="",36&lt;=F11)),1,0)+IF(AND(36&gt;=E15,OR(F15="",36&lt;=F15)),1,0)+IF(AND(36&gt;=E18,OR(F18="",36&lt;=F18)),1,0)+IF(AND(36&gt;=E24,OR(F24="",36&lt;=F24)),1,0)+IF(AND(36&gt;=E30,OR(F30="",36&lt;=F30)),1,0)+IF(AND(36&gt;=E36,OR(F36="",36&lt;=F36)),1,0)</f>
        <v/>
      </c>
      <c r="AQ51" s="14">
        <f>IF(AND(37&gt;=E7,OR(F7="",37&lt;=F7)),1,0)+IF(AND(37&gt;=E11,OR(F11="",37&lt;=F11)),1,0)+IF(AND(37&gt;=E15,OR(F15="",37&lt;=F15)),1,0)+IF(AND(37&gt;=E18,OR(F18="",37&lt;=F18)),1,0)+IF(AND(37&gt;=E24,OR(F24="",37&lt;=F24)),1,0)+IF(AND(37&gt;=E30,OR(F30="",37&lt;=F30)),1,0)+IF(AND(37&gt;=E36,OR(F36="",37&lt;=F36)),1,0)</f>
        <v/>
      </c>
      <c r="AR51" s="14">
        <f>IF(AND(38&gt;=E7,OR(F7="",38&lt;=F7)),1,0)+IF(AND(38&gt;=E11,OR(F11="",38&lt;=F11)),1,0)+IF(AND(38&gt;=E15,OR(F15="",38&lt;=F15)),1,0)+IF(AND(38&gt;=E18,OR(F18="",38&lt;=F18)),1,0)+IF(AND(38&gt;=E24,OR(F24="",38&lt;=F24)),1,0)+IF(AND(38&gt;=E30,OR(F30="",38&lt;=F30)),1,0)+IF(AND(38&gt;=E36,OR(F36="",38&lt;=F36)),1,0)</f>
        <v/>
      </c>
      <c r="AS51" s="14">
        <f>IF(AND(39&gt;=E7,OR(F7="",39&lt;=F7)),1,0)+IF(AND(39&gt;=E11,OR(F11="",39&lt;=F11)),1,0)+IF(AND(39&gt;=E15,OR(F15="",39&lt;=F15)),1,0)+IF(AND(39&gt;=E18,OR(F18="",39&lt;=F18)),1,0)+IF(AND(39&gt;=E24,OR(F24="",39&lt;=F24)),1,0)+IF(AND(39&gt;=E30,OR(F30="",39&lt;=F30)),1,0)+IF(AND(39&gt;=E36,OR(F36="",39&lt;=F36)),1,0)</f>
        <v/>
      </c>
      <c r="AT51" s="14">
        <f>IF(AND(40&gt;=E7,OR(F7="",40&lt;=F7)),1,0)+IF(AND(40&gt;=E11,OR(F11="",40&lt;=F11)),1,0)+IF(AND(40&gt;=E15,OR(F15="",40&lt;=F15)),1,0)+IF(AND(40&gt;=E18,OR(F18="",40&lt;=F18)),1,0)+IF(AND(40&gt;=E24,OR(F24="",40&lt;=F24)),1,0)+IF(AND(40&gt;=E30,OR(F30="",40&lt;=F30)),1,0)+IF(AND(40&gt;=E36,OR(F36="",40&lt;=F36)),1,0)</f>
        <v/>
      </c>
      <c r="AU51" s="14">
        <f>IF(AND(41&gt;=E7,OR(F7="",41&lt;=F7)),1,0)+IF(AND(41&gt;=E11,OR(F11="",41&lt;=F11)),1,0)+IF(AND(41&gt;=E15,OR(F15="",41&lt;=F15)),1,0)+IF(AND(41&gt;=E18,OR(F18="",41&lt;=F18)),1,0)+IF(AND(41&gt;=E24,OR(F24="",41&lt;=F24)),1,0)+IF(AND(41&gt;=E30,OR(F30="",41&lt;=F30)),1,0)+IF(AND(41&gt;=E36,OR(F36="",41&lt;=F36)),1,0)</f>
        <v/>
      </c>
      <c r="AV51" s="14">
        <f>IF(AND(42&gt;=E7,OR(F7="",42&lt;=F7)),1,0)+IF(AND(42&gt;=E11,OR(F11="",42&lt;=F11)),1,0)+IF(AND(42&gt;=E15,OR(F15="",42&lt;=F15)),1,0)+IF(AND(42&gt;=E18,OR(F18="",42&lt;=F18)),1,0)+IF(AND(42&gt;=E24,OR(F24="",42&lt;=F24)),1,0)+IF(AND(42&gt;=E30,OR(F30="",42&lt;=F30)),1,0)+IF(AND(42&gt;=E36,OR(F36="",42&lt;=F36)),1,0)</f>
        <v/>
      </c>
      <c r="AW51" s="14">
        <f>IF(AND(43&gt;=E7,OR(F7="",43&lt;=F7)),1,0)+IF(AND(43&gt;=E11,OR(F11="",43&lt;=F11)),1,0)+IF(AND(43&gt;=E15,OR(F15="",43&lt;=F15)),1,0)+IF(AND(43&gt;=E18,OR(F18="",43&lt;=F18)),1,0)+IF(AND(43&gt;=E24,OR(F24="",43&lt;=F24)),1,0)+IF(AND(43&gt;=E30,OR(F30="",43&lt;=F30)),1,0)+IF(AND(43&gt;=E36,OR(F36="",43&lt;=F36)),1,0)</f>
        <v/>
      </c>
      <c r="AX51" s="14">
        <f>IF(AND(44&gt;=E7,OR(F7="",44&lt;=F7)),1,0)+IF(AND(44&gt;=E11,OR(F11="",44&lt;=F11)),1,0)+IF(AND(44&gt;=E15,OR(F15="",44&lt;=F15)),1,0)+IF(AND(44&gt;=E18,OR(F18="",44&lt;=F18)),1,0)+IF(AND(44&gt;=E24,OR(F24="",44&lt;=F24)),1,0)+IF(AND(44&gt;=E30,OR(F30="",44&lt;=F30)),1,0)+IF(AND(44&gt;=E36,OR(F36="",44&lt;=F36)),1,0)</f>
        <v/>
      </c>
      <c r="AY51" s="14">
        <f>IF(AND(45&gt;=E7,OR(F7="",45&lt;=F7)),1,0)+IF(AND(45&gt;=E11,OR(F11="",45&lt;=F11)),1,0)+IF(AND(45&gt;=E15,OR(F15="",45&lt;=F15)),1,0)+IF(AND(45&gt;=E18,OR(F18="",45&lt;=F18)),1,0)+IF(AND(45&gt;=E24,OR(F24="",45&lt;=F24)),1,0)+IF(AND(45&gt;=E30,OR(F30="",45&lt;=F30)),1,0)+IF(AND(45&gt;=E36,OR(F36="",45&lt;=F36)),1,0)</f>
        <v/>
      </c>
      <c r="AZ51" s="14">
        <f>IF(AND(46&gt;=E7,OR(F7="",46&lt;=F7)),1,0)+IF(AND(46&gt;=E11,OR(F11="",46&lt;=F11)),1,0)+IF(AND(46&gt;=E15,OR(F15="",46&lt;=F15)),1,0)+IF(AND(46&gt;=E18,OR(F18="",46&lt;=F18)),1,0)+IF(AND(46&gt;=E24,OR(F24="",46&lt;=F24)),1,0)+IF(AND(46&gt;=E30,OR(F30="",46&lt;=F30)),1,0)+IF(AND(46&gt;=E36,OR(F36="",46&lt;=F36)),1,0)</f>
        <v/>
      </c>
      <c r="BA51" s="14">
        <f>IF(AND(47&gt;=E7,OR(F7="",47&lt;=F7)),1,0)+IF(AND(47&gt;=E11,OR(F11="",47&lt;=F11)),1,0)+IF(AND(47&gt;=E15,OR(F15="",47&lt;=F15)),1,0)+IF(AND(47&gt;=E18,OR(F18="",47&lt;=F18)),1,0)+IF(AND(47&gt;=E24,OR(F24="",47&lt;=F24)),1,0)+IF(AND(47&gt;=E30,OR(F30="",47&lt;=F30)),1,0)+IF(AND(47&gt;=E36,OR(F36="",47&lt;=F36)),1,0)</f>
        <v/>
      </c>
      <c r="BB51" s="14">
        <f>IF(AND(48&gt;=E7,OR(F7="",48&lt;=F7)),1,0)+IF(AND(48&gt;=E11,OR(F11="",48&lt;=F11)),1,0)+IF(AND(48&gt;=E15,OR(F15="",48&lt;=F15)),1,0)+IF(AND(48&gt;=E18,OR(F18="",48&lt;=F18)),1,0)+IF(AND(48&gt;=E24,OR(F24="",48&lt;=F24)),1,0)+IF(AND(48&gt;=E30,OR(F30="",48&lt;=F30)),1,0)+IF(AND(48&gt;=E36,OR(F36="",48&lt;=F36)),1,0)</f>
        <v/>
      </c>
      <c r="BC51" s="14">
        <f>IF(AND(49&gt;=E7,OR(F7="",49&lt;=F7)),1,0)+IF(AND(49&gt;=E11,OR(F11="",49&lt;=F11)),1,0)+IF(AND(49&gt;=E15,OR(F15="",49&lt;=F15)),1,0)+IF(AND(49&gt;=E18,OR(F18="",49&lt;=F18)),1,0)+IF(AND(49&gt;=E24,OR(F24="",49&lt;=F24)),1,0)+IF(AND(49&gt;=E30,OR(F30="",49&lt;=F30)),1,0)+IF(AND(49&gt;=E36,OR(F36="",49&lt;=F36)),1,0)</f>
        <v/>
      </c>
      <c r="BD51" s="14">
        <f>IF(AND(50&gt;=E7,OR(F7="",50&lt;=F7)),1,0)+IF(AND(50&gt;=E11,OR(F11="",50&lt;=F11)),1,0)+IF(AND(50&gt;=E15,OR(F15="",50&lt;=F15)),1,0)+IF(AND(50&gt;=E18,OR(F18="",50&lt;=F18)),1,0)+IF(AND(50&gt;=E24,OR(F24="",50&lt;=F24)),1,0)+IF(AND(50&gt;=E30,OR(F30="",50&lt;=F30)),1,0)+IF(AND(50&gt;=E36,OR(F36="",50&lt;=F36)),1,0)</f>
        <v/>
      </c>
      <c r="BE51" s="14">
        <f>IF(AND(51&gt;=E7,OR(F7="",51&lt;=F7)),1,0)+IF(AND(51&gt;=E11,OR(F11="",51&lt;=F11)),1,0)+IF(AND(51&gt;=E15,OR(F15="",51&lt;=F15)),1,0)+IF(AND(51&gt;=E18,OR(F18="",51&lt;=F18)),1,0)+IF(AND(51&gt;=E24,OR(F24="",51&lt;=F24)),1,0)+IF(AND(51&gt;=E30,OR(F30="",51&lt;=F30)),1,0)+IF(AND(51&gt;=E36,OR(F36="",51&lt;=F36)),1,0)</f>
        <v/>
      </c>
      <c r="BF51" s="14">
        <f>IF(AND(52&gt;=E7,OR(F7="",52&lt;=F7)),1,0)+IF(AND(52&gt;=E11,OR(F11="",52&lt;=F11)),1,0)+IF(AND(52&gt;=E15,OR(F15="",52&lt;=F15)),1,0)+IF(AND(52&gt;=E18,OR(F18="",52&lt;=F18)),1,0)+IF(AND(52&gt;=E24,OR(F24="",52&lt;=F24)),1,0)+IF(AND(52&gt;=E30,OR(F30="",52&lt;=F30)),1,0)+IF(AND(52&gt;=E36,OR(F36="",52&lt;=F36)),1,0)</f>
        <v/>
      </c>
      <c r="BG51" s="14">
        <f>IF(AND(53&gt;=E7,OR(F7="",53&lt;=F7)),1,0)+IF(AND(53&gt;=E11,OR(F11="",53&lt;=F11)),1,0)+IF(AND(53&gt;=E15,OR(F15="",53&lt;=F15)),1,0)+IF(AND(53&gt;=E18,OR(F18="",53&lt;=F18)),1,0)+IF(AND(53&gt;=E24,OR(F24="",53&lt;=F24)),1,0)+IF(AND(53&gt;=E30,OR(F30="",53&lt;=F30)),1,0)+IF(AND(53&gt;=E36,OR(F36="",53&lt;=F36)),1,0)</f>
        <v/>
      </c>
      <c r="BH51" s="14">
        <f>IF(AND(54&gt;=E7,OR(F7="",54&lt;=F7)),1,0)+IF(AND(54&gt;=E11,OR(F11="",54&lt;=F11)),1,0)+IF(AND(54&gt;=E15,OR(F15="",54&lt;=F15)),1,0)+IF(AND(54&gt;=E18,OR(F18="",54&lt;=F18)),1,0)+IF(AND(54&gt;=E24,OR(F24="",54&lt;=F24)),1,0)+IF(AND(54&gt;=E30,OR(F30="",54&lt;=F30)),1,0)+IF(AND(54&gt;=E36,OR(F36="",54&lt;=F36)),1,0)</f>
        <v/>
      </c>
      <c r="BI51" s="14">
        <f>IF(AND(55&gt;=E7,OR(F7="",55&lt;=F7)),1,0)+IF(AND(55&gt;=E11,OR(F11="",55&lt;=F11)),1,0)+IF(AND(55&gt;=E15,OR(F15="",55&lt;=F15)),1,0)+IF(AND(55&gt;=E18,OR(F18="",55&lt;=F18)),1,0)+IF(AND(55&gt;=E24,OR(F24="",55&lt;=F24)),1,0)+IF(AND(55&gt;=E30,OR(F30="",55&lt;=F30)),1,0)+IF(AND(55&gt;=E36,OR(F36="",55&lt;=F36)),1,0)</f>
        <v/>
      </c>
      <c r="BJ51" s="14">
        <f>IF(AND(56&gt;=E7,OR(F7="",56&lt;=F7)),1,0)+IF(AND(56&gt;=E11,OR(F11="",56&lt;=F11)),1,0)+IF(AND(56&gt;=E15,OR(F15="",56&lt;=F15)),1,0)+IF(AND(56&gt;=E18,OR(F18="",56&lt;=F18)),1,0)+IF(AND(56&gt;=E24,OR(F24="",56&lt;=F24)),1,0)+IF(AND(56&gt;=E30,OR(F30="",56&lt;=F30)),1,0)+IF(AND(56&gt;=E36,OR(F36="",56&lt;=F36)),1,0)</f>
        <v/>
      </c>
      <c r="BK51" s="14">
        <f>IF(AND(57&gt;=E7,OR(F7="",57&lt;=F7)),1,0)+IF(AND(57&gt;=E11,OR(F11="",57&lt;=F11)),1,0)+IF(AND(57&gt;=E15,OR(F15="",57&lt;=F15)),1,0)+IF(AND(57&gt;=E18,OR(F18="",57&lt;=F18)),1,0)+IF(AND(57&gt;=E24,OR(F24="",57&lt;=F24)),1,0)+IF(AND(57&gt;=E30,OR(F30="",57&lt;=F30)),1,0)+IF(AND(57&gt;=E36,OR(F36="",57&lt;=F36)),1,0)</f>
        <v/>
      </c>
      <c r="BL51" s="14">
        <f>IF(AND(58&gt;=E7,OR(F7="",58&lt;=F7)),1,0)+IF(AND(58&gt;=E11,OR(F11="",58&lt;=F11)),1,0)+IF(AND(58&gt;=E15,OR(F15="",58&lt;=F15)),1,0)+IF(AND(58&gt;=E18,OR(F18="",58&lt;=F18)),1,0)+IF(AND(58&gt;=E24,OR(F24="",58&lt;=F24)),1,0)+IF(AND(58&gt;=E30,OR(F30="",58&lt;=F30)),1,0)+IF(AND(58&gt;=E36,OR(F36="",58&lt;=F36)),1,0)</f>
        <v/>
      </c>
      <c r="BM51" s="14">
        <f>IF(AND(59&gt;=E7,OR(F7="",59&lt;=F7)),1,0)+IF(AND(59&gt;=E11,OR(F11="",59&lt;=F11)),1,0)+IF(AND(59&gt;=E15,OR(F15="",59&lt;=F15)),1,0)+IF(AND(59&gt;=E18,OR(F18="",59&lt;=F18)),1,0)+IF(AND(59&gt;=E24,OR(F24="",59&lt;=F24)),1,0)+IF(AND(59&gt;=E30,OR(F30="",59&lt;=F30)),1,0)+IF(AND(59&gt;=E36,OR(F36="",59&lt;=F36)),1,0)</f>
        <v/>
      </c>
      <c r="BN51" s="14">
        <f>IF(AND(60&gt;=E7,OR(F7="",60&lt;=F7)),1,0)+IF(AND(60&gt;=E11,OR(F11="",60&lt;=F11)),1,0)+IF(AND(60&gt;=E15,OR(F15="",60&lt;=F15)),1,0)+IF(AND(60&gt;=E18,OR(F18="",60&lt;=F18)),1,0)+IF(AND(60&gt;=E24,OR(F24="",60&lt;=F24)),1,0)+IF(AND(60&gt;=E30,OR(F30="",60&lt;=F30)),1,0)+IF(AND(60&gt;=E36,OR(F36="",60&lt;=F36)),1,0)</f>
        <v/>
      </c>
    </row>
    <row r="52">
      <c r="B52" s="5" t="inlineStr">
        <is>
          <t>Supply</t>
        </is>
      </c>
      <c r="G52" s="14">
        <f>IF(AND(1&gt;=E12,OR(F12="",1&lt;=F12)),1,0)+IF(AND(1&gt;=E27,OR(F27="",1&lt;=F27)),1,0)</f>
        <v/>
      </c>
      <c r="H52" s="14">
        <f>IF(AND(2&gt;=E12,OR(F12="",2&lt;=F12)),1,0)+IF(AND(2&gt;=E27,OR(F27="",2&lt;=F27)),1,0)</f>
        <v/>
      </c>
      <c r="I52" s="14">
        <f>IF(AND(3&gt;=E12,OR(F12="",3&lt;=F12)),1,0)+IF(AND(3&gt;=E27,OR(F27="",3&lt;=F27)),1,0)</f>
        <v/>
      </c>
      <c r="J52" s="14">
        <f>IF(AND(4&gt;=E12,OR(F12="",4&lt;=F12)),1,0)+IF(AND(4&gt;=E27,OR(F27="",4&lt;=F27)),1,0)</f>
        <v/>
      </c>
      <c r="K52" s="14">
        <f>IF(AND(5&gt;=E12,OR(F12="",5&lt;=F12)),1,0)+IF(AND(5&gt;=E27,OR(F27="",5&lt;=F27)),1,0)</f>
        <v/>
      </c>
      <c r="L52" s="14">
        <f>IF(AND(6&gt;=E12,OR(F12="",6&lt;=F12)),1,0)+IF(AND(6&gt;=E27,OR(F27="",6&lt;=F27)),1,0)</f>
        <v/>
      </c>
      <c r="M52" s="14">
        <f>IF(AND(7&gt;=E12,OR(F12="",7&lt;=F12)),1,0)+IF(AND(7&gt;=E27,OR(F27="",7&lt;=F27)),1,0)</f>
        <v/>
      </c>
      <c r="N52" s="14">
        <f>IF(AND(8&gt;=E12,OR(F12="",8&lt;=F12)),1,0)+IF(AND(8&gt;=E27,OR(F27="",8&lt;=F27)),1,0)</f>
        <v/>
      </c>
      <c r="O52" s="14">
        <f>IF(AND(9&gt;=E12,OR(F12="",9&lt;=F12)),1,0)+IF(AND(9&gt;=E27,OR(F27="",9&lt;=F27)),1,0)</f>
        <v/>
      </c>
      <c r="P52" s="14">
        <f>IF(AND(10&gt;=E12,OR(F12="",10&lt;=F12)),1,0)+IF(AND(10&gt;=E27,OR(F27="",10&lt;=F27)),1,0)</f>
        <v/>
      </c>
      <c r="Q52" s="14">
        <f>IF(AND(11&gt;=E12,OR(F12="",11&lt;=F12)),1,0)+IF(AND(11&gt;=E27,OR(F27="",11&lt;=F27)),1,0)</f>
        <v/>
      </c>
      <c r="R52" s="14">
        <f>IF(AND(12&gt;=E12,OR(F12="",12&lt;=F12)),1,0)+IF(AND(12&gt;=E27,OR(F27="",12&lt;=F27)),1,0)</f>
        <v/>
      </c>
      <c r="S52" s="14">
        <f>IF(AND(13&gt;=E12,OR(F12="",13&lt;=F12)),1,0)+IF(AND(13&gt;=E27,OR(F27="",13&lt;=F27)),1,0)</f>
        <v/>
      </c>
      <c r="T52" s="14">
        <f>IF(AND(14&gt;=E12,OR(F12="",14&lt;=F12)),1,0)+IF(AND(14&gt;=E27,OR(F27="",14&lt;=F27)),1,0)</f>
        <v/>
      </c>
      <c r="U52" s="14">
        <f>IF(AND(15&gt;=E12,OR(F12="",15&lt;=F12)),1,0)+IF(AND(15&gt;=E27,OR(F27="",15&lt;=F27)),1,0)</f>
        <v/>
      </c>
      <c r="V52" s="14">
        <f>IF(AND(16&gt;=E12,OR(F12="",16&lt;=F12)),1,0)+IF(AND(16&gt;=E27,OR(F27="",16&lt;=F27)),1,0)</f>
        <v/>
      </c>
      <c r="W52" s="14">
        <f>IF(AND(17&gt;=E12,OR(F12="",17&lt;=F12)),1,0)+IF(AND(17&gt;=E27,OR(F27="",17&lt;=F27)),1,0)</f>
        <v/>
      </c>
      <c r="X52" s="14">
        <f>IF(AND(18&gt;=E12,OR(F12="",18&lt;=F12)),1,0)+IF(AND(18&gt;=E27,OR(F27="",18&lt;=F27)),1,0)</f>
        <v/>
      </c>
      <c r="Y52" s="14">
        <f>IF(AND(19&gt;=E12,OR(F12="",19&lt;=F12)),1,0)+IF(AND(19&gt;=E27,OR(F27="",19&lt;=F27)),1,0)</f>
        <v/>
      </c>
      <c r="Z52" s="14">
        <f>IF(AND(20&gt;=E12,OR(F12="",20&lt;=F12)),1,0)+IF(AND(20&gt;=E27,OR(F27="",20&lt;=F27)),1,0)</f>
        <v/>
      </c>
      <c r="AA52" s="14">
        <f>IF(AND(21&gt;=E12,OR(F12="",21&lt;=F12)),1,0)+IF(AND(21&gt;=E27,OR(F27="",21&lt;=F27)),1,0)</f>
        <v/>
      </c>
      <c r="AB52" s="14">
        <f>IF(AND(22&gt;=E12,OR(F12="",22&lt;=F12)),1,0)+IF(AND(22&gt;=E27,OR(F27="",22&lt;=F27)),1,0)</f>
        <v/>
      </c>
      <c r="AC52" s="14">
        <f>IF(AND(23&gt;=E12,OR(F12="",23&lt;=F12)),1,0)+IF(AND(23&gt;=E27,OR(F27="",23&lt;=F27)),1,0)</f>
        <v/>
      </c>
      <c r="AD52" s="14">
        <f>IF(AND(24&gt;=E12,OR(F12="",24&lt;=F12)),1,0)+IF(AND(24&gt;=E27,OR(F27="",24&lt;=F27)),1,0)</f>
        <v/>
      </c>
      <c r="AE52" s="14">
        <f>IF(AND(25&gt;=E12,OR(F12="",25&lt;=F12)),1,0)+IF(AND(25&gt;=E27,OR(F27="",25&lt;=F27)),1,0)</f>
        <v/>
      </c>
      <c r="AF52" s="14">
        <f>IF(AND(26&gt;=E12,OR(F12="",26&lt;=F12)),1,0)+IF(AND(26&gt;=E27,OR(F27="",26&lt;=F27)),1,0)</f>
        <v/>
      </c>
      <c r="AG52" s="14">
        <f>IF(AND(27&gt;=E12,OR(F12="",27&lt;=F12)),1,0)+IF(AND(27&gt;=E27,OR(F27="",27&lt;=F27)),1,0)</f>
        <v/>
      </c>
      <c r="AH52" s="14">
        <f>IF(AND(28&gt;=E12,OR(F12="",28&lt;=F12)),1,0)+IF(AND(28&gt;=E27,OR(F27="",28&lt;=F27)),1,0)</f>
        <v/>
      </c>
      <c r="AI52" s="14">
        <f>IF(AND(29&gt;=E12,OR(F12="",29&lt;=F12)),1,0)+IF(AND(29&gt;=E27,OR(F27="",29&lt;=F27)),1,0)</f>
        <v/>
      </c>
      <c r="AJ52" s="14">
        <f>IF(AND(30&gt;=E12,OR(F12="",30&lt;=F12)),1,0)+IF(AND(30&gt;=E27,OR(F27="",30&lt;=F27)),1,0)</f>
        <v/>
      </c>
      <c r="AK52" s="14">
        <f>IF(AND(31&gt;=E12,OR(F12="",31&lt;=F12)),1,0)+IF(AND(31&gt;=E27,OR(F27="",31&lt;=F27)),1,0)</f>
        <v/>
      </c>
      <c r="AL52" s="14">
        <f>IF(AND(32&gt;=E12,OR(F12="",32&lt;=F12)),1,0)+IF(AND(32&gt;=E27,OR(F27="",32&lt;=F27)),1,0)</f>
        <v/>
      </c>
      <c r="AM52" s="14">
        <f>IF(AND(33&gt;=E12,OR(F12="",33&lt;=F12)),1,0)+IF(AND(33&gt;=E27,OR(F27="",33&lt;=F27)),1,0)</f>
        <v/>
      </c>
      <c r="AN52" s="14">
        <f>IF(AND(34&gt;=E12,OR(F12="",34&lt;=F12)),1,0)+IF(AND(34&gt;=E27,OR(F27="",34&lt;=F27)),1,0)</f>
        <v/>
      </c>
      <c r="AO52" s="14">
        <f>IF(AND(35&gt;=E12,OR(F12="",35&lt;=F12)),1,0)+IF(AND(35&gt;=E27,OR(F27="",35&lt;=F27)),1,0)</f>
        <v/>
      </c>
      <c r="AP52" s="14">
        <f>IF(AND(36&gt;=E12,OR(F12="",36&lt;=F12)),1,0)+IF(AND(36&gt;=E27,OR(F27="",36&lt;=F27)),1,0)</f>
        <v/>
      </c>
      <c r="AQ52" s="14">
        <f>IF(AND(37&gt;=E12,OR(F12="",37&lt;=F12)),1,0)+IF(AND(37&gt;=E27,OR(F27="",37&lt;=F27)),1,0)</f>
        <v/>
      </c>
      <c r="AR52" s="14">
        <f>IF(AND(38&gt;=E12,OR(F12="",38&lt;=F12)),1,0)+IF(AND(38&gt;=E27,OR(F27="",38&lt;=F27)),1,0)</f>
        <v/>
      </c>
      <c r="AS52" s="14">
        <f>IF(AND(39&gt;=E12,OR(F12="",39&lt;=F12)),1,0)+IF(AND(39&gt;=E27,OR(F27="",39&lt;=F27)),1,0)</f>
        <v/>
      </c>
      <c r="AT52" s="14">
        <f>IF(AND(40&gt;=E12,OR(F12="",40&lt;=F12)),1,0)+IF(AND(40&gt;=E27,OR(F27="",40&lt;=F27)),1,0)</f>
        <v/>
      </c>
      <c r="AU52" s="14">
        <f>IF(AND(41&gt;=E12,OR(F12="",41&lt;=F12)),1,0)+IF(AND(41&gt;=E27,OR(F27="",41&lt;=F27)),1,0)</f>
        <v/>
      </c>
      <c r="AV52" s="14">
        <f>IF(AND(42&gt;=E12,OR(F12="",42&lt;=F12)),1,0)+IF(AND(42&gt;=E27,OR(F27="",42&lt;=F27)),1,0)</f>
        <v/>
      </c>
      <c r="AW52" s="14">
        <f>IF(AND(43&gt;=E12,OR(F12="",43&lt;=F12)),1,0)+IF(AND(43&gt;=E27,OR(F27="",43&lt;=F27)),1,0)</f>
        <v/>
      </c>
      <c r="AX52" s="14">
        <f>IF(AND(44&gt;=E12,OR(F12="",44&lt;=F12)),1,0)+IF(AND(44&gt;=E27,OR(F27="",44&lt;=F27)),1,0)</f>
        <v/>
      </c>
      <c r="AY52" s="14">
        <f>IF(AND(45&gt;=E12,OR(F12="",45&lt;=F12)),1,0)+IF(AND(45&gt;=E27,OR(F27="",45&lt;=F27)),1,0)</f>
        <v/>
      </c>
      <c r="AZ52" s="14">
        <f>IF(AND(46&gt;=E12,OR(F12="",46&lt;=F12)),1,0)+IF(AND(46&gt;=E27,OR(F27="",46&lt;=F27)),1,0)</f>
        <v/>
      </c>
      <c r="BA52" s="14">
        <f>IF(AND(47&gt;=E12,OR(F12="",47&lt;=F12)),1,0)+IF(AND(47&gt;=E27,OR(F27="",47&lt;=F27)),1,0)</f>
        <v/>
      </c>
      <c r="BB52" s="14">
        <f>IF(AND(48&gt;=E12,OR(F12="",48&lt;=F12)),1,0)+IF(AND(48&gt;=E27,OR(F27="",48&lt;=F27)),1,0)</f>
        <v/>
      </c>
      <c r="BC52" s="14">
        <f>IF(AND(49&gt;=E12,OR(F12="",49&lt;=F12)),1,0)+IF(AND(49&gt;=E27,OR(F27="",49&lt;=F27)),1,0)</f>
        <v/>
      </c>
      <c r="BD52" s="14">
        <f>IF(AND(50&gt;=E12,OR(F12="",50&lt;=F12)),1,0)+IF(AND(50&gt;=E27,OR(F27="",50&lt;=F27)),1,0)</f>
        <v/>
      </c>
      <c r="BE52" s="14">
        <f>IF(AND(51&gt;=E12,OR(F12="",51&lt;=F12)),1,0)+IF(AND(51&gt;=E27,OR(F27="",51&lt;=F27)),1,0)</f>
        <v/>
      </c>
      <c r="BF52" s="14">
        <f>IF(AND(52&gt;=E12,OR(F12="",52&lt;=F12)),1,0)+IF(AND(52&gt;=E27,OR(F27="",52&lt;=F27)),1,0)</f>
        <v/>
      </c>
      <c r="BG52" s="14">
        <f>IF(AND(53&gt;=E12,OR(F12="",53&lt;=F12)),1,0)+IF(AND(53&gt;=E27,OR(F27="",53&lt;=F27)),1,0)</f>
        <v/>
      </c>
      <c r="BH52" s="14">
        <f>IF(AND(54&gt;=E12,OR(F12="",54&lt;=F12)),1,0)+IF(AND(54&gt;=E27,OR(F27="",54&lt;=F27)),1,0)</f>
        <v/>
      </c>
      <c r="BI52" s="14">
        <f>IF(AND(55&gt;=E12,OR(F12="",55&lt;=F12)),1,0)+IF(AND(55&gt;=E27,OR(F27="",55&lt;=F27)),1,0)</f>
        <v/>
      </c>
      <c r="BJ52" s="14">
        <f>IF(AND(56&gt;=E12,OR(F12="",56&lt;=F12)),1,0)+IF(AND(56&gt;=E27,OR(F27="",56&lt;=F27)),1,0)</f>
        <v/>
      </c>
      <c r="BK52" s="14">
        <f>IF(AND(57&gt;=E12,OR(F12="",57&lt;=F12)),1,0)+IF(AND(57&gt;=E27,OR(F27="",57&lt;=F27)),1,0)</f>
        <v/>
      </c>
      <c r="BL52" s="14">
        <f>IF(AND(58&gt;=E12,OR(F12="",58&lt;=F12)),1,0)+IF(AND(58&gt;=E27,OR(F27="",58&lt;=F27)),1,0)</f>
        <v/>
      </c>
      <c r="BM52" s="14">
        <f>IF(AND(59&gt;=E12,OR(F12="",59&lt;=F12)),1,0)+IF(AND(59&gt;=E27,OR(F27="",59&lt;=F27)),1,0)</f>
        <v/>
      </c>
      <c r="BN52" s="14">
        <f>IF(AND(60&gt;=E12,OR(F12="",60&lt;=F12)),1,0)+IF(AND(60&gt;=E27,OR(F27="",60&lt;=F27)),1,0)</f>
        <v/>
      </c>
    </row>
    <row r="53">
      <c r="B53" s="5" t="inlineStr">
        <is>
          <t>Ops</t>
        </is>
      </c>
      <c r="G53" s="14">
        <f>IF(AND(1&gt;=E19,OR(F19="",1&lt;=F19)),1,0)+IF(AND(1&gt;=E40,OR(F40="",1&lt;=F40)),1,0)</f>
        <v/>
      </c>
      <c r="H53" s="14">
        <f>IF(AND(2&gt;=E19,OR(F19="",2&lt;=F19)),1,0)+IF(AND(2&gt;=E40,OR(F40="",2&lt;=F40)),1,0)</f>
        <v/>
      </c>
      <c r="I53" s="14">
        <f>IF(AND(3&gt;=E19,OR(F19="",3&lt;=F19)),1,0)+IF(AND(3&gt;=E40,OR(F40="",3&lt;=F40)),1,0)</f>
        <v/>
      </c>
      <c r="J53" s="14">
        <f>IF(AND(4&gt;=E19,OR(F19="",4&lt;=F19)),1,0)+IF(AND(4&gt;=E40,OR(F40="",4&lt;=F40)),1,0)</f>
        <v/>
      </c>
      <c r="K53" s="14">
        <f>IF(AND(5&gt;=E19,OR(F19="",5&lt;=F19)),1,0)+IF(AND(5&gt;=E40,OR(F40="",5&lt;=F40)),1,0)</f>
        <v/>
      </c>
      <c r="L53" s="14">
        <f>IF(AND(6&gt;=E19,OR(F19="",6&lt;=F19)),1,0)+IF(AND(6&gt;=E40,OR(F40="",6&lt;=F40)),1,0)</f>
        <v/>
      </c>
      <c r="M53" s="14">
        <f>IF(AND(7&gt;=E19,OR(F19="",7&lt;=F19)),1,0)+IF(AND(7&gt;=E40,OR(F40="",7&lt;=F40)),1,0)</f>
        <v/>
      </c>
      <c r="N53" s="14">
        <f>IF(AND(8&gt;=E19,OR(F19="",8&lt;=F19)),1,0)+IF(AND(8&gt;=E40,OR(F40="",8&lt;=F40)),1,0)</f>
        <v/>
      </c>
      <c r="O53" s="14">
        <f>IF(AND(9&gt;=E19,OR(F19="",9&lt;=F19)),1,0)+IF(AND(9&gt;=E40,OR(F40="",9&lt;=F40)),1,0)</f>
        <v/>
      </c>
      <c r="P53" s="14">
        <f>IF(AND(10&gt;=E19,OR(F19="",10&lt;=F19)),1,0)+IF(AND(10&gt;=E40,OR(F40="",10&lt;=F40)),1,0)</f>
        <v/>
      </c>
      <c r="Q53" s="14">
        <f>IF(AND(11&gt;=E19,OR(F19="",11&lt;=F19)),1,0)+IF(AND(11&gt;=E40,OR(F40="",11&lt;=F40)),1,0)</f>
        <v/>
      </c>
      <c r="R53" s="14">
        <f>IF(AND(12&gt;=E19,OR(F19="",12&lt;=F19)),1,0)+IF(AND(12&gt;=E40,OR(F40="",12&lt;=F40)),1,0)</f>
        <v/>
      </c>
      <c r="S53" s="14">
        <f>IF(AND(13&gt;=E19,OR(F19="",13&lt;=F19)),1,0)+IF(AND(13&gt;=E40,OR(F40="",13&lt;=F40)),1,0)</f>
        <v/>
      </c>
      <c r="T53" s="14">
        <f>IF(AND(14&gt;=E19,OR(F19="",14&lt;=F19)),1,0)+IF(AND(14&gt;=E40,OR(F40="",14&lt;=F40)),1,0)</f>
        <v/>
      </c>
      <c r="U53" s="14">
        <f>IF(AND(15&gt;=E19,OR(F19="",15&lt;=F19)),1,0)+IF(AND(15&gt;=E40,OR(F40="",15&lt;=F40)),1,0)</f>
        <v/>
      </c>
      <c r="V53" s="14">
        <f>IF(AND(16&gt;=E19,OR(F19="",16&lt;=F19)),1,0)+IF(AND(16&gt;=E40,OR(F40="",16&lt;=F40)),1,0)</f>
        <v/>
      </c>
      <c r="W53" s="14">
        <f>IF(AND(17&gt;=E19,OR(F19="",17&lt;=F19)),1,0)+IF(AND(17&gt;=E40,OR(F40="",17&lt;=F40)),1,0)</f>
        <v/>
      </c>
      <c r="X53" s="14">
        <f>IF(AND(18&gt;=E19,OR(F19="",18&lt;=F19)),1,0)+IF(AND(18&gt;=E40,OR(F40="",18&lt;=F40)),1,0)</f>
        <v/>
      </c>
      <c r="Y53" s="14">
        <f>IF(AND(19&gt;=E19,OR(F19="",19&lt;=F19)),1,0)+IF(AND(19&gt;=E40,OR(F40="",19&lt;=F40)),1,0)</f>
        <v/>
      </c>
      <c r="Z53" s="14">
        <f>IF(AND(20&gt;=E19,OR(F19="",20&lt;=F19)),1,0)+IF(AND(20&gt;=E40,OR(F40="",20&lt;=F40)),1,0)</f>
        <v/>
      </c>
      <c r="AA53" s="14">
        <f>IF(AND(21&gt;=E19,OR(F19="",21&lt;=F19)),1,0)+IF(AND(21&gt;=E40,OR(F40="",21&lt;=F40)),1,0)</f>
        <v/>
      </c>
      <c r="AB53" s="14">
        <f>IF(AND(22&gt;=E19,OR(F19="",22&lt;=F19)),1,0)+IF(AND(22&gt;=E40,OR(F40="",22&lt;=F40)),1,0)</f>
        <v/>
      </c>
      <c r="AC53" s="14">
        <f>IF(AND(23&gt;=E19,OR(F19="",23&lt;=F19)),1,0)+IF(AND(23&gt;=E40,OR(F40="",23&lt;=F40)),1,0)</f>
        <v/>
      </c>
      <c r="AD53" s="14">
        <f>IF(AND(24&gt;=E19,OR(F19="",24&lt;=F19)),1,0)+IF(AND(24&gt;=E40,OR(F40="",24&lt;=F40)),1,0)</f>
        <v/>
      </c>
      <c r="AE53" s="14">
        <f>IF(AND(25&gt;=E19,OR(F19="",25&lt;=F19)),1,0)+IF(AND(25&gt;=E40,OR(F40="",25&lt;=F40)),1,0)</f>
        <v/>
      </c>
      <c r="AF53" s="14">
        <f>IF(AND(26&gt;=E19,OR(F19="",26&lt;=F19)),1,0)+IF(AND(26&gt;=E40,OR(F40="",26&lt;=F40)),1,0)</f>
        <v/>
      </c>
      <c r="AG53" s="14">
        <f>IF(AND(27&gt;=E19,OR(F19="",27&lt;=F19)),1,0)+IF(AND(27&gt;=E40,OR(F40="",27&lt;=F40)),1,0)</f>
        <v/>
      </c>
      <c r="AH53" s="14">
        <f>IF(AND(28&gt;=E19,OR(F19="",28&lt;=F19)),1,0)+IF(AND(28&gt;=E40,OR(F40="",28&lt;=F40)),1,0)</f>
        <v/>
      </c>
      <c r="AI53" s="14">
        <f>IF(AND(29&gt;=E19,OR(F19="",29&lt;=F19)),1,0)+IF(AND(29&gt;=E40,OR(F40="",29&lt;=F40)),1,0)</f>
        <v/>
      </c>
      <c r="AJ53" s="14">
        <f>IF(AND(30&gt;=E19,OR(F19="",30&lt;=F19)),1,0)+IF(AND(30&gt;=E40,OR(F40="",30&lt;=F40)),1,0)</f>
        <v/>
      </c>
      <c r="AK53" s="14">
        <f>IF(AND(31&gt;=E19,OR(F19="",31&lt;=F19)),1,0)+IF(AND(31&gt;=E40,OR(F40="",31&lt;=F40)),1,0)</f>
        <v/>
      </c>
      <c r="AL53" s="14">
        <f>IF(AND(32&gt;=E19,OR(F19="",32&lt;=F19)),1,0)+IF(AND(32&gt;=E40,OR(F40="",32&lt;=F40)),1,0)</f>
        <v/>
      </c>
      <c r="AM53" s="14">
        <f>IF(AND(33&gt;=E19,OR(F19="",33&lt;=F19)),1,0)+IF(AND(33&gt;=E40,OR(F40="",33&lt;=F40)),1,0)</f>
        <v/>
      </c>
      <c r="AN53" s="14">
        <f>IF(AND(34&gt;=E19,OR(F19="",34&lt;=F19)),1,0)+IF(AND(34&gt;=E40,OR(F40="",34&lt;=F40)),1,0)</f>
        <v/>
      </c>
      <c r="AO53" s="14">
        <f>IF(AND(35&gt;=E19,OR(F19="",35&lt;=F19)),1,0)+IF(AND(35&gt;=E40,OR(F40="",35&lt;=F40)),1,0)</f>
        <v/>
      </c>
      <c r="AP53" s="14">
        <f>IF(AND(36&gt;=E19,OR(F19="",36&lt;=F19)),1,0)+IF(AND(36&gt;=E40,OR(F40="",36&lt;=F40)),1,0)</f>
        <v/>
      </c>
      <c r="AQ53" s="14">
        <f>IF(AND(37&gt;=E19,OR(F19="",37&lt;=F19)),1,0)+IF(AND(37&gt;=E40,OR(F40="",37&lt;=F40)),1,0)</f>
        <v/>
      </c>
      <c r="AR53" s="14">
        <f>IF(AND(38&gt;=E19,OR(F19="",38&lt;=F19)),1,0)+IF(AND(38&gt;=E40,OR(F40="",38&lt;=F40)),1,0)</f>
        <v/>
      </c>
      <c r="AS53" s="14">
        <f>IF(AND(39&gt;=E19,OR(F19="",39&lt;=F19)),1,0)+IF(AND(39&gt;=E40,OR(F40="",39&lt;=F40)),1,0)</f>
        <v/>
      </c>
      <c r="AT53" s="14">
        <f>IF(AND(40&gt;=E19,OR(F19="",40&lt;=F19)),1,0)+IF(AND(40&gt;=E40,OR(F40="",40&lt;=F40)),1,0)</f>
        <v/>
      </c>
      <c r="AU53" s="14">
        <f>IF(AND(41&gt;=E19,OR(F19="",41&lt;=F19)),1,0)+IF(AND(41&gt;=E40,OR(F40="",41&lt;=F40)),1,0)</f>
        <v/>
      </c>
      <c r="AV53" s="14">
        <f>IF(AND(42&gt;=E19,OR(F19="",42&lt;=F19)),1,0)+IF(AND(42&gt;=E40,OR(F40="",42&lt;=F40)),1,0)</f>
        <v/>
      </c>
      <c r="AW53" s="14">
        <f>IF(AND(43&gt;=E19,OR(F19="",43&lt;=F19)),1,0)+IF(AND(43&gt;=E40,OR(F40="",43&lt;=F40)),1,0)</f>
        <v/>
      </c>
      <c r="AX53" s="14">
        <f>IF(AND(44&gt;=E19,OR(F19="",44&lt;=F19)),1,0)+IF(AND(44&gt;=E40,OR(F40="",44&lt;=F40)),1,0)</f>
        <v/>
      </c>
      <c r="AY53" s="14">
        <f>IF(AND(45&gt;=E19,OR(F19="",45&lt;=F19)),1,0)+IF(AND(45&gt;=E40,OR(F40="",45&lt;=F40)),1,0)</f>
        <v/>
      </c>
      <c r="AZ53" s="14">
        <f>IF(AND(46&gt;=E19,OR(F19="",46&lt;=F19)),1,0)+IF(AND(46&gt;=E40,OR(F40="",46&lt;=F40)),1,0)</f>
        <v/>
      </c>
      <c r="BA53" s="14">
        <f>IF(AND(47&gt;=E19,OR(F19="",47&lt;=F19)),1,0)+IF(AND(47&gt;=E40,OR(F40="",47&lt;=F40)),1,0)</f>
        <v/>
      </c>
      <c r="BB53" s="14">
        <f>IF(AND(48&gt;=E19,OR(F19="",48&lt;=F19)),1,0)+IF(AND(48&gt;=E40,OR(F40="",48&lt;=F40)),1,0)</f>
        <v/>
      </c>
      <c r="BC53" s="14">
        <f>IF(AND(49&gt;=E19,OR(F19="",49&lt;=F19)),1,0)+IF(AND(49&gt;=E40,OR(F40="",49&lt;=F40)),1,0)</f>
        <v/>
      </c>
      <c r="BD53" s="14">
        <f>IF(AND(50&gt;=E19,OR(F19="",50&lt;=F19)),1,0)+IF(AND(50&gt;=E40,OR(F40="",50&lt;=F40)),1,0)</f>
        <v/>
      </c>
      <c r="BE53" s="14">
        <f>IF(AND(51&gt;=E19,OR(F19="",51&lt;=F19)),1,0)+IF(AND(51&gt;=E40,OR(F40="",51&lt;=F40)),1,0)</f>
        <v/>
      </c>
      <c r="BF53" s="14">
        <f>IF(AND(52&gt;=E19,OR(F19="",52&lt;=F19)),1,0)+IF(AND(52&gt;=E40,OR(F40="",52&lt;=F40)),1,0)</f>
        <v/>
      </c>
      <c r="BG53" s="14">
        <f>IF(AND(53&gt;=E19,OR(F19="",53&lt;=F19)),1,0)+IF(AND(53&gt;=E40,OR(F40="",53&lt;=F40)),1,0)</f>
        <v/>
      </c>
      <c r="BH53" s="14">
        <f>IF(AND(54&gt;=E19,OR(F19="",54&lt;=F19)),1,0)+IF(AND(54&gt;=E40,OR(F40="",54&lt;=F40)),1,0)</f>
        <v/>
      </c>
      <c r="BI53" s="14">
        <f>IF(AND(55&gt;=E19,OR(F19="",55&lt;=F19)),1,0)+IF(AND(55&gt;=E40,OR(F40="",55&lt;=F40)),1,0)</f>
        <v/>
      </c>
      <c r="BJ53" s="14">
        <f>IF(AND(56&gt;=E19,OR(F19="",56&lt;=F19)),1,0)+IF(AND(56&gt;=E40,OR(F40="",56&lt;=F40)),1,0)</f>
        <v/>
      </c>
      <c r="BK53" s="14">
        <f>IF(AND(57&gt;=E19,OR(F19="",57&lt;=F19)),1,0)+IF(AND(57&gt;=E40,OR(F40="",57&lt;=F40)),1,0)</f>
        <v/>
      </c>
      <c r="BL53" s="14">
        <f>IF(AND(58&gt;=E19,OR(F19="",58&lt;=F19)),1,0)+IF(AND(58&gt;=E40,OR(F40="",58&lt;=F40)),1,0)</f>
        <v/>
      </c>
      <c r="BM53" s="14">
        <f>IF(AND(59&gt;=E19,OR(F19="",59&lt;=F19)),1,0)+IF(AND(59&gt;=E40,OR(F40="",59&lt;=F40)),1,0)</f>
        <v/>
      </c>
      <c r="BN53" s="14">
        <f>IF(AND(60&gt;=E19,OR(F19="",60&lt;=F19)),1,0)+IF(AND(60&gt;=E40,OR(F40="",60&lt;=F40)),1,0)</f>
        <v/>
      </c>
    </row>
    <row r="54">
      <c r="B54" s="5" t="inlineStr">
        <is>
          <t>Ga</t>
        </is>
      </c>
      <c r="G54" s="14">
        <f>IF(AND(1&gt;=E16,OR(F16="",1&lt;=F16)),1,0)+IF(AND(1&gt;=E21,OR(F21="",1&lt;=F21)),1,0)+IF(AND(1&gt;=E28,OR(F28="",1&lt;=F28)),1,0)+IF(AND(1&gt;=E38,OR(F38="",1&lt;=F38)),1,0)</f>
        <v/>
      </c>
      <c r="H54" s="14">
        <f>IF(AND(2&gt;=E16,OR(F16="",2&lt;=F16)),1,0)+IF(AND(2&gt;=E21,OR(F21="",2&lt;=F21)),1,0)+IF(AND(2&gt;=E28,OR(F28="",2&lt;=F28)),1,0)+IF(AND(2&gt;=E38,OR(F38="",2&lt;=F38)),1,0)</f>
        <v/>
      </c>
      <c r="I54" s="14">
        <f>IF(AND(3&gt;=E16,OR(F16="",3&lt;=F16)),1,0)+IF(AND(3&gt;=E21,OR(F21="",3&lt;=F21)),1,0)+IF(AND(3&gt;=E28,OR(F28="",3&lt;=F28)),1,0)+IF(AND(3&gt;=E38,OR(F38="",3&lt;=F38)),1,0)</f>
        <v/>
      </c>
      <c r="J54" s="14">
        <f>IF(AND(4&gt;=E16,OR(F16="",4&lt;=F16)),1,0)+IF(AND(4&gt;=E21,OR(F21="",4&lt;=F21)),1,0)+IF(AND(4&gt;=E28,OR(F28="",4&lt;=F28)),1,0)+IF(AND(4&gt;=E38,OR(F38="",4&lt;=F38)),1,0)</f>
        <v/>
      </c>
      <c r="K54" s="14">
        <f>IF(AND(5&gt;=E16,OR(F16="",5&lt;=F16)),1,0)+IF(AND(5&gt;=E21,OR(F21="",5&lt;=F21)),1,0)+IF(AND(5&gt;=E28,OR(F28="",5&lt;=F28)),1,0)+IF(AND(5&gt;=E38,OR(F38="",5&lt;=F38)),1,0)</f>
        <v/>
      </c>
      <c r="L54" s="14">
        <f>IF(AND(6&gt;=E16,OR(F16="",6&lt;=F16)),1,0)+IF(AND(6&gt;=E21,OR(F21="",6&lt;=F21)),1,0)+IF(AND(6&gt;=E28,OR(F28="",6&lt;=F28)),1,0)+IF(AND(6&gt;=E38,OR(F38="",6&lt;=F38)),1,0)</f>
        <v/>
      </c>
      <c r="M54" s="14">
        <f>IF(AND(7&gt;=E16,OR(F16="",7&lt;=F16)),1,0)+IF(AND(7&gt;=E21,OR(F21="",7&lt;=F21)),1,0)+IF(AND(7&gt;=E28,OR(F28="",7&lt;=F28)),1,0)+IF(AND(7&gt;=E38,OR(F38="",7&lt;=F38)),1,0)</f>
        <v/>
      </c>
      <c r="N54" s="14">
        <f>IF(AND(8&gt;=E16,OR(F16="",8&lt;=F16)),1,0)+IF(AND(8&gt;=E21,OR(F21="",8&lt;=F21)),1,0)+IF(AND(8&gt;=E28,OR(F28="",8&lt;=F28)),1,0)+IF(AND(8&gt;=E38,OR(F38="",8&lt;=F38)),1,0)</f>
        <v/>
      </c>
      <c r="O54" s="14">
        <f>IF(AND(9&gt;=E16,OR(F16="",9&lt;=F16)),1,0)+IF(AND(9&gt;=E21,OR(F21="",9&lt;=F21)),1,0)+IF(AND(9&gt;=E28,OR(F28="",9&lt;=F28)),1,0)+IF(AND(9&gt;=E38,OR(F38="",9&lt;=F38)),1,0)</f>
        <v/>
      </c>
      <c r="P54" s="14">
        <f>IF(AND(10&gt;=E16,OR(F16="",10&lt;=F16)),1,0)+IF(AND(10&gt;=E21,OR(F21="",10&lt;=F21)),1,0)+IF(AND(10&gt;=E28,OR(F28="",10&lt;=F28)),1,0)+IF(AND(10&gt;=E38,OR(F38="",10&lt;=F38)),1,0)</f>
        <v/>
      </c>
      <c r="Q54" s="14">
        <f>IF(AND(11&gt;=E16,OR(F16="",11&lt;=F16)),1,0)+IF(AND(11&gt;=E21,OR(F21="",11&lt;=F21)),1,0)+IF(AND(11&gt;=E28,OR(F28="",11&lt;=F28)),1,0)+IF(AND(11&gt;=E38,OR(F38="",11&lt;=F38)),1,0)</f>
        <v/>
      </c>
      <c r="R54" s="14">
        <f>IF(AND(12&gt;=E16,OR(F16="",12&lt;=F16)),1,0)+IF(AND(12&gt;=E21,OR(F21="",12&lt;=F21)),1,0)+IF(AND(12&gt;=E28,OR(F28="",12&lt;=F28)),1,0)+IF(AND(12&gt;=E38,OR(F38="",12&lt;=F38)),1,0)</f>
        <v/>
      </c>
      <c r="S54" s="14">
        <f>IF(AND(13&gt;=E16,OR(F16="",13&lt;=F16)),1,0)+IF(AND(13&gt;=E21,OR(F21="",13&lt;=F21)),1,0)+IF(AND(13&gt;=E28,OR(F28="",13&lt;=F28)),1,0)+IF(AND(13&gt;=E38,OR(F38="",13&lt;=F38)),1,0)</f>
        <v/>
      </c>
      <c r="T54" s="14">
        <f>IF(AND(14&gt;=E16,OR(F16="",14&lt;=F16)),1,0)+IF(AND(14&gt;=E21,OR(F21="",14&lt;=F21)),1,0)+IF(AND(14&gt;=E28,OR(F28="",14&lt;=F28)),1,0)+IF(AND(14&gt;=E38,OR(F38="",14&lt;=F38)),1,0)</f>
        <v/>
      </c>
      <c r="U54" s="14">
        <f>IF(AND(15&gt;=E16,OR(F16="",15&lt;=F16)),1,0)+IF(AND(15&gt;=E21,OR(F21="",15&lt;=F21)),1,0)+IF(AND(15&gt;=E28,OR(F28="",15&lt;=F28)),1,0)+IF(AND(15&gt;=E38,OR(F38="",15&lt;=F38)),1,0)</f>
        <v/>
      </c>
      <c r="V54" s="14">
        <f>IF(AND(16&gt;=E16,OR(F16="",16&lt;=F16)),1,0)+IF(AND(16&gt;=E21,OR(F21="",16&lt;=F21)),1,0)+IF(AND(16&gt;=E28,OR(F28="",16&lt;=F28)),1,0)+IF(AND(16&gt;=E38,OR(F38="",16&lt;=F38)),1,0)</f>
        <v/>
      </c>
      <c r="W54" s="14">
        <f>IF(AND(17&gt;=E16,OR(F16="",17&lt;=F16)),1,0)+IF(AND(17&gt;=E21,OR(F21="",17&lt;=F21)),1,0)+IF(AND(17&gt;=E28,OR(F28="",17&lt;=F28)),1,0)+IF(AND(17&gt;=E38,OR(F38="",17&lt;=F38)),1,0)</f>
        <v/>
      </c>
      <c r="X54" s="14">
        <f>IF(AND(18&gt;=E16,OR(F16="",18&lt;=F16)),1,0)+IF(AND(18&gt;=E21,OR(F21="",18&lt;=F21)),1,0)+IF(AND(18&gt;=E28,OR(F28="",18&lt;=F28)),1,0)+IF(AND(18&gt;=E38,OR(F38="",18&lt;=F38)),1,0)</f>
        <v/>
      </c>
      <c r="Y54" s="14">
        <f>IF(AND(19&gt;=E16,OR(F16="",19&lt;=F16)),1,0)+IF(AND(19&gt;=E21,OR(F21="",19&lt;=F21)),1,0)+IF(AND(19&gt;=E28,OR(F28="",19&lt;=F28)),1,0)+IF(AND(19&gt;=E38,OR(F38="",19&lt;=F38)),1,0)</f>
        <v/>
      </c>
      <c r="Z54" s="14">
        <f>IF(AND(20&gt;=E16,OR(F16="",20&lt;=F16)),1,0)+IF(AND(20&gt;=E21,OR(F21="",20&lt;=F21)),1,0)+IF(AND(20&gt;=E28,OR(F28="",20&lt;=F28)),1,0)+IF(AND(20&gt;=E38,OR(F38="",20&lt;=F38)),1,0)</f>
        <v/>
      </c>
      <c r="AA54" s="14">
        <f>IF(AND(21&gt;=E16,OR(F16="",21&lt;=F16)),1,0)+IF(AND(21&gt;=E21,OR(F21="",21&lt;=F21)),1,0)+IF(AND(21&gt;=E28,OR(F28="",21&lt;=F28)),1,0)+IF(AND(21&gt;=E38,OR(F38="",21&lt;=F38)),1,0)</f>
        <v/>
      </c>
      <c r="AB54" s="14">
        <f>IF(AND(22&gt;=E16,OR(F16="",22&lt;=F16)),1,0)+IF(AND(22&gt;=E21,OR(F21="",22&lt;=F21)),1,0)+IF(AND(22&gt;=E28,OR(F28="",22&lt;=F28)),1,0)+IF(AND(22&gt;=E38,OR(F38="",22&lt;=F38)),1,0)</f>
        <v/>
      </c>
      <c r="AC54" s="14">
        <f>IF(AND(23&gt;=E16,OR(F16="",23&lt;=F16)),1,0)+IF(AND(23&gt;=E21,OR(F21="",23&lt;=F21)),1,0)+IF(AND(23&gt;=E28,OR(F28="",23&lt;=F28)),1,0)+IF(AND(23&gt;=E38,OR(F38="",23&lt;=F38)),1,0)</f>
        <v/>
      </c>
      <c r="AD54" s="14">
        <f>IF(AND(24&gt;=E16,OR(F16="",24&lt;=F16)),1,0)+IF(AND(24&gt;=E21,OR(F21="",24&lt;=F21)),1,0)+IF(AND(24&gt;=E28,OR(F28="",24&lt;=F28)),1,0)+IF(AND(24&gt;=E38,OR(F38="",24&lt;=F38)),1,0)</f>
        <v/>
      </c>
      <c r="AE54" s="14">
        <f>IF(AND(25&gt;=E16,OR(F16="",25&lt;=F16)),1,0)+IF(AND(25&gt;=E21,OR(F21="",25&lt;=F21)),1,0)+IF(AND(25&gt;=E28,OR(F28="",25&lt;=F28)),1,0)+IF(AND(25&gt;=E38,OR(F38="",25&lt;=F38)),1,0)</f>
        <v/>
      </c>
      <c r="AF54" s="14">
        <f>IF(AND(26&gt;=E16,OR(F16="",26&lt;=F16)),1,0)+IF(AND(26&gt;=E21,OR(F21="",26&lt;=F21)),1,0)+IF(AND(26&gt;=E28,OR(F28="",26&lt;=F28)),1,0)+IF(AND(26&gt;=E38,OR(F38="",26&lt;=F38)),1,0)</f>
        <v/>
      </c>
      <c r="AG54" s="14">
        <f>IF(AND(27&gt;=E16,OR(F16="",27&lt;=F16)),1,0)+IF(AND(27&gt;=E21,OR(F21="",27&lt;=F21)),1,0)+IF(AND(27&gt;=E28,OR(F28="",27&lt;=F28)),1,0)+IF(AND(27&gt;=E38,OR(F38="",27&lt;=F38)),1,0)</f>
        <v/>
      </c>
      <c r="AH54" s="14">
        <f>IF(AND(28&gt;=E16,OR(F16="",28&lt;=F16)),1,0)+IF(AND(28&gt;=E21,OR(F21="",28&lt;=F21)),1,0)+IF(AND(28&gt;=E28,OR(F28="",28&lt;=F28)),1,0)+IF(AND(28&gt;=E38,OR(F38="",28&lt;=F38)),1,0)</f>
        <v/>
      </c>
      <c r="AI54" s="14">
        <f>IF(AND(29&gt;=E16,OR(F16="",29&lt;=F16)),1,0)+IF(AND(29&gt;=E21,OR(F21="",29&lt;=F21)),1,0)+IF(AND(29&gt;=E28,OR(F28="",29&lt;=F28)),1,0)+IF(AND(29&gt;=E38,OR(F38="",29&lt;=F38)),1,0)</f>
        <v/>
      </c>
      <c r="AJ54" s="14">
        <f>IF(AND(30&gt;=E16,OR(F16="",30&lt;=F16)),1,0)+IF(AND(30&gt;=E21,OR(F21="",30&lt;=F21)),1,0)+IF(AND(30&gt;=E28,OR(F28="",30&lt;=F28)),1,0)+IF(AND(30&gt;=E38,OR(F38="",30&lt;=F38)),1,0)</f>
        <v/>
      </c>
      <c r="AK54" s="14">
        <f>IF(AND(31&gt;=E16,OR(F16="",31&lt;=F16)),1,0)+IF(AND(31&gt;=E21,OR(F21="",31&lt;=F21)),1,0)+IF(AND(31&gt;=E28,OR(F28="",31&lt;=F28)),1,0)+IF(AND(31&gt;=E38,OR(F38="",31&lt;=F38)),1,0)</f>
        <v/>
      </c>
      <c r="AL54" s="14">
        <f>IF(AND(32&gt;=E16,OR(F16="",32&lt;=F16)),1,0)+IF(AND(32&gt;=E21,OR(F21="",32&lt;=F21)),1,0)+IF(AND(32&gt;=E28,OR(F28="",32&lt;=F28)),1,0)+IF(AND(32&gt;=E38,OR(F38="",32&lt;=F38)),1,0)</f>
        <v/>
      </c>
      <c r="AM54" s="14">
        <f>IF(AND(33&gt;=E16,OR(F16="",33&lt;=F16)),1,0)+IF(AND(33&gt;=E21,OR(F21="",33&lt;=F21)),1,0)+IF(AND(33&gt;=E28,OR(F28="",33&lt;=F28)),1,0)+IF(AND(33&gt;=E38,OR(F38="",33&lt;=F38)),1,0)</f>
        <v/>
      </c>
      <c r="AN54" s="14">
        <f>IF(AND(34&gt;=E16,OR(F16="",34&lt;=F16)),1,0)+IF(AND(34&gt;=E21,OR(F21="",34&lt;=F21)),1,0)+IF(AND(34&gt;=E28,OR(F28="",34&lt;=F28)),1,0)+IF(AND(34&gt;=E38,OR(F38="",34&lt;=F38)),1,0)</f>
        <v/>
      </c>
      <c r="AO54" s="14">
        <f>IF(AND(35&gt;=E16,OR(F16="",35&lt;=F16)),1,0)+IF(AND(35&gt;=E21,OR(F21="",35&lt;=F21)),1,0)+IF(AND(35&gt;=E28,OR(F28="",35&lt;=F28)),1,0)+IF(AND(35&gt;=E38,OR(F38="",35&lt;=F38)),1,0)</f>
        <v/>
      </c>
      <c r="AP54" s="14">
        <f>IF(AND(36&gt;=E16,OR(F16="",36&lt;=F16)),1,0)+IF(AND(36&gt;=E21,OR(F21="",36&lt;=F21)),1,0)+IF(AND(36&gt;=E28,OR(F28="",36&lt;=F28)),1,0)+IF(AND(36&gt;=E38,OR(F38="",36&lt;=F38)),1,0)</f>
        <v/>
      </c>
      <c r="AQ54" s="14">
        <f>IF(AND(37&gt;=E16,OR(F16="",37&lt;=F16)),1,0)+IF(AND(37&gt;=E21,OR(F21="",37&lt;=F21)),1,0)+IF(AND(37&gt;=E28,OR(F28="",37&lt;=F28)),1,0)+IF(AND(37&gt;=E38,OR(F38="",37&lt;=F38)),1,0)</f>
        <v/>
      </c>
      <c r="AR54" s="14">
        <f>IF(AND(38&gt;=E16,OR(F16="",38&lt;=F16)),1,0)+IF(AND(38&gt;=E21,OR(F21="",38&lt;=F21)),1,0)+IF(AND(38&gt;=E28,OR(F28="",38&lt;=F28)),1,0)+IF(AND(38&gt;=E38,OR(F38="",38&lt;=F38)),1,0)</f>
        <v/>
      </c>
      <c r="AS54" s="14">
        <f>IF(AND(39&gt;=E16,OR(F16="",39&lt;=F16)),1,0)+IF(AND(39&gt;=E21,OR(F21="",39&lt;=F21)),1,0)+IF(AND(39&gt;=E28,OR(F28="",39&lt;=F28)),1,0)+IF(AND(39&gt;=E38,OR(F38="",39&lt;=F38)),1,0)</f>
        <v/>
      </c>
      <c r="AT54" s="14">
        <f>IF(AND(40&gt;=E16,OR(F16="",40&lt;=F16)),1,0)+IF(AND(40&gt;=E21,OR(F21="",40&lt;=F21)),1,0)+IF(AND(40&gt;=E28,OR(F28="",40&lt;=F28)),1,0)+IF(AND(40&gt;=E38,OR(F38="",40&lt;=F38)),1,0)</f>
        <v/>
      </c>
      <c r="AU54" s="14">
        <f>IF(AND(41&gt;=E16,OR(F16="",41&lt;=F16)),1,0)+IF(AND(41&gt;=E21,OR(F21="",41&lt;=F21)),1,0)+IF(AND(41&gt;=E28,OR(F28="",41&lt;=F28)),1,0)+IF(AND(41&gt;=E38,OR(F38="",41&lt;=F38)),1,0)</f>
        <v/>
      </c>
      <c r="AV54" s="14">
        <f>IF(AND(42&gt;=E16,OR(F16="",42&lt;=F16)),1,0)+IF(AND(42&gt;=E21,OR(F21="",42&lt;=F21)),1,0)+IF(AND(42&gt;=E28,OR(F28="",42&lt;=F28)),1,0)+IF(AND(42&gt;=E38,OR(F38="",42&lt;=F38)),1,0)</f>
        <v/>
      </c>
      <c r="AW54" s="14">
        <f>IF(AND(43&gt;=E16,OR(F16="",43&lt;=F16)),1,0)+IF(AND(43&gt;=E21,OR(F21="",43&lt;=F21)),1,0)+IF(AND(43&gt;=E28,OR(F28="",43&lt;=F28)),1,0)+IF(AND(43&gt;=E38,OR(F38="",43&lt;=F38)),1,0)</f>
        <v/>
      </c>
      <c r="AX54" s="14">
        <f>IF(AND(44&gt;=E16,OR(F16="",44&lt;=F16)),1,0)+IF(AND(44&gt;=E21,OR(F21="",44&lt;=F21)),1,0)+IF(AND(44&gt;=E28,OR(F28="",44&lt;=F28)),1,0)+IF(AND(44&gt;=E38,OR(F38="",44&lt;=F38)),1,0)</f>
        <v/>
      </c>
      <c r="AY54" s="14">
        <f>IF(AND(45&gt;=E16,OR(F16="",45&lt;=F16)),1,0)+IF(AND(45&gt;=E21,OR(F21="",45&lt;=F21)),1,0)+IF(AND(45&gt;=E28,OR(F28="",45&lt;=F28)),1,0)+IF(AND(45&gt;=E38,OR(F38="",45&lt;=F38)),1,0)</f>
        <v/>
      </c>
      <c r="AZ54" s="14">
        <f>IF(AND(46&gt;=E16,OR(F16="",46&lt;=F16)),1,0)+IF(AND(46&gt;=E21,OR(F21="",46&lt;=F21)),1,0)+IF(AND(46&gt;=E28,OR(F28="",46&lt;=F28)),1,0)+IF(AND(46&gt;=E38,OR(F38="",46&lt;=F38)),1,0)</f>
        <v/>
      </c>
      <c r="BA54" s="14">
        <f>IF(AND(47&gt;=E16,OR(F16="",47&lt;=F16)),1,0)+IF(AND(47&gt;=E21,OR(F21="",47&lt;=F21)),1,0)+IF(AND(47&gt;=E28,OR(F28="",47&lt;=F28)),1,0)+IF(AND(47&gt;=E38,OR(F38="",47&lt;=F38)),1,0)</f>
        <v/>
      </c>
      <c r="BB54" s="14">
        <f>IF(AND(48&gt;=E16,OR(F16="",48&lt;=F16)),1,0)+IF(AND(48&gt;=E21,OR(F21="",48&lt;=F21)),1,0)+IF(AND(48&gt;=E28,OR(F28="",48&lt;=F28)),1,0)+IF(AND(48&gt;=E38,OR(F38="",48&lt;=F38)),1,0)</f>
        <v/>
      </c>
      <c r="BC54" s="14">
        <f>IF(AND(49&gt;=E16,OR(F16="",49&lt;=F16)),1,0)+IF(AND(49&gt;=E21,OR(F21="",49&lt;=F21)),1,0)+IF(AND(49&gt;=E28,OR(F28="",49&lt;=F28)),1,0)+IF(AND(49&gt;=E38,OR(F38="",49&lt;=F38)),1,0)</f>
        <v/>
      </c>
      <c r="BD54" s="14">
        <f>IF(AND(50&gt;=E16,OR(F16="",50&lt;=F16)),1,0)+IF(AND(50&gt;=E21,OR(F21="",50&lt;=F21)),1,0)+IF(AND(50&gt;=E28,OR(F28="",50&lt;=F28)),1,0)+IF(AND(50&gt;=E38,OR(F38="",50&lt;=F38)),1,0)</f>
        <v/>
      </c>
      <c r="BE54" s="14">
        <f>IF(AND(51&gt;=E16,OR(F16="",51&lt;=F16)),1,0)+IF(AND(51&gt;=E21,OR(F21="",51&lt;=F21)),1,0)+IF(AND(51&gt;=E28,OR(F28="",51&lt;=F28)),1,0)+IF(AND(51&gt;=E38,OR(F38="",51&lt;=F38)),1,0)</f>
        <v/>
      </c>
      <c r="BF54" s="14">
        <f>IF(AND(52&gt;=E16,OR(F16="",52&lt;=F16)),1,0)+IF(AND(52&gt;=E21,OR(F21="",52&lt;=F21)),1,0)+IF(AND(52&gt;=E28,OR(F28="",52&lt;=F28)),1,0)+IF(AND(52&gt;=E38,OR(F38="",52&lt;=F38)),1,0)</f>
        <v/>
      </c>
      <c r="BG54" s="14">
        <f>IF(AND(53&gt;=E16,OR(F16="",53&lt;=F16)),1,0)+IF(AND(53&gt;=E21,OR(F21="",53&lt;=F21)),1,0)+IF(AND(53&gt;=E28,OR(F28="",53&lt;=F28)),1,0)+IF(AND(53&gt;=E38,OR(F38="",53&lt;=F38)),1,0)</f>
        <v/>
      </c>
      <c r="BH54" s="14">
        <f>IF(AND(54&gt;=E16,OR(F16="",54&lt;=F16)),1,0)+IF(AND(54&gt;=E21,OR(F21="",54&lt;=F21)),1,0)+IF(AND(54&gt;=E28,OR(F28="",54&lt;=F28)),1,0)+IF(AND(54&gt;=E38,OR(F38="",54&lt;=F38)),1,0)</f>
        <v/>
      </c>
      <c r="BI54" s="14">
        <f>IF(AND(55&gt;=E16,OR(F16="",55&lt;=F16)),1,0)+IF(AND(55&gt;=E21,OR(F21="",55&lt;=F21)),1,0)+IF(AND(55&gt;=E28,OR(F28="",55&lt;=F28)),1,0)+IF(AND(55&gt;=E38,OR(F38="",55&lt;=F38)),1,0)</f>
        <v/>
      </c>
      <c r="BJ54" s="14">
        <f>IF(AND(56&gt;=E16,OR(F16="",56&lt;=F16)),1,0)+IF(AND(56&gt;=E21,OR(F21="",56&lt;=F21)),1,0)+IF(AND(56&gt;=E28,OR(F28="",56&lt;=F28)),1,0)+IF(AND(56&gt;=E38,OR(F38="",56&lt;=F38)),1,0)</f>
        <v/>
      </c>
      <c r="BK54" s="14">
        <f>IF(AND(57&gt;=E16,OR(F16="",57&lt;=F16)),1,0)+IF(AND(57&gt;=E21,OR(F21="",57&lt;=F21)),1,0)+IF(AND(57&gt;=E28,OR(F28="",57&lt;=F28)),1,0)+IF(AND(57&gt;=E38,OR(F38="",57&lt;=F38)),1,0)</f>
        <v/>
      </c>
      <c r="BL54" s="14">
        <f>IF(AND(58&gt;=E16,OR(F16="",58&lt;=F16)),1,0)+IF(AND(58&gt;=E21,OR(F21="",58&lt;=F21)),1,0)+IF(AND(58&gt;=E28,OR(F28="",58&lt;=F28)),1,0)+IF(AND(58&gt;=E38,OR(F38="",58&lt;=F38)),1,0)</f>
        <v/>
      </c>
      <c r="BM54" s="14">
        <f>IF(AND(59&gt;=E16,OR(F16="",59&lt;=F16)),1,0)+IF(AND(59&gt;=E21,OR(F21="",59&lt;=F21)),1,0)+IF(AND(59&gt;=E28,OR(F28="",59&lt;=F28)),1,0)+IF(AND(59&gt;=E38,OR(F38="",59&lt;=F38)),1,0)</f>
        <v/>
      </c>
      <c r="BN54" s="14">
        <f>IF(AND(60&gt;=E16,OR(F16="",60&lt;=F16)),1,0)+IF(AND(60&gt;=E21,OR(F21="",60&lt;=F21)),1,0)+IF(AND(60&gt;=E28,OR(F28="",60&lt;=F28)),1,0)+IF(AND(60&gt;=E38,OR(F38="",60&lt;=F38)),1,0)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A1:BI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BI1"/>
    </sheetView>
  </sheetViews>
  <sheetFormatPr baseColWidth="8" defaultRowHeight="14.25"/>
  <cols>
    <col width="36.796875" bestFit="1" customWidth="1" style="55" min="1" max="1"/>
    <col width="12" customWidth="1" style="55" min="2" max="61"/>
  </cols>
  <sheetData>
    <row r="1" ht="22.05" customHeight="1" s="55">
      <c r="A1" s="54" t="inlineStr">
        <is>
          <t>Creator Cohorts — 60-month funnel &amp; revenue</t>
        </is>
      </c>
    </row>
    <row r="3">
      <c r="A3" s="37" t="inlineStr">
        <is>
          <t>Metric</t>
        </is>
      </c>
      <c r="B3" s="21" t="inlineStr">
        <is>
          <t>M1</t>
        </is>
      </c>
      <c r="C3" s="21" t="inlineStr">
        <is>
          <t>M2</t>
        </is>
      </c>
      <c r="D3" s="21" t="inlineStr">
        <is>
          <t>M3</t>
        </is>
      </c>
      <c r="E3" s="21" t="inlineStr">
        <is>
          <t>M4</t>
        </is>
      </c>
      <c r="F3" s="21" t="inlineStr">
        <is>
          <t>M5</t>
        </is>
      </c>
      <c r="G3" s="21" t="inlineStr">
        <is>
          <t>M6</t>
        </is>
      </c>
      <c r="H3" s="21" t="inlineStr">
        <is>
          <t>M7</t>
        </is>
      </c>
      <c r="I3" s="21" t="inlineStr">
        <is>
          <t>M8</t>
        </is>
      </c>
      <c r="J3" s="21" t="inlineStr">
        <is>
          <t>M9</t>
        </is>
      </c>
      <c r="K3" s="21" t="inlineStr">
        <is>
          <t>M10</t>
        </is>
      </c>
      <c r="L3" s="21" t="inlineStr">
        <is>
          <t>M11</t>
        </is>
      </c>
      <c r="M3" s="21" t="inlineStr">
        <is>
          <t>M12</t>
        </is>
      </c>
      <c r="N3" s="21" t="inlineStr">
        <is>
          <t>M13</t>
        </is>
      </c>
      <c r="O3" s="21" t="inlineStr">
        <is>
          <t>M14</t>
        </is>
      </c>
      <c r="P3" s="21" t="inlineStr">
        <is>
          <t>M15</t>
        </is>
      </c>
      <c r="Q3" s="21" t="inlineStr">
        <is>
          <t>M16</t>
        </is>
      </c>
      <c r="R3" s="21" t="inlineStr">
        <is>
          <t>M17</t>
        </is>
      </c>
      <c r="S3" s="21" t="inlineStr">
        <is>
          <t>M18</t>
        </is>
      </c>
      <c r="T3" s="21" t="inlineStr">
        <is>
          <t>M19</t>
        </is>
      </c>
      <c r="U3" s="21" t="inlineStr">
        <is>
          <t>M20</t>
        </is>
      </c>
      <c r="V3" s="21" t="inlineStr">
        <is>
          <t>M21</t>
        </is>
      </c>
      <c r="W3" s="21" t="inlineStr">
        <is>
          <t>M22</t>
        </is>
      </c>
      <c r="X3" s="21" t="inlineStr">
        <is>
          <t>M23</t>
        </is>
      </c>
      <c r="Y3" s="21" t="inlineStr">
        <is>
          <t>M24</t>
        </is>
      </c>
      <c r="Z3" s="21" t="inlineStr">
        <is>
          <t>M25</t>
        </is>
      </c>
      <c r="AA3" s="21" t="inlineStr">
        <is>
          <t>M26</t>
        </is>
      </c>
      <c r="AB3" s="21" t="inlineStr">
        <is>
          <t>M27</t>
        </is>
      </c>
      <c r="AC3" s="21" t="inlineStr">
        <is>
          <t>M28</t>
        </is>
      </c>
      <c r="AD3" s="21" t="inlineStr">
        <is>
          <t>M29</t>
        </is>
      </c>
      <c r="AE3" s="21" t="inlineStr">
        <is>
          <t>M30</t>
        </is>
      </c>
      <c r="AF3" s="21" t="inlineStr">
        <is>
          <t>M31</t>
        </is>
      </c>
      <c r="AG3" s="21" t="inlineStr">
        <is>
          <t>M32</t>
        </is>
      </c>
      <c r="AH3" s="21" t="inlineStr">
        <is>
          <t>M33</t>
        </is>
      </c>
      <c r="AI3" s="21" t="inlineStr">
        <is>
          <t>M34</t>
        </is>
      </c>
      <c r="AJ3" s="21" t="inlineStr">
        <is>
          <t>M35</t>
        </is>
      </c>
      <c r="AK3" s="21" t="inlineStr">
        <is>
          <t>M36</t>
        </is>
      </c>
      <c r="AL3" s="21" t="inlineStr">
        <is>
          <t>M37</t>
        </is>
      </c>
      <c r="AM3" s="21" t="inlineStr">
        <is>
          <t>M38</t>
        </is>
      </c>
      <c r="AN3" s="21" t="inlineStr">
        <is>
          <t>M39</t>
        </is>
      </c>
      <c r="AO3" s="21" t="inlineStr">
        <is>
          <t>M40</t>
        </is>
      </c>
      <c r="AP3" s="21" t="inlineStr">
        <is>
          <t>M41</t>
        </is>
      </c>
      <c r="AQ3" s="21" t="inlineStr">
        <is>
          <t>M42</t>
        </is>
      </c>
      <c r="AR3" s="21" t="inlineStr">
        <is>
          <t>M43</t>
        </is>
      </c>
      <c r="AS3" s="21" t="inlineStr">
        <is>
          <t>M44</t>
        </is>
      </c>
      <c r="AT3" s="21" t="inlineStr">
        <is>
          <t>M45</t>
        </is>
      </c>
      <c r="AU3" s="21" t="inlineStr">
        <is>
          <t>M46</t>
        </is>
      </c>
      <c r="AV3" s="21" t="inlineStr">
        <is>
          <t>M47</t>
        </is>
      </c>
      <c r="AW3" s="21" t="inlineStr">
        <is>
          <t>M48</t>
        </is>
      </c>
      <c r="AX3" s="21" t="inlineStr">
        <is>
          <t>M49</t>
        </is>
      </c>
      <c r="AY3" s="21" t="inlineStr">
        <is>
          <t>M50</t>
        </is>
      </c>
      <c r="AZ3" s="21" t="inlineStr">
        <is>
          <t>M51</t>
        </is>
      </c>
      <c r="BA3" s="21" t="inlineStr">
        <is>
          <t>M52</t>
        </is>
      </c>
      <c r="BB3" s="21" t="inlineStr">
        <is>
          <t>M53</t>
        </is>
      </c>
      <c r="BC3" s="21" t="inlineStr">
        <is>
          <t>M54</t>
        </is>
      </c>
      <c r="BD3" s="21" t="inlineStr">
        <is>
          <t>M55</t>
        </is>
      </c>
      <c r="BE3" s="21" t="inlineStr">
        <is>
          <t>M56</t>
        </is>
      </c>
      <c r="BF3" s="21" t="inlineStr">
        <is>
          <t>M57</t>
        </is>
      </c>
      <c r="BG3" s="21" t="inlineStr">
        <is>
          <t>M58</t>
        </is>
      </c>
      <c r="BH3" s="21" t="inlineStr">
        <is>
          <t>M59</t>
        </is>
      </c>
      <c r="BI3" s="21" t="inlineStr">
        <is>
          <t>M60</t>
        </is>
      </c>
    </row>
    <row r="4">
      <c r="A4" s="34" t="inlineStr">
        <is>
          <t>FUNNEL</t>
        </is>
      </c>
    </row>
    <row r="5">
      <c r="A5" s="5" t="inlineStr">
        <is>
          <t>Active creators (EOM)</t>
        </is>
      </c>
      <c r="B5" s="13">
        <f>ROUND((assumptions!$G$16+(assumptions!$G$17-assumptions!$G$16)*1/12),0)</f>
        <v/>
      </c>
      <c r="C5" s="13">
        <f>ROUND((assumptions!$G$16+(assumptions!$G$17-assumptions!$G$16)*2/12),0)</f>
        <v/>
      </c>
      <c r="D5" s="13">
        <f>ROUND((assumptions!$G$16+(assumptions!$G$17-assumptions!$G$16)*3/12),0)</f>
        <v/>
      </c>
      <c r="E5" s="13">
        <f>ROUND((assumptions!$G$16+(assumptions!$G$17-assumptions!$G$16)*4/12),0)</f>
        <v/>
      </c>
      <c r="F5" s="13">
        <f>ROUND((assumptions!$G$16+(assumptions!$G$17-assumptions!$G$16)*5/12),0)</f>
        <v/>
      </c>
      <c r="G5" s="13">
        <f>ROUND((assumptions!$G$16+(assumptions!$G$17-assumptions!$G$16)*6/12),0)</f>
        <v/>
      </c>
      <c r="H5" s="13">
        <f>ROUND((assumptions!$G$16+(assumptions!$G$17-assumptions!$G$16)*7/12),0)</f>
        <v/>
      </c>
      <c r="I5" s="13">
        <f>ROUND((assumptions!$G$16+(assumptions!$G$17-assumptions!$G$16)*8/12),0)</f>
        <v/>
      </c>
      <c r="J5" s="13">
        <f>ROUND((assumptions!$G$16+(assumptions!$G$17-assumptions!$G$16)*9/12),0)</f>
        <v/>
      </c>
      <c r="K5" s="13">
        <f>ROUND((assumptions!$G$16+(assumptions!$G$17-assumptions!$G$16)*10/12),0)</f>
        <v/>
      </c>
      <c r="L5" s="13">
        <f>ROUND((assumptions!$G$16+(assumptions!$G$17-assumptions!$G$16)*11/12),0)</f>
        <v/>
      </c>
      <c r="M5" s="13">
        <f>ROUND((assumptions!$G$16+(assumptions!$G$17-assumptions!$G$16)*12/12),0)</f>
        <v/>
      </c>
      <c r="N5" s="13">
        <f>ROUND((assumptions!$G$17+(assumptions!$G$18-assumptions!$G$17)*(13-12)/12),0)</f>
        <v/>
      </c>
      <c r="O5" s="13">
        <f>ROUND((assumptions!$G$17+(assumptions!$G$18-assumptions!$G$17)*(14-12)/12),0)</f>
        <v/>
      </c>
      <c r="P5" s="13">
        <f>ROUND((assumptions!$G$17+(assumptions!$G$18-assumptions!$G$17)*(15-12)/12),0)</f>
        <v/>
      </c>
      <c r="Q5" s="13">
        <f>ROUND((assumptions!$G$17+(assumptions!$G$18-assumptions!$G$17)*(16-12)/12),0)</f>
        <v/>
      </c>
      <c r="R5" s="13">
        <f>ROUND((assumptions!$G$17+(assumptions!$G$18-assumptions!$G$17)*(17-12)/12),0)</f>
        <v/>
      </c>
      <c r="S5" s="13">
        <f>ROUND((assumptions!$G$17+(assumptions!$G$18-assumptions!$G$17)*(18-12)/12),0)</f>
        <v/>
      </c>
      <c r="T5" s="13">
        <f>ROUND((assumptions!$G$17+(assumptions!$G$18-assumptions!$G$17)*(19-12)/12),0)</f>
        <v/>
      </c>
      <c r="U5" s="13">
        <f>ROUND((assumptions!$G$17+(assumptions!$G$18-assumptions!$G$17)*(20-12)/12),0)</f>
        <v/>
      </c>
      <c r="V5" s="13">
        <f>ROUND((assumptions!$G$17+(assumptions!$G$18-assumptions!$G$17)*(21-12)/12),0)</f>
        <v/>
      </c>
      <c r="W5" s="13">
        <f>ROUND((assumptions!$G$17+(assumptions!$G$18-assumptions!$G$17)*(22-12)/12),0)</f>
        <v/>
      </c>
      <c r="X5" s="13">
        <f>ROUND((assumptions!$G$17+(assumptions!$G$18-assumptions!$G$17)*(23-12)/12),0)</f>
        <v/>
      </c>
      <c r="Y5" s="13">
        <f>ROUND((assumptions!$G$17+(assumptions!$G$18-assumptions!$G$17)*(24-12)/12),0)</f>
        <v/>
      </c>
      <c r="Z5" s="13">
        <f>ROUND((assumptions!$G$18+(assumptions!$G$19-assumptions!$G$18)*(25-24)/12),0)</f>
        <v/>
      </c>
      <c r="AA5" s="13">
        <f>ROUND((assumptions!$G$18+(assumptions!$G$19-assumptions!$G$18)*(26-24)/12),0)</f>
        <v/>
      </c>
      <c r="AB5" s="13">
        <f>ROUND((assumptions!$G$18+(assumptions!$G$19-assumptions!$G$18)*(27-24)/12),0)</f>
        <v/>
      </c>
      <c r="AC5" s="13">
        <f>ROUND((assumptions!$G$18+(assumptions!$G$19-assumptions!$G$18)*(28-24)/12),0)</f>
        <v/>
      </c>
      <c r="AD5" s="13">
        <f>ROUND((assumptions!$G$18+(assumptions!$G$19-assumptions!$G$18)*(29-24)/12),0)</f>
        <v/>
      </c>
      <c r="AE5" s="13">
        <f>ROUND((assumptions!$G$18+(assumptions!$G$19-assumptions!$G$18)*(30-24)/12),0)</f>
        <v/>
      </c>
      <c r="AF5" s="13">
        <f>ROUND((assumptions!$G$18+(assumptions!$G$19-assumptions!$G$18)*(31-24)/12),0)</f>
        <v/>
      </c>
      <c r="AG5" s="13">
        <f>ROUND((assumptions!$G$18+(assumptions!$G$19-assumptions!$G$18)*(32-24)/12),0)</f>
        <v/>
      </c>
      <c r="AH5" s="13">
        <f>ROUND((assumptions!$G$18+(assumptions!$G$19-assumptions!$G$18)*(33-24)/12),0)</f>
        <v/>
      </c>
      <c r="AI5" s="13">
        <f>ROUND((assumptions!$G$18+(assumptions!$G$19-assumptions!$G$18)*(34-24)/12),0)</f>
        <v/>
      </c>
      <c r="AJ5" s="13">
        <f>ROUND((assumptions!$G$18+(assumptions!$G$19-assumptions!$G$18)*(35-24)/12),0)</f>
        <v/>
      </c>
      <c r="AK5" s="13">
        <f>ROUND((assumptions!$G$18+(assumptions!$G$19-assumptions!$G$18)*(36-24)/12),0)</f>
        <v/>
      </c>
      <c r="AL5" s="13">
        <f>ROUND((assumptions!$G$19+(assumptions!$G$20-assumptions!$G$19)*(37-36)/12),0)</f>
        <v/>
      </c>
      <c r="AM5" s="13">
        <f>ROUND((assumptions!$G$19+(assumptions!$G$20-assumptions!$G$19)*(38-36)/12),0)</f>
        <v/>
      </c>
      <c r="AN5" s="13">
        <f>ROUND((assumptions!$G$19+(assumptions!$G$20-assumptions!$G$19)*(39-36)/12),0)</f>
        <v/>
      </c>
      <c r="AO5" s="13">
        <f>ROUND((assumptions!$G$19+(assumptions!$G$20-assumptions!$G$19)*(40-36)/12),0)</f>
        <v/>
      </c>
      <c r="AP5" s="13">
        <f>ROUND((assumptions!$G$19+(assumptions!$G$20-assumptions!$G$19)*(41-36)/12),0)</f>
        <v/>
      </c>
      <c r="AQ5" s="13">
        <f>ROUND((assumptions!$G$19+(assumptions!$G$20-assumptions!$G$19)*(42-36)/12),0)</f>
        <v/>
      </c>
      <c r="AR5" s="13">
        <f>ROUND((assumptions!$G$19+(assumptions!$G$20-assumptions!$G$19)*(43-36)/12),0)</f>
        <v/>
      </c>
      <c r="AS5" s="13">
        <f>ROUND((assumptions!$G$19+(assumptions!$G$20-assumptions!$G$19)*(44-36)/12),0)</f>
        <v/>
      </c>
      <c r="AT5" s="13">
        <f>ROUND((assumptions!$G$19+(assumptions!$G$20-assumptions!$G$19)*(45-36)/12),0)</f>
        <v/>
      </c>
      <c r="AU5" s="13">
        <f>ROUND((assumptions!$G$19+(assumptions!$G$20-assumptions!$G$19)*(46-36)/12),0)</f>
        <v/>
      </c>
      <c r="AV5" s="13">
        <f>ROUND((assumptions!$G$19+(assumptions!$G$20-assumptions!$G$19)*(47-36)/12),0)</f>
        <v/>
      </c>
      <c r="AW5" s="13">
        <f>ROUND((assumptions!$G$19+(assumptions!$G$20-assumptions!$G$19)*(48-36)/12),0)</f>
        <v/>
      </c>
      <c r="AX5" s="13">
        <f>ROUND((assumptions!$G$20+(assumptions!$G$21-assumptions!$G$20)*(49-48)/12),0)</f>
        <v/>
      </c>
      <c r="AY5" s="13">
        <f>ROUND((assumptions!$G$20+(assumptions!$G$21-assumptions!$G$20)*(50-48)/12),0)</f>
        <v/>
      </c>
      <c r="AZ5" s="13">
        <f>ROUND((assumptions!$G$20+(assumptions!$G$21-assumptions!$G$20)*(51-48)/12),0)</f>
        <v/>
      </c>
      <c r="BA5" s="13">
        <f>ROUND((assumptions!$G$20+(assumptions!$G$21-assumptions!$G$20)*(52-48)/12),0)</f>
        <v/>
      </c>
      <c r="BB5" s="13">
        <f>ROUND((assumptions!$G$20+(assumptions!$G$21-assumptions!$G$20)*(53-48)/12),0)</f>
        <v/>
      </c>
      <c r="BC5" s="13">
        <f>ROUND((assumptions!$G$20+(assumptions!$G$21-assumptions!$G$20)*(54-48)/12),0)</f>
        <v/>
      </c>
      <c r="BD5" s="13">
        <f>ROUND((assumptions!$G$20+(assumptions!$G$21-assumptions!$G$20)*(55-48)/12),0)</f>
        <v/>
      </c>
      <c r="BE5" s="13">
        <f>ROUND((assumptions!$G$20+(assumptions!$G$21-assumptions!$G$20)*(56-48)/12),0)</f>
        <v/>
      </c>
      <c r="BF5" s="13">
        <f>ROUND((assumptions!$G$20+(assumptions!$G$21-assumptions!$G$20)*(57-48)/12),0)</f>
        <v/>
      </c>
      <c r="BG5" s="13">
        <f>ROUND((assumptions!$G$20+(assumptions!$G$21-assumptions!$G$20)*(58-48)/12),0)</f>
        <v/>
      </c>
      <c r="BH5" s="13">
        <f>ROUND((assumptions!$G$20+(assumptions!$G$21-assumptions!$G$20)*(59-48)/12),0)</f>
        <v/>
      </c>
      <c r="BI5" s="13">
        <f>ROUND((assumptions!$G$20+(assumptions!$G$21-assumptions!$G$20)*(60-48)/12),0)</f>
        <v/>
      </c>
    </row>
    <row r="6">
      <c r="A6" s="5" t="inlineStr">
        <is>
          <t>Churned creators (mo)</t>
        </is>
      </c>
      <c r="B6" s="14">
        <f>ROUND(0*assumptions!$G$22,0)</f>
        <v/>
      </c>
      <c r="C6" s="14">
        <f>ROUND(B5*assumptions!$G$22,0)</f>
        <v/>
      </c>
      <c r="D6" s="14">
        <f>ROUND(C5*assumptions!$G$22,0)</f>
        <v/>
      </c>
      <c r="E6" s="14">
        <f>ROUND(D5*assumptions!$G$22,0)</f>
        <v/>
      </c>
      <c r="F6" s="14">
        <f>ROUND(E5*assumptions!$G$22,0)</f>
        <v/>
      </c>
      <c r="G6" s="14">
        <f>ROUND(F5*assumptions!$G$22,0)</f>
        <v/>
      </c>
      <c r="H6" s="14">
        <f>ROUND(G5*assumptions!$G$22,0)</f>
        <v/>
      </c>
      <c r="I6" s="14">
        <f>ROUND(H5*assumptions!$G$22,0)</f>
        <v/>
      </c>
      <c r="J6" s="14">
        <f>ROUND(I5*assumptions!$G$22,0)</f>
        <v/>
      </c>
      <c r="K6" s="14">
        <f>ROUND(J5*assumptions!$G$22,0)</f>
        <v/>
      </c>
      <c r="L6" s="14">
        <f>ROUND(K5*assumptions!$G$22,0)</f>
        <v/>
      </c>
      <c r="M6" s="14">
        <f>ROUND(L5*assumptions!$G$22,0)</f>
        <v/>
      </c>
      <c r="N6" s="14">
        <f>ROUND(M5*assumptions!$G$22,0)</f>
        <v/>
      </c>
      <c r="O6" s="14">
        <f>ROUND(N5*assumptions!$G$22,0)</f>
        <v/>
      </c>
      <c r="P6" s="14">
        <f>ROUND(O5*assumptions!$G$22,0)</f>
        <v/>
      </c>
      <c r="Q6" s="14">
        <f>ROUND(P5*assumptions!$G$22,0)</f>
        <v/>
      </c>
      <c r="R6" s="14">
        <f>ROUND(Q5*assumptions!$G$22,0)</f>
        <v/>
      </c>
      <c r="S6" s="14">
        <f>ROUND(R5*assumptions!$G$22,0)</f>
        <v/>
      </c>
      <c r="T6" s="14">
        <f>ROUND(S5*assumptions!$G$22,0)</f>
        <v/>
      </c>
      <c r="U6" s="14">
        <f>ROUND(T5*assumptions!$G$22,0)</f>
        <v/>
      </c>
      <c r="V6" s="14">
        <f>ROUND(U5*assumptions!$G$22,0)</f>
        <v/>
      </c>
      <c r="W6" s="14">
        <f>ROUND(V5*assumptions!$G$22,0)</f>
        <v/>
      </c>
      <c r="X6" s="14">
        <f>ROUND(W5*assumptions!$G$22,0)</f>
        <v/>
      </c>
      <c r="Y6" s="14">
        <f>ROUND(X5*assumptions!$G$22,0)</f>
        <v/>
      </c>
      <c r="Z6" s="14">
        <f>ROUND(Y5*assumptions!$G$22,0)</f>
        <v/>
      </c>
      <c r="AA6" s="14">
        <f>ROUND(Z5*assumptions!$G$22,0)</f>
        <v/>
      </c>
      <c r="AB6" s="14">
        <f>ROUND(AA5*assumptions!$G$22,0)</f>
        <v/>
      </c>
      <c r="AC6" s="14">
        <f>ROUND(AB5*assumptions!$G$22,0)</f>
        <v/>
      </c>
      <c r="AD6" s="14">
        <f>ROUND(AC5*assumptions!$G$22,0)</f>
        <v/>
      </c>
      <c r="AE6" s="14">
        <f>ROUND(AD5*assumptions!$G$22,0)</f>
        <v/>
      </c>
      <c r="AF6" s="14">
        <f>ROUND(AE5*assumptions!$G$22,0)</f>
        <v/>
      </c>
      <c r="AG6" s="14">
        <f>ROUND(AF5*assumptions!$G$22,0)</f>
        <v/>
      </c>
      <c r="AH6" s="14">
        <f>ROUND(AG5*assumptions!$G$22,0)</f>
        <v/>
      </c>
      <c r="AI6" s="14">
        <f>ROUND(AH5*assumptions!$G$22,0)</f>
        <v/>
      </c>
      <c r="AJ6" s="14">
        <f>ROUND(AI5*assumptions!$G$22,0)</f>
        <v/>
      </c>
      <c r="AK6" s="14">
        <f>ROUND(AJ5*assumptions!$G$22,0)</f>
        <v/>
      </c>
      <c r="AL6" s="14">
        <f>ROUND(AK5*assumptions!$G$22,0)</f>
        <v/>
      </c>
      <c r="AM6" s="14">
        <f>ROUND(AL5*assumptions!$G$22,0)</f>
        <v/>
      </c>
      <c r="AN6" s="14">
        <f>ROUND(AM5*assumptions!$G$22,0)</f>
        <v/>
      </c>
      <c r="AO6" s="14">
        <f>ROUND(AN5*assumptions!$G$22,0)</f>
        <v/>
      </c>
      <c r="AP6" s="14">
        <f>ROUND(AO5*assumptions!$G$22,0)</f>
        <v/>
      </c>
      <c r="AQ6" s="14">
        <f>ROUND(AP5*assumptions!$G$22,0)</f>
        <v/>
      </c>
      <c r="AR6" s="14">
        <f>ROUND(AQ5*assumptions!$G$22,0)</f>
        <v/>
      </c>
      <c r="AS6" s="14">
        <f>ROUND(AR5*assumptions!$G$22,0)</f>
        <v/>
      </c>
      <c r="AT6" s="14">
        <f>ROUND(AS5*assumptions!$G$22,0)</f>
        <v/>
      </c>
      <c r="AU6" s="14">
        <f>ROUND(AT5*assumptions!$G$22,0)</f>
        <v/>
      </c>
      <c r="AV6" s="14">
        <f>ROUND(AU5*assumptions!$G$22,0)</f>
        <v/>
      </c>
      <c r="AW6" s="14">
        <f>ROUND(AV5*assumptions!$G$22,0)</f>
        <v/>
      </c>
      <c r="AX6" s="14">
        <f>ROUND(AW5*assumptions!$G$22,0)</f>
        <v/>
      </c>
      <c r="AY6" s="14">
        <f>ROUND(AX5*assumptions!$G$22,0)</f>
        <v/>
      </c>
      <c r="AZ6" s="14">
        <f>ROUND(AY5*assumptions!$G$22,0)</f>
        <v/>
      </c>
      <c r="BA6" s="14">
        <f>ROUND(AZ5*assumptions!$G$22,0)</f>
        <v/>
      </c>
      <c r="BB6" s="14">
        <f>ROUND(BA5*assumptions!$G$22,0)</f>
        <v/>
      </c>
      <c r="BC6" s="14">
        <f>ROUND(BB5*assumptions!$G$22,0)</f>
        <v/>
      </c>
      <c r="BD6" s="14">
        <f>ROUND(BC5*assumptions!$G$22,0)</f>
        <v/>
      </c>
      <c r="BE6" s="14">
        <f>ROUND(BD5*assumptions!$G$22,0)</f>
        <v/>
      </c>
      <c r="BF6" s="14">
        <f>ROUND(BE5*assumptions!$G$22,0)</f>
        <v/>
      </c>
      <c r="BG6" s="14">
        <f>ROUND(BF5*assumptions!$G$22,0)</f>
        <v/>
      </c>
      <c r="BH6" s="14">
        <f>ROUND(BG5*assumptions!$G$22,0)</f>
        <v/>
      </c>
      <c r="BI6" s="14">
        <f>ROUND(BH5*assumptions!$G$22,0)</f>
        <v/>
      </c>
    </row>
    <row r="7">
      <c r="A7" s="5" t="inlineStr">
        <is>
          <t>Net new creators (mo)</t>
        </is>
      </c>
      <c r="B7" s="14">
        <f>B5-0+B6</f>
        <v/>
      </c>
      <c r="C7" s="14">
        <f>C5-B5+C6</f>
        <v/>
      </c>
      <c r="D7" s="14">
        <f>D5-C5+D6</f>
        <v/>
      </c>
      <c r="E7" s="14">
        <f>E5-D5+E6</f>
        <v/>
      </c>
      <c r="F7" s="14">
        <f>F5-E5+F6</f>
        <v/>
      </c>
      <c r="G7" s="14">
        <f>G5-F5+G6</f>
        <v/>
      </c>
      <c r="H7" s="14">
        <f>H5-G5+H6</f>
        <v/>
      </c>
      <c r="I7" s="14">
        <f>I5-H5+I6</f>
        <v/>
      </c>
      <c r="J7" s="14">
        <f>J5-I5+J6</f>
        <v/>
      </c>
      <c r="K7" s="14">
        <f>K5-J5+K6</f>
        <v/>
      </c>
      <c r="L7" s="14">
        <f>L5-K5+L6</f>
        <v/>
      </c>
      <c r="M7" s="14">
        <f>M5-L5+M6</f>
        <v/>
      </c>
      <c r="N7" s="14">
        <f>N5-M5+N6</f>
        <v/>
      </c>
      <c r="O7" s="14">
        <f>O5-N5+O6</f>
        <v/>
      </c>
      <c r="P7" s="14">
        <f>P5-O5+P6</f>
        <v/>
      </c>
      <c r="Q7" s="14">
        <f>Q5-P5+Q6</f>
        <v/>
      </c>
      <c r="R7" s="14">
        <f>R5-Q5+R6</f>
        <v/>
      </c>
      <c r="S7" s="14">
        <f>S5-R5+S6</f>
        <v/>
      </c>
      <c r="T7" s="14">
        <f>T5-S5+T6</f>
        <v/>
      </c>
      <c r="U7" s="14">
        <f>U5-T5+U6</f>
        <v/>
      </c>
      <c r="V7" s="14">
        <f>V5-U5+V6</f>
        <v/>
      </c>
      <c r="W7" s="14">
        <f>W5-V5+W6</f>
        <v/>
      </c>
      <c r="X7" s="14">
        <f>X5-W5+X6</f>
        <v/>
      </c>
      <c r="Y7" s="14">
        <f>Y5-X5+Y6</f>
        <v/>
      </c>
      <c r="Z7" s="14">
        <f>Z5-Y5+Z6</f>
        <v/>
      </c>
      <c r="AA7" s="14">
        <f>AA5-Z5+AA6</f>
        <v/>
      </c>
      <c r="AB7" s="14">
        <f>AB5-AA5+AB6</f>
        <v/>
      </c>
      <c r="AC7" s="14">
        <f>AC5-AB5+AC6</f>
        <v/>
      </c>
      <c r="AD7" s="14">
        <f>AD5-AC5+AD6</f>
        <v/>
      </c>
      <c r="AE7" s="14">
        <f>AE5-AD5+AE6</f>
        <v/>
      </c>
      <c r="AF7" s="14">
        <f>AF5-AE5+AF6</f>
        <v/>
      </c>
      <c r="AG7" s="14">
        <f>AG5-AF5+AG6</f>
        <v/>
      </c>
      <c r="AH7" s="14">
        <f>AH5-AG5+AH6</f>
        <v/>
      </c>
      <c r="AI7" s="14">
        <f>AI5-AH5+AI6</f>
        <v/>
      </c>
      <c r="AJ7" s="14">
        <f>AJ5-AI5+AJ6</f>
        <v/>
      </c>
      <c r="AK7" s="14">
        <f>AK5-AJ5+AK6</f>
        <v/>
      </c>
      <c r="AL7" s="14">
        <f>AL5-AK5+AL6</f>
        <v/>
      </c>
      <c r="AM7" s="14">
        <f>AM5-AL5+AM6</f>
        <v/>
      </c>
      <c r="AN7" s="14">
        <f>AN5-AM5+AN6</f>
        <v/>
      </c>
      <c r="AO7" s="14">
        <f>AO5-AN5+AO6</f>
        <v/>
      </c>
      <c r="AP7" s="14">
        <f>AP5-AO5+AP6</f>
        <v/>
      </c>
      <c r="AQ7" s="14">
        <f>AQ5-AP5+AQ6</f>
        <v/>
      </c>
      <c r="AR7" s="14">
        <f>AR5-AQ5+AR6</f>
        <v/>
      </c>
      <c r="AS7" s="14">
        <f>AS5-AR5+AS6</f>
        <v/>
      </c>
      <c r="AT7" s="14">
        <f>AT5-AS5+AT6</f>
        <v/>
      </c>
      <c r="AU7" s="14">
        <f>AU5-AT5+AU6</f>
        <v/>
      </c>
      <c r="AV7" s="14">
        <f>AV5-AU5+AV6</f>
        <v/>
      </c>
      <c r="AW7" s="14">
        <f>AW5-AV5+AW6</f>
        <v/>
      </c>
      <c r="AX7" s="14">
        <f>AX5-AW5+AX6</f>
        <v/>
      </c>
      <c r="AY7" s="14">
        <f>AY5-AX5+AY6</f>
        <v/>
      </c>
      <c r="AZ7" s="14">
        <f>AZ5-AY5+AZ6</f>
        <v/>
      </c>
      <c r="BA7" s="14">
        <f>BA5-AZ5+BA6</f>
        <v/>
      </c>
      <c r="BB7" s="14">
        <f>BB5-BA5+BB6</f>
        <v/>
      </c>
      <c r="BC7" s="14">
        <f>BC5-BB5+BC6</f>
        <v/>
      </c>
      <c r="BD7" s="14">
        <f>BD5-BC5+BD6</f>
        <v/>
      </c>
      <c r="BE7" s="14">
        <f>BE5-BD5+BE6</f>
        <v/>
      </c>
      <c r="BF7" s="14">
        <f>BF5-BE5+BF6</f>
        <v/>
      </c>
      <c r="BG7" s="14">
        <f>BG5-BF5+BG6</f>
        <v/>
      </c>
      <c r="BH7" s="14">
        <f>BH5-BG5+BH6</f>
        <v/>
      </c>
      <c r="BI7" s="14">
        <f>BI5-BH5+BI6</f>
        <v/>
      </c>
    </row>
    <row r="8">
      <c r="A8" s="63" t="inlineStr">
        <is>
          <t>Payment processing — shared off the top (£)</t>
        </is>
      </c>
      <c r="B8">
        <f>B11*assumptions!$G$61+B24*assumptions!$G$62</f>
        <v/>
      </c>
      <c r="C8">
        <f>C11*assumptions!$G$61+C24*assumptions!$G$62</f>
        <v/>
      </c>
      <c r="D8">
        <f>D11*assumptions!$G$61+D24*assumptions!$G$62</f>
        <v/>
      </c>
      <c r="E8">
        <f>E11*assumptions!$G$61+E24*assumptions!$G$62</f>
        <v/>
      </c>
      <c r="F8">
        <f>F11*assumptions!$G$61+F24*assumptions!$G$62</f>
        <v/>
      </c>
      <c r="G8">
        <f>G11*assumptions!$G$61+G24*assumptions!$G$62</f>
        <v/>
      </c>
      <c r="H8">
        <f>H11*assumptions!$G$61+H24*assumptions!$G$62</f>
        <v/>
      </c>
      <c r="I8">
        <f>I11*assumptions!$G$61+I24*assumptions!$G$62</f>
        <v/>
      </c>
      <c r="J8">
        <f>J11*assumptions!$G$61+J24*assumptions!$G$62</f>
        <v/>
      </c>
      <c r="K8">
        <f>K11*assumptions!$G$61+K24*assumptions!$G$62</f>
        <v/>
      </c>
      <c r="L8">
        <f>L11*assumptions!$G$61+L24*assumptions!$G$62</f>
        <v/>
      </c>
      <c r="M8">
        <f>M11*assumptions!$G$61+M24*assumptions!$G$62</f>
        <v/>
      </c>
      <c r="N8">
        <f>N11*assumptions!$G$61+N24*assumptions!$G$62</f>
        <v/>
      </c>
      <c r="O8">
        <f>O11*assumptions!$G$61+O24*assumptions!$G$62</f>
        <v/>
      </c>
      <c r="P8">
        <f>P11*assumptions!$G$61+P24*assumptions!$G$62</f>
        <v/>
      </c>
      <c r="Q8">
        <f>Q11*assumptions!$G$61+Q24*assumptions!$G$62</f>
        <v/>
      </c>
      <c r="R8">
        <f>R11*assumptions!$G$61+R24*assumptions!$G$62</f>
        <v/>
      </c>
      <c r="S8">
        <f>S11*assumptions!$G$61+S24*assumptions!$G$62</f>
        <v/>
      </c>
      <c r="T8">
        <f>T11*assumptions!$G$61+T24*assumptions!$G$62</f>
        <v/>
      </c>
      <c r="U8">
        <f>U11*assumptions!$G$61+U24*assumptions!$G$62</f>
        <v/>
      </c>
      <c r="V8">
        <f>V11*assumptions!$G$61+V24*assumptions!$G$62</f>
        <v/>
      </c>
      <c r="W8">
        <f>W11*assumptions!$G$61+W24*assumptions!$G$62</f>
        <v/>
      </c>
      <c r="X8">
        <f>X11*assumptions!$G$61+X24*assumptions!$G$62</f>
        <v/>
      </c>
      <c r="Y8">
        <f>Y11*assumptions!$G$61+Y24*assumptions!$G$62</f>
        <v/>
      </c>
      <c r="Z8">
        <f>Z11*assumptions!$G$61+Z24*assumptions!$G$62</f>
        <v/>
      </c>
      <c r="AA8">
        <f>AA11*assumptions!$G$61+AA24*assumptions!$G$62</f>
        <v/>
      </c>
      <c r="AB8">
        <f>AB11*assumptions!$G$61+AB24*assumptions!$G$62</f>
        <v/>
      </c>
      <c r="AC8">
        <f>AC11*assumptions!$G$61+AC24*assumptions!$G$62</f>
        <v/>
      </c>
      <c r="AD8">
        <f>AD11*assumptions!$G$61+AD24*assumptions!$G$62</f>
        <v/>
      </c>
      <c r="AE8">
        <f>AE11*assumptions!$G$61+AE24*assumptions!$G$62</f>
        <v/>
      </c>
      <c r="AF8">
        <f>AF11*assumptions!$G$61+AF24*assumptions!$G$62</f>
        <v/>
      </c>
      <c r="AG8">
        <f>AG11*assumptions!$G$61+AG24*assumptions!$G$62</f>
        <v/>
      </c>
      <c r="AH8">
        <f>AH11*assumptions!$G$61+AH24*assumptions!$G$62</f>
        <v/>
      </c>
      <c r="AI8">
        <f>AI11*assumptions!$G$61+AI24*assumptions!$G$62</f>
        <v/>
      </c>
      <c r="AJ8">
        <f>AJ11*assumptions!$G$61+AJ24*assumptions!$G$62</f>
        <v/>
      </c>
      <c r="AK8">
        <f>AK11*assumptions!$G$61+AK24*assumptions!$G$62</f>
        <v/>
      </c>
      <c r="AL8">
        <f>AL11*assumptions!$G$61+AL24*assumptions!$G$62</f>
        <v/>
      </c>
      <c r="AM8">
        <f>AM11*assumptions!$G$61+AM24*assumptions!$G$62</f>
        <v/>
      </c>
      <c r="AN8">
        <f>AN11*assumptions!$G$61+AN24*assumptions!$G$62</f>
        <v/>
      </c>
      <c r="AO8">
        <f>AO11*assumptions!$G$61+AO24*assumptions!$G$62</f>
        <v/>
      </c>
      <c r="AP8">
        <f>AP11*assumptions!$G$61+AP24*assumptions!$G$62</f>
        <v/>
      </c>
      <c r="AQ8">
        <f>AQ11*assumptions!$G$61+AQ24*assumptions!$G$62</f>
        <v/>
      </c>
      <c r="AR8">
        <f>AR11*assumptions!$G$61+AR24*assumptions!$G$62</f>
        <v/>
      </c>
      <c r="AS8">
        <f>AS11*assumptions!$G$61+AS24*assumptions!$G$62</f>
        <v/>
      </c>
      <c r="AT8">
        <f>AT11*assumptions!$G$61+AT24*assumptions!$G$62</f>
        <v/>
      </c>
      <c r="AU8">
        <f>AU11*assumptions!$G$61+AU24*assumptions!$G$62</f>
        <v/>
      </c>
      <c r="AV8">
        <f>AV11*assumptions!$G$61+AV24*assumptions!$G$62</f>
        <v/>
      </c>
      <c r="AW8">
        <f>AW11*assumptions!$G$61+AW24*assumptions!$G$62</f>
        <v/>
      </c>
      <c r="AX8">
        <f>AX11*assumptions!$G$61+AX24*assumptions!$G$62</f>
        <v/>
      </c>
      <c r="AY8">
        <f>AY11*assumptions!$G$61+AY24*assumptions!$G$62</f>
        <v/>
      </c>
      <c r="AZ8">
        <f>AZ11*assumptions!$G$61+AZ24*assumptions!$G$62</f>
        <v/>
      </c>
      <c r="BA8">
        <f>BA11*assumptions!$G$61+BA24*assumptions!$G$62</f>
        <v/>
      </c>
      <c r="BB8">
        <f>BB11*assumptions!$G$61+BB24*assumptions!$G$62</f>
        <v/>
      </c>
      <c r="BC8">
        <f>BC11*assumptions!$G$61+BC24*assumptions!$G$62</f>
        <v/>
      </c>
      <c r="BD8">
        <f>BD11*assumptions!$G$61+BD24*assumptions!$G$62</f>
        <v/>
      </c>
      <c r="BE8">
        <f>BE11*assumptions!$G$61+BE24*assumptions!$G$62</f>
        <v/>
      </c>
      <c r="BF8">
        <f>BF11*assumptions!$G$61+BF24*assumptions!$G$62</f>
        <v/>
      </c>
      <c r="BG8">
        <f>BG11*assumptions!$G$61+BG24*assumptions!$G$62</f>
        <v/>
      </c>
      <c r="BH8">
        <f>BH11*assumptions!$G$61+BH24*assumptions!$G$62</f>
        <v/>
      </c>
      <c r="BI8">
        <f>BI11*assumptions!$G$61+BI24*assumptions!$G$62</f>
        <v/>
      </c>
    </row>
    <row r="9">
      <c r="A9" s="34" t="inlineStr">
        <is>
          <t>GBV</t>
        </is>
      </c>
    </row>
    <row r="10">
      <c r="A10" s="5" t="inlineStr">
        <is>
          <t>GBV/active/mo (£)</t>
        </is>
      </c>
      <c r="B10" s="16">
        <f>(assumptions!$G$24*0.5+(assumptions!$G$24-assumptions!$G$24*0.5)*(1-1)/11)</f>
        <v/>
      </c>
      <c r="C10" s="16">
        <f>(assumptions!$G$24*0.5+(assumptions!$G$24-assumptions!$G$24*0.5)*(2-1)/11)</f>
        <v/>
      </c>
      <c r="D10" s="16">
        <f>(assumptions!$G$24*0.5+(assumptions!$G$24-assumptions!$G$24*0.5)*(3-1)/11)</f>
        <v/>
      </c>
      <c r="E10" s="16">
        <f>(assumptions!$G$24*0.5+(assumptions!$G$24-assumptions!$G$24*0.5)*(4-1)/11)</f>
        <v/>
      </c>
      <c r="F10" s="16">
        <f>(assumptions!$G$24*0.5+(assumptions!$G$24-assumptions!$G$24*0.5)*(5-1)/11)</f>
        <v/>
      </c>
      <c r="G10" s="16">
        <f>(assumptions!$G$24*0.5+(assumptions!$G$24-assumptions!$G$24*0.5)*(6-1)/11)</f>
        <v/>
      </c>
      <c r="H10" s="16">
        <f>(assumptions!$G$24*0.5+(assumptions!$G$24-assumptions!$G$24*0.5)*(7-1)/11)</f>
        <v/>
      </c>
      <c r="I10" s="16">
        <f>(assumptions!$G$24*0.5+(assumptions!$G$24-assumptions!$G$24*0.5)*(8-1)/11)</f>
        <v/>
      </c>
      <c r="J10" s="16">
        <f>(assumptions!$G$24*0.5+(assumptions!$G$24-assumptions!$G$24*0.5)*(9-1)/11)</f>
        <v/>
      </c>
      <c r="K10" s="16">
        <f>(assumptions!$G$24*0.5+(assumptions!$G$24-assumptions!$G$24*0.5)*(10-1)/11)</f>
        <v/>
      </c>
      <c r="L10" s="16">
        <f>(assumptions!$G$24*0.5+(assumptions!$G$24-assumptions!$G$24*0.5)*(11-1)/11)</f>
        <v/>
      </c>
      <c r="M10" s="16">
        <f>(assumptions!$G$24*0.5+(assumptions!$G$24-assumptions!$G$24*0.5)*(12-1)/11)</f>
        <v/>
      </c>
      <c r="N10" s="16">
        <f>(assumptions!$G$24+(assumptions!$G$25-assumptions!$G$24)*(13-12)/12)</f>
        <v/>
      </c>
      <c r="O10" s="16">
        <f>(assumptions!$G$24+(assumptions!$G$25-assumptions!$G$24)*(14-12)/12)</f>
        <v/>
      </c>
      <c r="P10" s="16">
        <f>(assumptions!$G$24+(assumptions!$G$25-assumptions!$G$24)*(15-12)/12)</f>
        <v/>
      </c>
      <c r="Q10" s="16">
        <f>(assumptions!$G$24+(assumptions!$G$25-assumptions!$G$24)*(16-12)/12)</f>
        <v/>
      </c>
      <c r="R10" s="16">
        <f>(assumptions!$G$24+(assumptions!$G$25-assumptions!$G$24)*(17-12)/12)</f>
        <v/>
      </c>
      <c r="S10" s="16">
        <f>(assumptions!$G$24+(assumptions!$G$25-assumptions!$G$24)*(18-12)/12)</f>
        <v/>
      </c>
      <c r="T10" s="16">
        <f>(assumptions!$G$24+(assumptions!$G$25-assumptions!$G$24)*(19-12)/12)</f>
        <v/>
      </c>
      <c r="U10" s="16">
        <f>(assumptions!$G$24+(assumptions!$G$25-assumptions!$G$24)*(20-12)/12)</f>
        <v/>
      </c>
      <c r="V10" s="16">
        <f>(assumptions!$G$24+(assumptions!$G$25-assumptions!$G$24)*(21-12)/12)</f>
        <v/>
      </c>
      <c r="W10" s="16">
        <f>(assumptions!$G$24+(assumptions!$G$25-assumptions!$G$24)*(22-12)/12)</f>
        <v/>
      </c>
      <c r="X10" s="16">
        <f>(assumptions!$G$24+(assumptions!$G$25-assumptions!$G$24)*(23-12)/12)</f>
        <v/>
      </c>
      <c r="Y10" s="16">
        <f>(assumptions!$G$24+(assumptions!$G$25-assumptions!$G$24)*(24-12)/12)</f>
        <v/>
      </c>
      <c r="Z10" s="16">
        <f>(assumptions!$G$25+(assumptions!$G$26-assumptions!$G$25)*(25-24)/12)</f>
        <v/>
      </c>
      <c r="AA10" s="16">
        <f>(assumptions!$G$25+(assumptions!$G$26-assumptions!$G$25)*(26-24)/12)</f>
        <v/>
      </c>
      <c r="AB10" s="16">
        <f>(assumptions!$G$25+(assumptions!$G$26-assumptions!$G$25)*(27-24)/12)</f>
        <v/>
      </c>
      <c r="AC10" s="16">
        <f>(assumptions!$G$25+(assumptions!$G$26-assumptions!$G$25)*(28-24)/12)</f>
        <v/>
      </c>
      <c r="AD10" s="16">
        <f>(assumptions!$G$25+(assumptions!$G$26-assumptions!$G$25)*(29-24)/12)</f>
        <v/>
      </c>
      <c r="AE10" s="16">
        <f>(assumptions!$G$25+(assumptions!$G$26-assumptions!$G$25)*(30-24)/12)</f>
        <v/>
      </c>
      <c r="AF10" s="16">
        <f>(assumptions!$G$25+(assumptions!$G$26-assumptions!$G$25)*(31-24)/12)</f>
        <v/>
      </c>
      <c r="AG10" s="16">
        <f>(assumptions!$G$25+(assumptions!$G$26-assumptions!$G$25)*(32-24)/12)</f>
        <v/>
      </c>
      <c r="AH10" s="16">
        <f>(assumptions!$G$25+(assumptions!$G$26-assumptions!$G$25)*(33-24)/12)</f>
        <v/>
      </c>
      <c r="AI10" s="16">
        <f>(assumptions!$G$25+(assumptions!$G$26-assumptions!$G$25)*(34-24)/12)</f>
        <v/>
      </c>
      <c r="AJ10" s="16">
        <f>(assumptions!$G$25+(assumptions!$G$26-assumptions!$G$25)*(35-24)/12)</f>
        <v/>
      </c>
      <c r="AK10" s="16">
        <f>(assumptions!$G$25+(assumptions!$G$26-assumptions!$G$25)*(36-24)/12)</f>
        <v/>
      </c>
      <c r="AL10" s="16">
        <f>(assumptions!$G$26+(assumptions!$G$27-assumptions!$G$26)*(37-36)/12)</f>
        <v/>
      </c>
      <c r="AM10" s="16">
        <f>(assumptions!$G$26+(assumptions!$G$27-assumptions!$G$26)*(38-36)/12)</f>
        <v/>
      </c>
      <c r="AN10" s="16">
        <f>(assumptions!$G$26+(assumptions!$G$27-assumptions!$G$26)*(39-36)/12)</f>
        <v/>
      </c>
      <c r="AO10" s="16">
        <f>(assumptions!$G$26+(assumptions!$G$27-assumptions!$G$26)*(40-36)/12)</f>
        <v/>
      </c>
      <c r="AP10" s="16">
        <f>(assumptions!$G$26+(assumptions!$G$27-assumptions!$G$26)*(41-36)/12)</f>
        <v/>
      </c>
      <c r="AQ10" s="16">
        <f>(assumptions!$G$26+(assumptions!$G$27-assumptions!$G$26)*(42-36)/12)</f>
        <v/>
      </c>
      <c r="AR10" s="16">
        <f>(assumptions!$G$26+(assumptions!$G$27-assumptions!$G$26)*(43-36)/12)</f>
        <v/>
      </c>
      <c r="AS10" s="16">
        <f>(assumptions!$G$26+(assumptions!$G$27-assumptions!$G$26)*(44-36)/12)</f>
        <v/>
      </c>
      <c r="AT10" s="16">
        <f>(assumptions!$G$26+(assumptions!$G$27-assumptions!$G$26)*(45-36)/12)</f>
        <v/>
      </c>
      <c r="AU10" s="16">
        <f>(assumptions!$G$26+(assumptions!$G$27-assumptions!$G$26)*(46-36)/12)</f>
        <v/>
      </c>
      <c r="AV10" s="16">
        <f>(assumptions!$G$26+(assumptions!$G$27-assumptions!$G$26)*(47-36)/12)</f>
        <v/>
      </c>
      <c r="AW10" s="16">
        <f>(assumptions!$G$26+(assumptions!$G$27-assumptions!$G$26)*(48-36)/12)</f>
        <v/>
      </c>
      <c r="AX10" s="16">
        <f>(assumptions!$G$27+(assumptions!$G$28-assumptions!$G$27)*(49-48)/12)</f>
        <v/>
      </c>
      <c r="AY10" s="16">
        <f>(assumptions!$G$27+(assumptions!$G$28-assumptions!$G$27)*(50-48)/12)</f>
        <v/>
      </c>
      <c r="AZ10" s="16">
        <f>(assumptions!$G$27+(assumptions!$G$28-assumptions!$G$27)*(51-48)/12)</f>
        <v/>
      </c>
      <c r="BA10" s="16">
        <f>(assumptions!$G$27+(assumptions!$G$28-assumptions!$G$27)*(52-48)/12)</f>
        <v/>
      </c>
      <c r="BB10" s="16">
        <f>(assumptions!$G$27+(assumptions!$G$28-assumptions!$G$27)*(53-48)/12)</f>
        <v/>
      </c>
      <c r="BC10" s="16">
        <f>(assumptions!$G$27+(assumptions!$G$28-assumptions!$G$27)*(54-48)/12)</f>
        <v/>
      </c>
      <c r="BD10" s="16">
        <f>(assumptions!$G$27+(assumptions!$G$28-assumptions!$G$27)*(55-48)/12)</f>
        <v/>
      </c>
      <c r="BE10" s="16">
        <f>(assumptions!$G$27+(assumptions!$G$28-assumptions!$G$27)*(56-48)/12)</f>
        <v/>
      </c>
      <c r="BF10" s="16">
        <f>(assumptions!$G$27+(assumptions!$G$28-assumptions!$G$27)*(57-48)/12)</f>
        <v/>
      </c>
      <c r="BG10" s="16">
        <f>(assumptions!$G$27+(assumptions!$G$28-assumptions!$G$27)*(58-48)/12)</f>
        <v/>
      </c>
      <c r="BH10" s="16">
        <f>(assumptions!$G$27+(assumptions!$G$28-assumptions!$G$27)*(59-48)/12)</f>
        <v/>
      </c>
      <c r="BI10" s="16">
        <f>(assumptions!$G$27+(assumptions!$G$28-assumptions!$G$27)*(60-48)/12)</f>
        <v/>
      </c>
    </row>
    <row r="11">
      <c r="A11" s="34" t="inlineStr">
        <is>
          <t>Monthly GBV (£)</t>
        </is>
      </c>
      <c r="B11" s="38">
        <f>B5*B10</f>
        <v/>
      </c>
      <c r="C11" s="38">
        <f>C5*C10</f>
        <v/>
      </c>
      <c r="D11" s="38">
        <f>D5*D10</f>
        <v/>
      </c>
      <c r="E11" s="38">
        <f>E5*E10</f>
        <v/>
      </c>
      <c r="F11" s="38">
        <f>F5*F10</f>
        <v/>
      </c>
      <c r="G11" s="38">
        <f>G5*G10</f>
        <v/>
      </c>
      <c r="H11" s="38">
        <f>H5*H10</f>
        <v/>
      </c>
      <c r="I11" s="38">
        <f>I5*I10</f>
        <v/>
      </c>
      <c r="J11" s="38">
        <f>J5*J10</f>
        <v/>
      </c>
      <c r="K11" s="38">
        <f>K5*K10</f>
        <v/>
      </c>
      <c r="L11" s="38">
        <f>L5*L10</f>
        <v/>
      </c>
      <c r="M11" s="38">
        <f>M5*M10</f>
        <v/>
      </c>
      <c r="N11" s="38">
        <f>N5*N10</f>
        <v/>
      </c>
      <c r="O11" s="38">
        <f>O5*O10</f>
        <v/>
      </c>
      <c r="P11" s="38">
        <f>P5*P10</f>
        <v/>
      </c>
      <c r="Q11" s="38">
        <f>Q5*Q10</f>
        <v/>
      </c>
      <c r="R11" s="38">
        <f>R5*R10</f>
        <v/>
      </c>
      <c r="S11" s="38">
        <f>S5*S10</f>
        <v/>
      </c>
      <c r="T11" s="38">
        <f>T5*T10</f>
        <v/>
      </c>
      <c r="U11" s="38">
        <f>U5*U10</f>
        <v/>
      </c>
      <c r="V11" s="38">
        <f>V5*V10</f>
        <v/>
      </c>
      <c r="W11" s="38">
        <f>W5*W10</f>
        <v/>
      </c>
      <c r="X11" s="38">
        <f>X5*X10</f>
        <v/>
      </c>
      <c r="Y11" s="38">
        <f>Y5*Y10</f>
        <v/>
      </c>
      <c r="Z11" s="38">
        <f>Z5*Z10</f>
        <v/>
      </c>
      <c r="AA11" s="38">
        <f>AA5*AA10</f>
        <v/>
      </c>
      <c r="AB11" s="38">
        <f>AB5*AB10</f>
        <v/>
      </c>
      <c r="AC11" s="38">
        <f>AC5*AC10</f>
        <v/>
      </c>
      <c r="AD11" s="38">
        <f>AD5*AD10</f>
        <v/>
      </c>
      <c r="AE11" s="38">
        <f>AE5*AE10</f>
        <v/>
      </c>
      <c r="AF11" s="38">
        <f>AF5*AF10</f>
        <v/>
      </c>
      <c r="AG11" s="38">
        <f>AG5*AG10</f>
        <v/>
      </c>
      <c r="AH11" s="38">
        <f>AH5*AH10</f>
        <v/>
      </c>
      <c r="AI11" s="38">
        <f>AI5*AI10</f>
        <v/>
      </c>
      <c r="AJ11" s="38">
        <f>AJ5*AJ10</f>
        <v/>
      </c>
      <c r="AK11" s="38">
        <f>AK5*AK10</f>
        <v/>
      </c>
      <c r="AL11" s="38">
        <f>AL5*AL10</f>
        <v/>
      </c>
      <c r="AM11" s="38">
        <f>AM5*AM10</f>
        <v/>
      </c>
      <c r="AN11" s="38">
        <f>AN5*AN10</f>
        <v/>
      </c>
      <c r="AO11" s="38">
        <f>AO5*AO10</f>
        <v/>
      </c>
      <c r="AP11" s="38">
        <f>AP5*AP10</f>
        <v/>
      </c>
      <c r="AQ11" s="38">
        <f>AQ5*AQ10</f>
        <v/>
      </c>
      <c r="AR11" s="38">
        <f>AR5*AR10</f>
        <v/>
      </c>
      <c r="AS11" s="38">
        <f>AS5*AS10</f>
        <v/>
      </c>
      <c r="AT11" s="38">
        <f>AT5*AT10</f>
        <v/>
      </c>
      <c r="AU11" s="38">
        <f>AU5*AU10</f>
        <v/>
      </c>
      <c r="AV11" s="38">
        <f>AV5*AV10</f>
        <v/>
      </c>
      <c r="AW11" s="38">
        <f>AW5*AW10</f>
        <v/>
      </c>
      <c r="AX11" s="38">
        <f>AX5*AX10</f>
        <v/>
      </c>
      <c r="AY11" s="38">
        <f>AY5*AY10</f>
        <v/>
      </c>
      <c r="AZ11" s="38">
        <f>AZ5*AZ10</f>
        <v/>
      </c>
      <c r="BA11" s="38">
        <f>BA5*BA10</f>
        <v/>
      </c>
      <c r="BB11" s="38">
        <f>BB5*BB10</f>
        <v/>
      </c>
      <c r="BC11" s="38">
        <f>BC5*BC10</f>
        <v/>
      </c>
      <c r="BD11" s="38">
        <f>BD5*BD10</f>
        <v/>
      </c>
      <c r="BE11" s="38">
        <f>BE5*BE10</f>
        <v/>
      </c>
      <c r="BF11" s="38">
        <f>BF5*BF10</f>
        <v/>
      </c>
      <c r="BG11" s="38">
        <f>BG5*BG10</f>
        <v/>
      </c>
      <c r="BH11" s="38">
        <f>BH5*BH10</f>
        <v/>
      </c>
      <c r="BI11" s="38">
        <f>BI5*BI10</f>
        <v/>
      </c>
    </row>
    <row r="12">
      <c r="A12" s="5" t="inlineStr">
        <is>
          <t>Gross commission @ 11% (£)</t>
        </is>
      </c>
      <c r="B12" s="17">
        <f>B11*assumptions!$G$9</f>
        <v/>
      </c>
      <c r="C12" s="17">
        <f>C11*assumptions!$G$9</f>
        <v/>
      </c>
      <c r="D12" s="17">
        <f>D11*assumptions!$G$9</f>
        <v/>
      </c>
      <c r="E12" s="17">
        <f>E11*assumptions!$G$9</f>
        <v/>
      </c>
      <c r="F12" s="17">
        <f>F11*assumptions!$G$9</f>
        <v/>
      </c>
      <c r="G12" s="17">
        <f>G11*assumptions!$G$9</f>
        <v/>
      </c>
      <c r="H12" s="17">
        <f>H11*assumptions!$G$9</f>
        <v/>
      </c>
      <c r="I12" s="17">
        <f>I11*assumptions!$G$9</f>
        <v/>
      </c>
      <c r="J12" s="17">
        <f>J11*assumptions!$G$9</f>
        <v/>
      </c>
      <c r="K12" s="17">
        <f>K11*assumptions!$G$9</f>
        <v/>
      </c>
      <c r="L12" s="17">
        <f>L11*assumptions!$G$9</f>
        <v/>
      </c>
      <c r="M12" s="17">
        <f>M11*assumptions!$G$9</f>
        <v/>
      </c>
      <c r="N12" s="17">
        <f>N11*assumptions!$G$9</f>
        <v/>
      </c>
      <c r="O12" s="17">
        <f>O11*assumptions!$G$9</f>
        <v/>
      </c>
      <c r="P12" s="17">
        <f>P11*assumptions!$G$9</f>
        <v/>
      </c>
      <c r="Q12" s="17">
        <f>Q11*assumptions!$G$9</f>
        <v/>
      </c>
      <c r="R12" s="17">
        <f>R11*assumptions!$G$9</f>
        <v/>
      </c>
      <c r="S12" s="17">
        <f>S11*assumptions!$G$9</f>
        <v/>
      </c>
      <c r="T12" s="17">
        <f>T11*assumptions!$G$9</f>
        <v/>
      </c>
      <c r="U12" s="17">
        <f>U11*assumptions!$G$9</f>
        <v/>
      </c>
      <c r="V12" s="17">
        <f>V11*assumptions!$G$9</f>
        <v/>
      </c>
      <c r="W12" s="17">
        <f>W11*assumptions!$G$9</f>
        <v/>
      </c>
      <c r="X12" s="17">
        <f>X11*assumptions!$G$9</f>
        <v/>
      </c>
      <c r="Y12" s="17">
        <f>Y11*assumptions!$G$9</f>
        <v/>
      </c>
      <c r="Z12" s="17">
        <f>Z11*assumptions!$G$9</f>
        <v/>
      </c>
      <c r="AA12" s="17">
        <f>AA11*assumptions!$G$9</f>
        <v/>
      </c>
      <c r="AB12" s="17">
        <f>AB11*assumptions!$G$9</f>
        <v/>
      </c>
      <c r="AC12" s="17">
        <f>AC11*assumptions!$G$9</f>
        <v/>
      </c>
      <c r="AD12" s="17">
        <f>AD11*assumptions!$G$9</f>
        <v/>
      </c>
      <c r="AE12" s="17">
        <f>AE11*assumptions!$G$9</f>
        <v/>
      </c>
      <c r="AF12" s="17">
        <f>AF11*assumptions!$G$9</f>
        <v/>
      </c>
      <c r="AG12" s="17">
        <f>AG11*assumptions!$G$9</f>
        <v/>
      </c>
      <c r="AH12" s="17">
        <f>AH11*assumptions!$G$9</f>
        <v/>
      </c>
      <c r="AI12" s="17">
        <f>AI11*assumptions!$G$9</f>
        <v/>
      </c>
      <c r="AJ12" s="17">
        <f>AJ11*assumptions!$G$9</f>
        <v/>
      </c>
      <c r="AK12" s="17">
        <f>AK11*assumptions!$G$9</f>
        <v/>
      </c>
      <c r="AL12" s="17">
        <f>AL11*assumptions!$G$9</f>
        <v/>
      </c>
      <c r="AM12" s="17">
        <f>AM11*assumptions!$G$9</f>
        <v/>
      </c>
      <c r="AN12" s="17">
        <f>AN11*assumptions!$G$9</f>
        <v/>
      </c>
      <c r="AO12" s="17">
        <f>AO11*assumptions!$G$9</f>
        <v/>
      </c>
      <c r="AP12" s="17">
        <f>AP11*assumptions!$G$9</f>
        <v/>
      </c>
      <c r="AQ12" s="17">
        <f>AQ11*assumptions!$G$9</f>
        <v/>
      </c>
      <c r="AR12" s="17">
        <f>AR11*assumptions!$G$9</f>
        <v/>
      </c>
      <c r="AS12" s="17">
        <f>AS11*assumptions!$G$9</f>
        <v/>
      </c>
      <c r="AT12" s="17">
        <f>AT11*assumptions!$G$9</f>
        <v/>
      </c>
      <c r="AU12" s="17">
        <f>AU11*assumptions!$G$9</f>
        <v/>
      </c>
      <c r="AV12" s="17">
        <f>AV11*assumptions!$G$9</f>
        <v/>
      </c>
      <c r="AW12" s="17">
        <f>AW11*assumptions!$G$9</f>
        <v/>
      </c>
      <c r="AX12" s="17">
        <f>AX11*assumptions!$G$9</f>
        <v/>
      </c>
      <c r="AY12" s="17">
        <f>AY11*assumptions!$G$9</f>
        <v/>
      </c>
      <c r="AZ12" s="17">
        <f>AZ11*assumptions!$G$9</f>
        <v/>
      </c>
      <c r="BA12" s="17">
        <f>BA11*assumptions!$G$9</f>
        <v/>
      </c>
      <c r="BB12" s="17">
        <f>BB11*assumptions!$G$9</f>
        <v/>
      </c>
      <c r="BC12" s="17">
        <f>BC11*assumptions!$G$9</f>
        <v/>
      </c>
      <c r="BD12" s="17">
        <f>BD11*assumptions!$G$9</f>
        <v/>
      </c>
      <c r="BE12" s="17">
        <f>BE11*assumptions!$G$9</f>
        <v/>
      </c>
      <c r="BF12" s="17">
        <f>BF11*assumptions!$G$9</f>
        <v/>
      </c>
      <c r="BG12" s="17">
        <f>BG11*assumptions!$G$9</f>
        <v/>
      </c>
      <c r="BH12" s="17">
        <f>BH11*assumptions!$G$9</f>
        <v/>
      </c>
      <c r="BI12" s="17">
        <f>BI11*assumptions!$G$9</f>
        <v/>
      </c>
    </row>
    <row r="14">
      <c r="A14" s="34" t="inlineStr">
        <is>
          <t>TIER MIX (interpolated)</t>
        </is>
      </c>
    </row>
    <row r="15">
      <c r="A15" s="5" t="inlineStr">
        <is>
          <t>Mix — Founding</t>
        </is>
      </c>
      <c r="B15" s="26">
        <f>assumptions!$G$30</f>
        <v/>
      </c>
      <c r="C15" s="26">
        <f>assumptions!$G$30</f>
        <v/>
      </c>
      <c r="D15" s="26">
        <f>assumptions!$G$30</f>
        <v/>
      </c>
      <c r="E15" s="26">
        <f>assumptions!$G$30</f>
        <v/>
      </c>
      <c r="F15" s="26">
        <f>assumptions!$G$30</f>
        <v/>
      </c>
      <c r="G15" s="26">
        <f>assumptions!$G$30</f>
        <v/>
      </c>
      <c r="H15" s="26">
        <f>assumptions!$G$30</f>
        <v/>
      </c>
      <c r="I15" s="26">
        <f>assumptions!$G$30</f>
        <v/>
      </c>
      <c r="J15" s="26">
        <f>assumptions!$G$30</f>
        <v/>
      </c>
      <c r="K15" s="26">
        <f>assumptions!$G$30</f>
        <v/>
      </c>
      <c r="L15" s="26">
        <f>assumptions!$G$30</f>
        <v/>
      </c>
      <c r="M15" s="26">
        <f>assumptions!$G$30</f>
        <v/>
      </c>
      <c r="N15" s="26">
        <f>(assumptions!$G$30+(assumptions!$G$31-assumptions!$G$30)*(13-12)/12)</f>
        <v/>
      </c>
      <c r="O15" s="26">
        <f>(assumptions!$G$30+(assumptions!$G$31-assumptions!$G$30)*(14-12)/12)</f>
        <v/>
      </c>
      <c r="P15" s="26">
        <f>(assumptions!$G$30+(assumptions!$G$31-assumptions!$G$30)*(15-12)/12)</f>
        <v/>
      </c>
      <c r="Q15" s="26">
        <f>(assumptions!$G$30+(assumptions!$G$31-assumptions!$G$30)*(16-12)/12)</f>
        <v/>
      </c>
      <c r="R15" s="26">
        <f>(assumptions!$G$30+(assumptions!$G$31-assumptions!$G$30)*(17-12)/12)</f>
        <v/>
      </c>
      <c r="S15" s="26">
        <f>(assumptions!$G$30+(assumptions!$G$31-assumptions!$G$30)*(18-12)/12)</f>
        <v/>
      </c>
      <c r="T15" s="26">
        <f>(assumptions!$G$30+(assumptions!$G$31-assumptions!$G$30)*(19-12)/12)</f>
        <v/>
      </c>
      <c r="U15" s="26">
        <f>(assumptions!$G$30+(assumptions!$G$31-assumptions!$G$30)*(20-12)/12)</f>
        <v/>
      </c>
      <c r="V15" s="26">
        <f>(assumptions!$G$30+(assumptions!$G$31-assumptions!$G$30)*(21-12)/12)</f>
        <v/>
      </c>
      <c r="W15" s="26">
        <f>(assumptions!$G$30+(assumptions!$G$31-assumptions!$G$30)*(22-12)/12)</f>
        <v/>
      </c>
      <c r="X15" s="26">
        <f>(assumptions!$G$30+(assumptions!$G$31-assumptions!$G$30)*(23-12)/12)</f>
        <v/>
      </c>
      <c r="Y15" s="26">
        <f>(assumptions!$G$30+(assumptions!$G$31-assumptions!$G$30)*(24-12)/12)</f>
        <v/>
      </c>
      <c r="Z15" s="26">
        <f>(assumptions!$G$31+(assumptions!$G$32-assumptions!$G$31)*(25-24)/12)</f>
        <v/>
      </c>
      <c r="AA15" s="26">
        <f>(assumptions!$G$31+(assumptions!$G$32-assumptions!$G$31)*(26-24)/12)</f>
        <v/>
      </c>
      <c r="AB15" s="26">
        <f>(assumptions!$G$31+(assumptions!$G$32-assumptions!$G$31)*(27-24)/12)</f>
        <v/>
      </c>
      <c r="AC15" s="26">
        <f>(assumptions!$G$31+(assumptions!$G$32-assumptions!$G$31)*(28-24)/12)</f>
        <v/>
      </c>
      <c r="AD15" s="26">
        <f>(assumptions!$G$31+(assumptions!$G$32-assumptions!$G$31)*(29-24)/12)</f>
        <v/>
      </c>
      <c r="AE15" s="26">
        <f>(assumptions!$G$31+(assumptions!$G$32-assumptions!$G$31)*(30-24)/12)</f>
        <v/>
      </c>
      <c r="AF15" s="26">
        <f>(assumptions!$G$31+(assumptions!$G$32-assumptions!$G$31)*(31-24)/12)</f>
        <v/>
      </c>
      <c r="AG15" s="26">
        <f>(assumptions!$G$31+(assumptions!$G$32-assumptions!$G$31)*(32-24)/12)</f>
        <v/>
      </c>
      <c r="AH15" s="26">
        <f>(assumptions!$G$31+(assumptions!$G$32-assumptions!$G$31)*(33-24)/12)</f>
        <v/>
      </c>
      <c r="AI15" s="26">
        <f>(assumptions!$G$31+(assumptions!$G$32-assumptions!$G$31)*(34-24)/12)</f>
        <v/>
      </c>
      <c r="AJ15" s="26">
        <f>(assumptions!$G$31+(assumptions!$G$32-assumptions!$G$31)*(35-24)/12)</f>
        <v/>
      </c>
      <c r="AK15" s="26">
        <f>(assumptions!$G$31+(assumptions!$G$32-assumptions!$G$31)*(36-24)/12)</f>
        <v/>
      </c>
      <c r="AL15" s="26">
        <f>(assumptions!$G$32+(assumptions!$G$33-assumptions!$G$32)*(37-36)/12)</f>
        <v/>
      </c>
      <c r="AM15" s="26">
        <f>(assumptions!$G$32+(assumptions!$G$33-assumptions!$G$32)*(38-36)/12)</f>
        <v/>
      </c>
      <c r="AN15" s="26">
        <f>(assumptions!$G$32+(assumptions!$G$33-assumptions!$G$32)*(39-36)/12)</f>
        <v/>
      </c>
      <c r="AO15" s="26">
        <f>(assumptions!$G$32+(assumptions!$G$33-assumptions!$G$32)*(40-36)/12)</f>
        <v/>
      </c>
      <c r="AP15" s="26">
        <f>(assumptions!$G$32+(assumptions!$G$33-assumptions!$G$32)*(41-36)/12)</f>
        <v/>
      </c>
      <c r="AQ15" s="26">
        <f>(assumptions!$G$32+(assumptions!$G$33-assumptions!$G$32)*(42-36)/12)</f>
        <v/>
      </c>
      <c r="AR15" s="26">
        <f>(assumptions!$G$32+(assumptions!$G$33-assumptions!$G$32)*(43-36)/12)</f>
        <v/>
      </c>
      <c r="AS15" s="26">
        <f>(assumptions!$G$32+(assumptions!$G$33-assumptions!$G$32)*(44-36)/12)</f>
        <v/>
      </c>
      <c r="AT15" s="26">
        <f>(assumptions!$G$32+(assumptions!$G$33-assumptions!$G$32)*(45-36)/12)</f>
        <v/>
      </c>
      <c r="AU15" s="26">
        <f>(assumptions!$G$32+(assumptions!$G$33-assumptions!$G$32)*(46-36)/12)</f>
        <v/>
      </c>
      <c r="AV15" s="26">
        <f>(assumptions!$G$32+(assumptions!$G$33-assumptions!$G$32)*(47-36)/12)</f>
        <v/>
      </c>
      <c r="AW15" s="26">
        <f>(assumptions!$G$32+(assumptions!$G$33-assumptions!$G$32)*(48-36)/12)</f>
        <v/>
      </c>
      <c r="AX15" s="26">
        <f>(assumptions!$G$33+(assumptions!$G$34-assumptions!$G$33)*(49-48)/12)</f>
        <v/>
      </c>
      <c r="AY15" s="26">
        <f>(assumptions!$G$33+(assumptions!$G$34-assumptions!$G$33)*(50-48)/12)</f>
        <v/>
      </c>
      <c r="AZ15" s="26">
        <f>(assumptions!$G$33+(assumptions!$G$34-assumptions!$G$33)*(51-48)/12)</f>
        <v/>
      </c>
      <c r="BA15" s="26">
        <f>(assumptions!$G$33+(assumptions!$G$34-assumptions!$G$33)*(52-48)/12)</f>
        <v/>
      </c>
      <c r="BB15" s="26">
        <f>(assumptions!$G$33+(assumptions!$G$34-assumptions!$G$33)*(53-48)/12)</f>
        <v/>
      </c>
      <c r="BC15" s="26">
        <f>(assumptions!$G$33+(assumptions!$G$34-assumptions!$G$33)*(54-48)/12)</f>
        <v/>
      </c>
      <c r="BD15" s="26">
        <f>(assumptions!$G$33+(assumptions!$G$34-assumptions!$G$33)*(55-48)/12)</f>
        <v/>
      </c>
      <c r="BE15" s="26">
        <f>(assumptions!$G$33+(assumptions!$G$34-assumptions!$G$33)*(56-48)/12)</f>
        <v/>
      </c>
      <c r="BF15" s="26">
        <f>(assumptions!$G$33+(assumptions!$G$34-assumptions!$G$33)*(57-48)/12)</f>
        <v/>
      </c>
      <c r="BG15" s="26">
        <f>(assumptions!$G$33+(assumptions!$G$34-assumptions!$G$33)*(58-48)/12)</f>
        <v/>
      </c>
      <c r="BH15" s="26">
        <f>(assumptions!$G$33+(assumptions!$G$34-assumptions!$G$33)*(59-48)/12)</f>
        <v/>
      </c>
      <c r="BI15" s="26">
        <f>(assumptions!$G$33+(assumptions!$G$34-assumptions!$G$33)*(60-48)/12)</f>
        <v/>
      </c>
    </row>
    <row r="16">
      <c r="A16" s="5" t="inlineStr">
        <is>
          <t>Mix — Power</t>
        </is>
      </c>
      <c r="B16" s="26">
        <f>assumptions!$G$35</f>
        <v/>
      </c>
      <c r="C16" s="26">
        <f>assumptions!$G$35</f>
        <v/>
      </c>
      <c r="D16" s="26">
        <f>assumptions!$G$35</f>
        <v/>
      </c>
      <c r="E16" s="26">
        <f>assumptions!$G$35</f>
        <v/>
      </c>
      <c r="F16" s="26">
        <f>assumptions!$G$35</f>
        <v/>
      </c>
      <c r="G16" s="26">
        <f>assumptions!$G$35</f>
        <v/>
      </c>
      <c r="H16" s="26">
        <f>assumptions!$G$35</f>
        <v/>
      </c>
      <c r="I16" s="26">
        <f>assumptions!$G$35</f>
        <v/>
      </c>
      <c r="J16" s="26">
        <f>assumptions!$G$35</f>
        <v/>
      </c>
      <c r="K16" s="26">
        <f>assumptions!$G$35</f>
        <v/>
      </c>
      <c r="L16" s="26">
        <f>assumptions!$G$35</f>
        <v/>
      </c>
      <c r="M16" s="26">
        <f>assumptions!$G$35</f>
        <v/>
      </c>
      <c r="N16" s="26">
        <f>(assumptions!$G$35+(assumptions!$G$36-assumptions!$G$35)*(13-12)/12)</f>
        <v/>
      </c>
      <c r="O16" s="26">
        <f>(assumptions!$G$35+(assumptions!$G$36-assumptions!$G$35)*(14-12)/12)</f>
        <v/>
      </c>
      <c r="P16" s="26">
        <f>(assumptions!$G$35+(assumptions!$G$36-assumptions!$G$35)*(15-12)/12)</f>
        <v/>
      </c>
      <c r="Q16" s="26">
        <f>(assumptions!$G$35+(assumptions!$G$36-assumptions!$G$35)*(16-12)/12)</f>
        <v/>
      </c>
      <c r="R16" s="26">
        <f>(assumptions!$G$35+(assumptions!$G$36-assumptions!$G$35)*(17-12)/12)</f>
        <v/>
      </c>
      <c r="S16" s="26">
        <f>(assumptions!$G$35+(assumptions!$G$36-assumptions!$G$35)*(18-12)/12)</f>
        <v/>
      </c>
      <c r="T16" s="26">
        <f>(assumptions!$G$35+(assumptions!$G$36-assumptions!$G$35)*(19-12)/12)</f>
        <v/>
      </c>
      <c r="U16" s="26">
        <f>(assumptions!$G$35+(assumptions!$G$36-assumptions!$G$35)*(20-12)/12)</f>
        <v/>
      </c>
      <c r="V16" s="26">
        <f>(assumptions!$G$35+(assumptions!$G$36-assumptions!$G$35)*(21-12)/12)</f>
        <v/>
      </c>
      <c r="W16" s="26">
        <f>(assumptions!$G$35+(assumptions!$G$36-assumptions!$G$35)*(22-12)/12)</f>
        <v/>
      </c>
      <c r="X16" s="26">
        <f>(assumptions!$G$35+(assumptions!$G$36-assumptions!$G$35)*(23-12)/12)</f>
        <v/>
      </c>
      <c r="Y16" s="26">
        <f>(assumptions!$G$35+(assumptions!$G$36-assumptions!$G$35)*(24-12)/12)</f>
        <v/>
      </c>
      <c r="Z16" s="26">
        <f>(assumptions!$G$36+(assumptions!$G$37-assumptions!$G$36)*(25-24)/12)</f>
        <v/>
      </c>
      <c r="AA16" s="26">
        <f>(assumptions!$G$36+(assumptions!$G$37-assumptions!$G$36)*(26-24)/12)</f>
        <v/>
      </c>
      <c r="AB16" s="26">
        <f>(assumptions!$G$36+(assumptions!$G$37-assumptions!$G$36)*(27-24)/12)</f>
        <v/>
      </c>
      <c r="AC16" s="26">
        <f>(assumptions!$G$36+(assumptions!$G$37-assumptions!$G$36)*(28-24)/12)</f>
        <v/>
      </c>
      <c r="AD16" s="26">
        <f>(assumptions!$G$36+(assumptions!$G$37-assumptions!$G$36)*(29-24)/12)</f>
        <v/>
      </c>
      <c r="AE16" s="26">
        <f>(assumptions!$G$36+(assumptions!$G$37-assumptions!$G$36)*(30-24)/12)</f>
        <v/>
      </c>
      <c r="AF16" s="26">
        <f>(assumptions!$G$36+(assumptions!$G$37-assumptions!$G$36)*(31-24)/12)</f>
        <v/>
      </c>
      <c r="AG16" s="26">
        <f>(assumptions!$G$36+(assumptions!$G$37-assumptions!$G$36)*(32-24)/12)</f>
        <v/>
      </c>
      <c r="AH16" s="26">
        <f>(assumptions!$G$36+(assumptions!$G$37-assumptions!$G$36)*(33-24)/12)</f>
        <v/>
      </c>
      <c r="AI16" s="26">
        <f>(assumptions!$G$36+(assumptions!$G$37-assumptions!$G$36)*(34-24)/12)</f>
        <v/>
      </c>
      <c r="AJ16" s="26">
        <f>(assumptions!$G$36+(assumptions!$G$37-assumptions!$G$36)*(35-24)/12)</f>
        <v/>
      </c>
      <c r="AK16" s="26">
        <f>(assumptions!$G$36+(assumptions!$G$37-assumptions!$G$36)*(36-24)/12)</f>
        <v/>
      </c>
      <c r="AL16" s="26">
        <f>(assumptions!$G$37+(assumptions!$G$38-assumptions!$G$37)*(37-36)/12)</f>
        <v/>
      </c>
      <c r="AM16" s="26">
        <f>(assumptions!$G$37+(assumptions!$G$38-assumptions!$G$37)*(38-36)/12)</f>
        <v/>
      </c>
      <c r="AN16" s="26">
        <f>(assumptions!$G$37+(assumptions!$G$38-assumptions!$G$37)*(39-36)/12)</f>
        <v/>
      </c>
      <c r="AO16" s="26">
        <f>(assumptions!$G$37+(assumptions!$G$38-assumptions!$G$37)*(40-36)/12)</f>
        <v/>
      </c>
      <c r="AP16" s="26">
        <f>(assumptions!$G$37+(assumptions!$G$38-assumptions!$G$37)*(41-36)/12)</f>
        <v/>
      </c>
      <c r="AQ16" s="26">
        <f>(assumptions!$G$37+(assumptions!$G$38-assumptions!$G$37)*(42-36)/12)</f>
        <v/>
      </c>
      <c r="AR16" s="26">
        <f>(assumptions!$G$37+(assumptions!$G$38-assumptions!$G$37)*(43-36)/12)</f>
        <v/>
      </c>
      <c r="AS16" s="26">
        <f>(assumptions!$G$37+(assumptions!$G$38-assumptions!$G$37)*(44-36)/12)</f>
        <v/>
      </c>
      <c r="AT16" s="26">
        <f>(assumptions!$G$37+(assumptions!$G$38-assumptions!$G$37)*(45-36)/12)</f>
        <v/>
      </c>
      <c r="AU16" s="26">
        <f>(assumptions!$G$37+(assumptions!$G$38-assumptions!$G$37)*(46-36)/12)</f>
        <v/>
      </c>
      <c r="AV16" s="26">
        <f>(assumptions!$G$37+(assumptions!$G$38-assumptions!$G$37)*(47-36)/12)</f>
        <v/>
      </c>
      <c r="AW16" s="26">
        <f>(assumptions!$G$37+(assumptions!$G$38-assumptions!$G$37)*(48-36)/12)</f>
        <v/>
      </c>
      <c r="AX16" s="26">
        <f>(assumptions!$G$38+(assumptions!$G$39-assumptions!$G$38)*(49-48)/12)</f>
        <v/>
      </c>
      <c r="AY16" s="26">
        <f>(assumptions!$G$38+(assumptions!$G$39-assumptions!$G$38)*(50-48)/12)</f>
        <v/>
      </c>
      <c r="AZ16" s="26">
        <f>(assumptions!$G$38+(assumptions!$G$39-assumptions!$G$38)*(51-48)/12)</f>
        <v/>
      </c>
      <c r="BA16" s="26">
        <f>(assumptions!$G$38+(assumptions!$G$39-assumptions!$G$38)*(52-48)/12)</f>
        <v/>
      </c>
      <c r="BB16" s="26">
        <f>(assumptions!$G$38+(assumptions!$G$39-assumptions!$G$38)*(53-48)/12)</f>
        <v/>
      </c>
      <c r="BC16" s="26">
        <f>(assumptions!$G$38+(assumptions!$G$39-assumptions!$G$38)*(54-48)/12)</f>
        <v/>
      </c>
      <c r="BD16" s="26">
        <f>(assumptions!$G$38+(assumptions!$G$39-assumptions!$G$38)*(55-48)/12)</f>
        <v/>
      </c>
      <c r="BE16" s="26">
        <f>(assumptions!$G$38+(assumptions!$G$39-assumptions!$G$38)*(56-48)/12)</f>
        <v/>
      </c>
      <c r="BF16" s="26">
        <f>(assumptions!$G$38+(assumptions!$G$39-assumptions!$G$38)*(57-48)/12)</f>
        <v/>
      </c>
      <c r="BG16" s="26">
        <f>(assumptions!$G$38+(assumptions!$G$39-assumptions!$G$38)*(58-48)/12)</f>
        <v/>
      </c>
      <c r="BH16" s="26">
        <f>(assumptions!$G$38+(assumptions!$G$39-assumptions!$G$38)*(59-48)/12)</f>
        <v/>
      </c>
      <c r="BI16" s="26">
        <f>(assumptions!$G$38+(assumptions!$G$39-assumptions!$G$38)*(60-48)/12)</f>
        <v/>
      </c>
    </row>
    <row r="17">
      <c r="A17" s="5" t="inlineStr">
        <is>
          <t>Mix — New</t>
        </is>
      </c>
      <c r="B17" s="26">
        <f>assumptions!$G$40</f>
        <v/>
      </c>
      <c r="C17" s="26">
        <f>assumptions!$G$40</f>
        <v/>
      </c>
      <c r="D17" s="26">
        <f>assumptions!$G$40</f>
        <v/>
      </c>
      <c r="E17" s="26">
        <f>assumptions!$G$40</f>
        <v/>
      </c>
      <c r="F17" s="26">
        <f>assumptions!$G$40</f>
        <v/>
      </c>
      <c r="G17" s="26">
        <f>assumptions!$G$40</f>
        <v/>
      </c>
      <c r="H17" s="26">
        <f>assumptions!$G$40</f>
        <v/>
      </c>
      <c r="I17" s="26">
        <f>assumptions!$G$40</f>
        <v/>
      </c>
      <c r="J17" s="26">
        <f>assumptions!$G$40</f>
        <v/>
      </c>
      <c r="K17" s="26">
        <f>assumptions!$G$40</f>
        <v/>
      </c>
      <c r="L17" s="26">
        <f>assumptions!$G$40</f>
        <v/>
      </c>
      <c r="M17" s="26">
        <f>assumptions!$G$40</f>
        <v/>
      </c>
      <c r="N17" s="26">
        <f>(assumptions!$G$40+(assumptions!$G$41-assumptions!$G$40)*(13-12)/12)</f>
        <v/>
      </c>
      <c r="O17" s="26">
        <f>(assumptions!$G$40+(assumptions!$G$41-assumptions!$G$40)*(14-12)/12)</f>
        <v/>
      </c>
      <c r="P17" s="26">
        <f>(assumptions!$G$40+(assumptions!$G$41-assumptions!$G$40)*(15-12)/12)</f>
        <v/>
      </c>
      <c r="Q17" s="26">
        <f>(assumptions!$G$40+(assumptions!$G$41-assumptions!$G$40)*(16-12)/12)</f>
        <v/>
      </c>
      <c r="R17" s="26">
        <f>(assumptions!$G$40+(assumptions!$G$41-assumptions!$G$40)*(17-12)/12)</f>
        <v/>
      </c>
      <c r="S17" s="26">
        <f>(assumptions!$G$40+(assumptions!$G$41-assumptions!$G$40)*(18-12)/12)</f>
        <v/>
      </c>
      <c r="T17" s="26">
        <f>(assumptions!$G$40+(assumptions!$G$41-assumptions!$G$40)*(19-12)/12)</f>
        <v/>
      </c>
      <c r="U17" s="26">
        <f>(assumptions!$G$40+(assumptions!$G$41-assumptions!$G$40)*(20-12)/12)</f>
        <v/>
      </c>
      <c r="V17" s="26">
        <f>(assumptions!$G$40+(assumptions!$G$41-assumptions!$G$40)*(21-12)/12)</f>
        <v/>
      </c>
      <c r="W17" s="26">
        <f>(assumptions!$G$40+(assumptions!$G$41-assumptions!$G$40)*(22-12)/12)</f>
        <v/>
      </c>
      <c r="X17" s="26">
        <f>(assumptions!$G$40+(assumptions!$G$41-assumptions!$G$40)*(23-12)/12)</f>
        <v/>
      </c>
      <c r="Y17" s="26">
        <f>(assumptions!$G$40+(assumptions!$G$41-assumptions!$G$40)*(24-12)/12)</f>
        <v/>
      </c>
      <c r="Z17" s="26">
        <f>(assumptions!$G$41+(assumptions!$G$42-assumptions!$G$41)*(25-24)/12)</f>
        <v/>
      </c>
      <c r="AA17" s="26">
        <f>(assumptions!$G$41+(assumptions!$G$42-assumptions!$G$41)*(26-24)/12)</f>
        <v/>
      </c>
      <c r="AB17" s="26">
        <f>(assumptions!$G$41+(assumptions!$G$42-assumptions!$G$41)*(27-24)/12)</f>
        <v/>
      </c>
      <c r="AC17" s="26">
        <f>(assumptions!$G$41+(assumptions!$G$42-assumptions!$G$41)*(28-24)/12)</f>
        <v/>
      </c>
      <c r="AD17" s="26">
        <f>(assumptions!$G$41+(assumptions!$G$42-assumptions!$G$41)*(29-24)/12)</f>
        <v/>
      </c>
      <c r="AE17" s="26">
        <f>(assumptions!$G$41+(assumptions!$G$42-assumptions!$G$41)*(30-24)/12)</f>
        <v/>
      </c>
      <c r="AF17" s="26">
        <f>(assumptions!$G$41+(assumptions!$G$42-assumptions!$G$41)*(31-24)/12)</f>
        <v/>
      </c>
      <c r="AG17" s="26">
        <f>(assumptions!$G$41+(assumptions!$G$42-assumptions!$G$41)*(32-24)/12)</f>
        <v/>
      </c>
      <c r="AH17" s="26">
        <f>(assumptions!$G$41+(assumptions!$G$42-assumptions!$G$41)*(33-24)/12)</f>
        <v/>
      </c>
      <c r="AI17" s="26">
        <f>(assumptions!$G$41+(assumptions!$G$42-assumptions!$G$41)*(34-24)/12)</f>
        <v/>
      </c>
      <c r="AJ17" s="26">
        <f>(assumptions!$G$41+(assumptions!$G$42-assumptions!$G$41)*(35-24)/12)</f>
        <v/>
      </c>
      <c r="AK17" s="26">
        <f>(assumptions!$G$41+(assumptions!$G$42-assumptions!$G$41)*(36-24)/12)</f>
        <v/>
      </c>
      <c r="AL17" s="26">
        <f>(assumptions!$G$42+(assumptions!$G$43-assumptions!$G$42)*(37-36)/12)</f>
        <v/>
      </c>
      <c r="AM17" s="26">
        <f>(assumptions!$G$42+(assumptions!$G$43-assumptions!$G$42)*(38-36)/12)</f>
        <v/>
      </c>
      <c r="AN17" s="26">
        <f>(assumptions!$G$42+(assumptions!$G$43-assumptions!$G$42)*(39-36)/12)</f>
        <v/>
      </c>
      <c r="AO17" s="26">
        <f>(assumptions!$G$42+(assumptions!$G$43-assumptions!$G$42)*(40-36)/12)</f>
        <v/>
      </c>
      <c r="AP17" s="26">
        <f>(assumptions!$G$42+(assumptions!$G$43-assumptions!$G$42)*(41-36)/12)</f>
        <v/>
      </c>
      <c r="AQ17" s="26">
        <f>(assumptions!$G$42+(assumptions!$G$43-assumptions!$G$42)*(42-36)/12)</f>
        <v/>
      </c>
      <c r="AR17" s="26">
        <f>(assumptions!$G$42+(assumptions!$G$43-assumptions!$G$42)*(43-36)/12)</f>
        <v/>
      </c>
      <c r="AS17" s="26">
        <f>(assumptions!$G$42+(assumptions!$G$43-assumptions!$G$42)*(44-36)/12)</f>
        <v/>
      </c>
      <c r="AT17" s="26">
        <f>(assumptions!$G$42+(assumptions!$G$43-assumptions!$G$42)*(45-36)/12)</f>
        <v/>
      </c>
      <c r="AU17" s="26">
        <f>(assumptions!$G$42+(assumptions!$G$43-assumptions!$G$42)*(46-36)/12)</f>
        <v/>
      </c>
      <c r="AV17" s="26">
        <f>(assumptions!$G$42+(assumptions!$G$43-assumptions!$G$42)*(47-36)/12)</f>
        <v/>
      </c>
      <c r="AW17" s="26">
        <f>(assumptions!$G$42+(assumptions!$G$43-assumptions!$G$42)*(48-36)/12)</f>
        <v/>
      </c>
      <c r="AX17" s="26">
        <f>(assumptions!$G$43+(assumptions!$G$44-assumptions!$G$43)*(49-48)/12)</f>
        <v/>
      </c>
      <c r="AY17" s="26">
        <f>(assumptions!$G$43+(assumptions!$G$44-assumptions!$G$43)*(50-48)/12)</f>
        <v/>
      </c>
      <c r="AZ17" s="26">
        <f>(assumptions!$G$43+(assumptions!$G$44-assumptions!$G$43)*(51-48)/12)</f>
        <v/>
      </c>
      <c r="BA17" s="26">
        <f>(assumptions!$G$43+(assumptions!$G$44-assumptions!$G$43)*(52-48)/12)</f>
        <v/>
      </c>
      <c r="BB17" s="26">
        <f>(assumptions!$G$43+(assumptions!$G$44-assumptions!$G$43)*(53-48)/12)</f>
        <v/>
      </c>
      <c r="BC17" s="26">
        <f>(assumptions!$G$43+(assumptions!$G$44-assumptions!$G$43)*(54-48)/12)</f>
        <v/>
      </c>
      <c r="BD17" s="26">
        <f>(assumptions!$G$43+(assumptions!$G$44-assumptions!$G$43)*(55-48)/12)</f>
        <v/>
      </c>
      <c r="BE17" s="26">
        <f>(assumptions!$G$43+(assumptions!$G$44-assumptions!$G$43)*(56-48)/12)</f>
        <v/>
      </c>
      <c r="BF17" s="26">
        <f>(assumptions!$G$43+(assumptions!$G$44-assumptions!$G$43)*(57-48)/12)</f>
        <v/>
      </c>
      <c r="BG17" s="26">
        <f>(assumptions!$G$43+(assumptions!$G$44-assumptions!$G$43)*(58-48)/12)</f>
        <v/>
      </c>
      <c r="BH17" s="26">
        <f>(assumptions!$G$43+(assumptions!$G$44-assumptions!$G$43)*(59-48)/12)</f>
        <v/>
      </c>
      <c r="BI17" s="26">
        <f>(assumptions!$G$43+(assumptions!$G$44-assumptions!$G$43)*(60-48)/12)</f>
        <v/>
      </c>
    </row>
    <row r="18">
      <c r="A18" s="5" t="inlineStr">
        <is>
          <t>Mix — Maturing</t>
        </is>
      </c>
      <c r="B18" s="26">
        <f>assumptions!$G$45</f>
        <v/>
      </c>
      <c r="C18" s="26">
        <f>assumptions!$G$45</f>
        <v/>
      </c>
      <c r="D18" s="26">
        <f>assumptions!$G$45</f>
        <v/>
      </c>
      <c r="E18" s="26">
        <f>assumptions!$G$45</f>
        <v/>
      </c>
      <c r="F18" s="26">
        <f>assumptions!$G$45</f>
        <v/>
      </c>
      <c r="G18" s="26">
        <f>assumptions!$G$45</f>
        <v/>
      </c>
      <c r="H18" s="26">
        <f>assumptions!$G$45</f>
        <v/>
      </c>
      <c r="I18" s="26">
        <f>assumptions!$G$45</f>
        <v/>
      </c>
      <c r="J18" s="26">
        <f>assumptions!$G$45</f>
        <v/>
      </c>
      <c r="K18" s="26">
        <f>assumptions!$G$45</f>
        <v/>
      </c>
      <c r="L18" s="26">
        <f>assumptions!$G$45</f>
        <v/>
      </c>
      <c r="M18" s="26">
        <f>assumptions!$G$45</f>
        <v/>
      </c>
      <c r="N18" s="26">
        <f>(assumptions!$G$45+(assumptions!$G$46-assumptions!$G$45)*(13-12)/12)</f>
        <v/>
      </c>
      <c r="O18" s="26">
        <f>(assumptions!$G$45+(assumptions!$G$46-assumptions!$G$45)*(14-12)/12)</f>
        <v/>
      </c>
      <c r="P18" s="26">
        <f>(assumptions!$G$45+(assumptions!$G$46-assumptions!$G$45)*(15-12)/12)</f>
        <v/>
      </c>
      <c r="Q18" s="26">
        <f>(assumptions!$G$45+(assumptions!$G$46-assumptions!$G$45)*(16-12)/12)</f>
        <v/>
      </c>
      <c r="R18" s="26">
        <f>(assumptions!$G$45+(assumptions!$G$46-assumptions!$G$45)*(17-12)/12)</f>
        <v/>
      </c>
      <c r="S18" s="26">
        <f>(assumptions!$G$45+(assumptions!$G$46-assumptions!$G$45)*(18-12)/12)</f>
        <v/>
      </c>
      <c r="T18" s="26">
        <f>(assumptions!$G$45+(assumptions!$G$46-assumptions!$G$45)*(19-12)/12)</f>
        <v/>
      </c>
      <c r="U18" s="26">
        <f>(assumptions!$G$45+(assumptions!$G$46-assumptions!$G$45)*(20-12)/12)</f>
        <v/>
      </c>
      <c r="V18" s="26">
        <f>(assumptions!$G$45+(assumptions!$G$46-assumptions!$G$45)*(21-12)/12)</f>
        <v/>
      </c>
      <c r="W18" s="26">
        <f>(assumptions!$G$45+(assumptions!$G$46-assumptions!$G$45)*(22-12)/12)</f>
        <v/>
      </c>
      <c r="X18" s="26">
        <f>(assumptions!$G$45+(assumptions!$G$46-assumptions!$G$45)*(23-12)/12)</f>
        <v/>
      </c>
      <c r="Y18" s="26">
        <f>(assumptions!$G$45+(assumptions!$G$46-assumptions!$G$45)*(24-12)/12)</f>
        <v/>
      </c>
      <c r="Z18" s="26">
        <f>(assumptions!$G$46+(assumptions!$G$47-assumptions!$G$46)*(25-24)/12)</f>
        <v/>
      </c>
      <c r="AA18" s="26">
        <f>(assumptions!$G$46+(assumptions!$G$47-assumptions!$G$46)*(26-24)/12)</f>
        <v/>
      </c>
      <c r="AB18" s="26">
        <f>(assumptions!$G$46+(assumptions!$G$47-assumptions!$G$46)*(27-24)/12)</f>
        <v/>
      </c>
      <c r="AC18" s="26">
        <f>(assumptions!$G$46+(assumptions!$G$47-assumptions!$G$46)*(28-24)/12)</f>
        <v/>
      </c>
      <c r="AD18" s="26">
        <f>(assumptions!$G$46+(assumptions!$G$47-assumptions!$G$46)*(29-24)/12)</f>
        <v/>
      </c>
      <c r="AE18" s="26">
        <f>(assumptions!$G$46+(assumptions!$G$47-assumptions!$G$46)*(30-24)/12)</f>
        <v/>
      </c>
      <c r="AF18" s="26">
        <f>(assumptions!$G$46+(assumptions!$G$47-assumptions!$G$46)*(31-24)/12)</f>
        <v/>
      </c>
      <c r="AG18" s="26">
        <f>(assumptions!$G$46+(assumptions!$G$47-assumptions!$G$46)*(32-24)/12)</f>
        <v/>
      </c>
      <c r="AH18" s="26">
        <f>(assumptions!$G$46+(assumptions!$G$47-assumptions!$G$46)*(33-24)/12)</f>
        <v/>
      </c>
      <c r="AI18" s="26">
        <f>(assumptions!$G$46+(assumptions!$G$47-assumptions!$G$46)*(34-24)/12)</f>
        <v/>
      </c>
      <c r="AJ18" s="26">
        <f>(assumptions!$G$46+(assumptions!$G$47-assumptions!$G$46)*(35-24)/12)</f>
        <v/>
      </c>
      <c r="AK18" s="26">
        <f>(assumptions!$G$46+(assumptions!$G$47-assumptions!$G$46)*(36-24)/12)</f>
        <v/>
      </c>
      <c r="AL18" s="26">
        <f>(assumptions!$G$47+(assumptions!$G$48-assumptions!$G$47)*(37-36)/12)</f>
        <v/>
      </c>
      <c r="AM18" s="26">
        <f>(assumptions!$G$47+(assumptions!$G$48-assumptions!$G$47)*(38-36)/12)</f>
        <v/>
      </c>
      <c r="AN18" s="26">
        <f>(assumptions!$G$47+(assumptions!$G$48-assumptions!$G$47)*(39-36)/12)</f>
        <v/>
      </c>
      <c r="AO18" s="26">
        <f>(assumptions!$G$47+(assumptions!$G$48-assumptions!$G$47)*(40-36)/12)</f>
        <v/>
      </c>
      <c r="AP18" s="26">
        <f>(assumptions!$G$47+(assumptions!$G$48-assumptions!$G$47)*(41-36)/12)</f>
        <v/>
      </c>
      <c r="AQ18" s="26">
        <f>(assumptions!$G$47+(assumptions!$G$48-assumptions!$G$47)*(42-36)/12)</f>
        <v/>
      </c>
      <c r="AR18" s="26">
        <f>(assumptions!$G$47+(assumptions!$G$48-assumptions!$G$47)*(43-36)/12)</f>
        <v/>
      </c>
      <c r="AS18" s="26">
        <f>(assumptions!$G$47+(assumptions!$G$48-assumptions!$G$47)*(44-36)/12)</f>
        <v/>
      </c>
      <c r="AT18" s="26">
        <f>(assumptions!$G$47+(assumptions!$G$48-assumptions!$G$47)*(45-36)/12)</f>
        <v/>
      </c>
      <c r="AU18" s="26">
        <f>(assumptions!$G$47+(assumptions!$G$48-assumptions!$G$47)*(46-36)/12)</f>
        <v/>
      </c>
      <c r="AV18" s="26">
        <f>(assumptions!$G$47+(assumptions!$G$48-assumptions!$G$47)*(47-36)/12)</f>
        <v/>
      </c>
      <c r="AW18" s="26">
        <f>(assumptions!$G$47+(assumptions!$G$48-assumptions!$G$47)*(48-36)/12)</f>
        <v/>
      </c>
      <c r="AX18" s="26">
        <f>(assumptions!$G$48+(assumptions!$G$49-assumptions!$G$48)*(49-48)/12)</f>
        <v/>
      </c>
      <c r="AY18" s="26">
        <f>(assumptions!$G$48+(assumptions!$G$49-assumptions!$G$48)*(50-48)/12)</f>
        <v/>
      </c>
      <c r="AZ18" s="26">
        <f>(assumptions!$G$48+(assumptions!$G$49-assumptions!$G$48)*(51-48)/12)</f>
        <v/>
      </c>
      <c r="BA18" s="26">
        <f>(assumptions!$G$48+(assumptions!$G$49-assumptions!$G$48)*(52-48)/12)</f>
        <v/>
      </c>
      <c r="BB18" s="26">
        <f>(assumptions!$G$48+(assumptions!$G$49-assumptions!$G$48)*(53-48)/12)</f>
        <v/>
      </c>
      <c r="BC18" s="26">
        <f>(assumptions!$G$48+(assumptions!$G$49-assumptions!$G$48)*(54-48)/12)</f>
        <v/>
      </c>
      <c r="BD18" s="26">
        <f>(assumptions!$G$48+(assumptions!$G$49-assumptions!$G$48)*(55-48)/12)</f>
        <v/>
      </c>
      <c r="BE18" s="26">
        <f>(assumptions!$G$48+(assumptions!$G$49-assumptions!$G$48)*(56-48)/12)</f>
        <v/>
      </c>
      <c r="BF18" s="26">
        <f>(assumptions!$G$48+(assumptions!$G$49-assumptions!$G$48)*(57-48)/12)</f>
        <v/>
      </c>
      <c r="BG18" s="26">
        <f>(assumptions!$G$48+(assumptions!$G$49-assumptions!$G$48)*(58-48)/12)</f>
        <v/>
      </c>
      <c r="BH18" s="26">
        <f>(assumptions!$G$48+(assumptions!$G$49-assumptions!$G$48)*(59-48)/12)</f>
        <v/>
      </c>
      <c r="BI18" s="26">
        <f>(assumptions!$G$48+(assumptions!$G$49-assumptions!$G$48)*(60-48)/12)</f>
        <v/>
      </c>
    </row>
    <row r="19">
      <c r="A19" s="5" t="inlineStr">
        <is>
          <t>Mix — Mature</t>
        </is>
      </c>
      <c r="B19" s="26">
        <f>assumptions!$G$50</f>
        <v/>
      </c>
      <c r="C19" s="26">
        <f>assumptions!$G$50</f>
        <v/>
      </c>
      <c r="D19" s="26">
        <f>assumptions!$G$50</f>
        <v/>
      </c>
      <c r="E19" s="26">
        <f>assumptions!$G$50</f>
        <v/>
      </c>
      <c r="F19" s="26">
        <f>assumptions!$G$50</f>
        <v/>
      </c>
      <c r="G19" s="26">
        <f>assumptions!$G$50</f>
        <v/>
      </c>
      <c r="H19" s="26">
        <f>assumptions!$G$50</f>
        <v/>
      </c>
      <c r="I19" s="26">
        <f>assumptions!$G$50</f>
        <v/>
      </c>
      <c r="J19" s="26">
        <f>assumptions!$G$50</f>
        <v/>
      </c>
      <c r="K19" s="26">
        <f>assumptions!$G$50</f>
        <v/>
      </c>
      <c r="L19" s="26">
        <f>assumptions!$G$50</f>
        <v/>
      </c>
      <c r="M19" s="26">
        <f>assumptions!$G$50</f>
        <v/>
      </c>
      <c r="N19" s="26">
        <f>(assumptions!$G$50+(assumptions!$G$51-assumptions!$G$50)*(13-12)/12)</f>
        <v/>
      </c>
      <c r="O19" s="26">
        <f>(assumptions!$G$50+(assumptions!$G$51-assumptions!$G$50)*(14-12)/12)</f>
        <v/>
      </c>
      <c r="P19" s="26">
        <f>(assumptions!$G$50+(assumptions!$G$51-assumptions!$G$50)*(15-12)/12)</f>
        <v/>
      </c>
      <c r="Q19" s="26">
        <f>(assumptions!$G$50+(assumptions!$G$51-assumptions!$G$50)*(16-12)/12)</f>
        <v/>
      </c>
      <c r="R19" s="26">
        <f>(assumptions!$G$50+(assumptions!$G$51-assumptions!$G$50)*(17-12)/12)</f>
        <v/>
      </c>
      <c r="S19" s="26">
        <f>(assumptions!$G$50+(assumptions!$G$51-assumptions!$G$50)*(18-12)/12)</f>
        <v/>
      </c>
      <c r="T19" s="26">
        <f>(assumptions!$G$50+(assumptions!$G$51-assumptions!$G$50)*(19-12)/12)</f>
        <v/>
      </c>
      <c r="U19" s="26">
        <f>(assumptions!$G$50+(assumptions!$G$51-assumptions!$G$50)*(20-12)/12)</f>
        <v/>
      </c>
      <c r="V19" s="26">
        <f>(assumptions!$G$50+(assumptions!$G$51-assumptions!$G$50)*(21-12)/12)</f>
        <v/>
      </c>
      <c r="W19" s="26">
        <f>(assumptions!$G$50+(assumptions!$G$51-assumptions!$G$50)*(22-12)/12)</f>
        <v/>
      </c>
      <c r="X19" s="26">
        <f>(assumptions!$G$50+(assumptions!$G$51-assumptions!$G$50)*(23-12)/12)</f>
        <v/>
      </c>
      <c r="Y19" s="26">
        <f>(assumptions!$G$50+(assumptions!$G$51-assumptions!$G$50)*(24-12)/12)</f>
        <v/>
      </c>
      <c r="Z19" s="26">
        <f>(assumptions!$G$51+(assumptions!$G$52-assumptions!$G$51)*(25-24)/12)</f>
        <v/>
      </c>
      <c r="AA19" s="26">
        <f>(assumptions!$G$51+(assumptions!$G$52-assumptions!$G$51)*(26-24)/12)</f>
        <v/>
      </c>
      <c r="AB19" s="26">
        <f>(assumptions!$G$51+(assumptions!$G$52-assumptions!$G$51)*(27-24)/12)</f>
        <v/>
      </c>
      <c r="AC19" s="26">
        <f>(assumptions!$G$51+(assumptions!$G$52-assumptions!$G$51)*(28-24)/12)</f>
        <v/>
      </c>
      <c r="AD19" s="26">
        <f>(assumptions!$G$51+(assumptions!$G$52-assumptions!$G$51)*(29-24)/12)</f>
        <v/>
      </c>
      <c r="AE19" s="26">
        <f>(assumptions!$G$51+(assumptions!$G$52-assumptions!$G$51)*(30-24)/12)</f>
        <v/>
      </c>
      <c r="AF19" s="26">
        <f>(assumptions!$G$51+(assumptions!$G$52-assumptions!$G$51)*(31-24)/12)</f>
        <v/>
      </c>
      <c r="AG19" s="26">
        <f>(assumptions!$G$51+(assumptions!$G$52-assumptions!$G$51)*(32-24)/12)</f>
        <v/>
      </c>
      <c r="AH19" s="26">
        <f>(assumptions!$G$51+(assumptions!$G$52-assumptions!$G$51)*(33-24)/12)</f>
        <v/>
      </c>
      <c r="AI19" s="26">
        <f>(assumptions!$G$51+(assumptions!$G$52-assumptions!$G$51)*(34-24)/12)</f>
        <v/>
      </c>
      <c r="AJ19" s="26">
        <f>(assumptions!$G$51+(assumptions!$G$52-assumptions!$G$51)*(35-24)/12)</f>
        <v/>
      </c>
      <c r="AK19" s="26">
        <f>(assumptions!$G$51+(assumptions!$G$52-assumptions!$G$51)*(36-24)/12)</f>
        <v/>
      </c>
      <c r="AL19" s="26">
        <f>(assumptions!$G$52+(assumptions!$G$53-assumptions!$G$52)*(37-36)/12)</f>
        <v/>
      </c>
      <c r="AM19" s="26">
        <f>(assumptions!$G$52+(assumptions!$G$53-assumptions!$G$52)*(38-36)/12)</f>
        <v/>
      </c>
      <c r="AN19" s="26">
        <f>(assumptions!$G$52+(assumptions!$G$53-assumptions!$G$52)*(39-36)/12)</f>
        <v/>
      </c>
      <c r="AO19" s="26">
        <f>(assumptions!$G$52+(assumptions!$G$53-assumptions!$G$52)*(40-36)/12)</f>
        <v/>
      </c>
      <c r="AP19" s="26">
        <f>(assumptions!$G$52+(assumptions!$G$53-assumptions!$G$52)*(41-36)/12)</f>
        <v/>
      </c>
      <c r="AQ19" s="26">
        <f>(assumptions!$G$52+(assumptions!$G$53-assumptions!$G$52)*(42-36)/12)</f>
        <v/>
      </c>
      <c r="AR19" s="26">
        <f>(assumptions!$G$52+(assumptions!$G$53-assumptions!$G$52)*(43-36)/12)</f>
        <v/>
      </c>
      <c r="AS19" s="26">
        <f>(assumptions!$G$52+(assumptions!$G$53-assumptions!$G$52)*(44-36)/12)</f>
        <v/>
      </c>
      <c r="AT19" s="26">
        <f>(assumptions!$G$52+(assumptions!$G$53-assumptions!$G$52)*(45-36)/12)</f>
        <v/>
      </c>
      <c r="AU19" s="26">
        <f>(assumptions!$G$52+(assumptions!$G$53-assumptions!$G$52)*(46-36)/12)</f>
        <v/>
      </c>
      <c r="AV19" s="26">
        <f>(assumptions!$G$52+(assumptions!$G$53-assumptions!$G$52)*(47-36)/12)</f>
        <v/>
      </c>
      <c r="AW19" s="26">
        <f>(assumptions!$G$52+(assumptions!$G$53-assumptions!$G$52)*(48-36)/12)</f>
        <v/>
      </c>
      <c r="AX19" s="26">
        <f>(assumptions!$G$53+(assumptions!$G$54-assumptions!$G$53)*(49-48)/12)</f>
        <v/>
      </c>
      <c r="AY19" s="26">
        <f>(assumptions!$G$53+(assumptions!$G$54-assumptions!$G$53)*(50-48)/12)</f>
        <v/>
      </c>
      <c r="AZ19" s="26">
        <f>(assumptions!$G$53+(assumptions!$G$54-assumptions!$G$53)*(51-48)/12)</f>
        <v/>
      </c>
      <c r="BA19" s="26">
        <f>(assumptions!$G$53+(assumptions!$G$54-assumptions!$G$53)*(52-48)/12)</f>
        <v/>
      </c>
      <c r="BB19" s="26">
        <f>(assumptions!$G$53+(assumptions!$G$54-assumptions!$G$53)*(53-48)/12)</f>
        <v/>
      </c>
      <c r="BC19" s="26">
        <f>(assumptions!$G$53+(assumptions!$G$54-assumptions!$G$53)*(54-48)/12)</f>
        <v/>
      </c>
      <c r="BD19" s="26">
        <f>(assumptions!$G$53+(assumptions!$G$54-assumptions!$G$53)*(55-48)/12)</f>
        <v/>
      </c>
      <c r="BE19" s="26">
        <f>(assumptions!$G$53+(assumptions!$G$54-assumptions!$G$53)*(56-48)/12)</f>
        <v/>
      </c>
      <c r="BF19" s="26">
        <f>(assumptions!$G$53+(assumptions!$G$54-assumptions!$G$53)*(57-48)/12)</f>
        <v/>
      </c>
      <c r="BG19" s="26">
        <f>(assumptions!$G$53+(assumptions!$G$54-assumptions!$G$53)*(58-48)/12)</f>
        <v/>
      </c>
      <c r="BH19" s="26">
        <f>(assumptions!$G$53+(assumptions!$G$54-assumptions!$G$53)*(59-48)/12)</f>
        <v/>
      </c>
      <c r="BI19" s="26">
        <f>(assumptions!$G$53+(assumptions!$G$54-assumptions!$G$53)*(60-48)/12)</f>
        <v/>
      </c>
    </row>
    <row r="20">
      <c r="A20" s="5" t="inlineStr">
        <is>
          <t>Blended creator share %</t>
        </is>
      </c>
      <c r="B20" s="39">
        <f>B15*assumptions!$G$10+B16*assumptions!$G$11+B17*assumptions!$G$12+B18*assumptions!$G$13+B19*assumptions!$G$14</f>
        <v/>
      </c>
      <c r="C20" s="39">
        <f>C15*assumptions!$G$10+C16*assumptions!$G$11+C17*assumptions!$G$12+C18*assumptions!$G$13+C19*assumptions!$G$14</f>
        <v/>
      </c>
      <c r="D20" s="39">
        <f>D15*assumptions!$G$10+D16*assumptions!$G$11+D17*assumptions!$G$12+D18*assumptions!$G$13+D19*assumptions!$G$14</f>
        <v/>
      </c>
      <c r="E20" s="39">
        <f>E15*assumptions!$G$10+E16*assumptions!$G$11+E17*assumptions!$G$12+E18*assumptions!$G$13+E19*assumptions!$G$14</f>
        <v/>
      </c>
      <c r="F20" s="39">
        <f>F15*assumptions!$G$10+F16*assumptions!$G$11+F17*assumptions!$G$12+F18*assumptions!$G$13+F19*assumptions!$G$14</f>
        <v/>
      </c>
      <c r="G20" s="39">
        <f>G15*assumptions!$G$10+G16*assumptions!$G$11+G17*assumptions!$G$12+G18*assumptions!$G$13+G19*assumptions!$G$14</f>
        <v/>
      </c>
      <c r="H20" s="39">
        <f>H15*assumptions!$G$10+H16*assumptions!$G$11+H17*assumptions!$G$12+H18*assumptions!$G$13+H19*assumptions!$G$14</f>
        <v/>
      </c>
      <c r="I20" s="39">
        <f>I15*assumptions!$G$10+I16*assumptions!$G$11+I17*assumptions!$G$12+I18*assumptions!$G$13+I19*assumptions!$G$14</f>
        <v/>
      </c>
      <c r="J20" s="39">
        <f>J15*assumptions!$G$10+J16*assumptions!$G$11+J17*assumptions!$G$12+J18*assumptions!$G$13+J19*assumptions!$G$14</f>
        <v/>
      </c>
      <c r="K20" s="39">
        <f>K15*assumptions!$G$10+K16*assumptions!$G$11+K17*assumptions!$G$12+K18*assumptions!$G$13+K19*assumptions!$G$14</f>
        <v/>
      </c>
      <c r="L20" s="39">
        <f>L15*assumptions!$G$10+L16*assumptions!$G$11+L17*assumptions!$G$12+L18*assumptions!$G$13+L19*assumptions!$G$14</f>
        <v/>
      </c>
      <c r="M20" s="39">
        <f>M15*assumptions!$G$10+M16*assumptions!$G$11+M17*assumptions!$G$12+M18*assumptions!$G$13+M19*assumptions!$G$14</f>
        <v/>
      </c>
      <c r="N20" s="39">
        <f>N15*assumptions!$G$10+N16*assumptions!$G$11+N17*assumptions!$G$12+N18*assumptions!$G$13+N19*assumptions!$G$14</f>
        <v/>
      </c>
      <c r="O20" s="39">
        <f>O15*assumptions!$G$10+O16*assumptions!$G$11+O17*assumptions!$G$12+O18*assumptions!$G$13+O19*assumptions!$G$14</f>
        <v/>
      </c>
      <c r="P20" s="39">
        <f>P15*assumptions!$G$10+P16*assumptions!$G$11+P17*assumptions!$G$12+P18*assumptions!$G$13+P19*assumptions!$G$14</f>
        <v/>
      </c>
      <c r="Q20" s="39">
        <f>Q15*assumptions!$G$10+Q16*assumptions!$G$11+Q17*assumptions!$G$12+Q18*assumptions!$G$13+Q19*assumptions!$G$14</f>
        <v/>
      </c>
      <c r="R20" s="39">
        <f>R15*assumptions!$G$10+R16*assumptions!$G$11+R17*assumptions!$G$12+R18*assumptions!$G$13+R19*assumptions!$G$14</f>
        <v/>
      </c>
      <c r="S20" s="39">
        <f>S15*assumptions!$G$10+S16*assumptions!$G$11+S17*assumptions!$G$12+S18*assumptions!$G$13+S19*assumptions!$G$14</f>
        <v/>
      </c>
      <c r="T20" s="39">
        <f>T15*assumptions!$G$10+T16*assumptions!$G$11+T17*assumptions!$G$12+T18*assumptions!$G$13+T19*assumptions!$G$14</f>
        <v/>
      </c>
      <c r="U20" s="39">
        <f>U15*assumptions!$G$10+U16*assumptions!$G$11+U17*assumptions!$G$12+U18*assumptions!$G$13+U19*assumptions!$G$14</f>
        <v/>
      </c>
      <c r="V20" s="39">
        <f>V15*assumptions!$G$10+V16*assumptions!$G$11+V17*assumptions!$G$12+V18*assumptions!$G$13+V19*assumptions!$G$14</f>
        <v/>
      </c>
      <c r="W20" s="39">
        <f>W15*assumptions!$G$10+W16*assumptions!$G$11+W17*assumptions!$G$12+W18*assumptions!$G$13+W19*assumptions!$G$14</f>
        <v/>
      </c>
      <c r="X20" s="39">
        <f>X15*assumptions!$G$10+X16*assumptions!$G$11+X17*assumptions!$G$12+X18*assumptions!$G$13+X19*assumptions!$G$14</f>
        <v/>
      </c>
      <c r="Y20" s="39">
        <f>Y15*assumptions!$G$10+Y16*assumptions!$G$11+Y17*assumptions!$G$12+Y18*assumptions!$G$13+Y19*assumptions!$G$14</f>
        <v/>
      </c>
      <c r="Z20" s="39">
        <f>Z15*assumptions!$G$10+Z16*assumptions!$G$11+Z17*assumptions!$G$12+Z18*assumptions!$G$13+Z19*assumptions!$G$14</f>
        <v/>
      </c>
      <c r="AA20" s="39">
        <f>AA15*assumptions!$G$10+AA16*assumptions!$G$11+AA17*assumptions!$G$12+AA18*assumptions!$G$13+AA19*assumptions!$G$14</f>
        <v/>
      </c>
      <c r="AB20" s="39">
        <f>AB15*assumptions!$G$10+AB16*assumptions!$G$11+AB17*assumptions!$G$12+AB18*assumptions!$G$13+AB19*assumptions!$G$14</f>
        <v/>
      </c>
      <c r="AC20" s="39">
        <f>AC15*assumptions!$G$10+AC16*assumptions!$G$11+AC17*assumptions!$G$12+AC18*assumptions!$G$13+AC19*assumptions!$G$14</f>
        <v/>
      </c>
      <c r="AD20" s="39">
        <f>AD15*assumptions!$G$10+AD16*assumptions!$G$11+AD17*assumptions!$G$12+AD18*assumptions!$G$13+AD19*assumptions!$G$14</f>
        <v/>
      </c>
      <c r="AE20" s="39">
        <f>AE15*assumptions!$G$10+AE16*assumptions!$G$11+AE17*assumptions!$G$12+AE18*assumptions!$G$13+AE19*assumptions!$G$14</f>
        <v/>
      </c>
      <c r="AF20" s="39">
        <f>AF15*assumptions!$G$10+AF16*assumptions!$G$11+AF17*assumptions!$G$12+AF18*assumptions!$G$13+AF19*assumptions!$G$14</f>
        <v/>
      </c>
      <c r="AG20" s="39">
        <f>AG15*assumptions!$G$10+AG16*assumptions!$G$11+AG17*assumptions!$G$12+AG18*assumptions!$G$13+AG19*assumptions!$G$14</f>
        <v/>
      </c>
      <c r="AH20" s="39">
        <f>AH15*assumptions!$G$10+AH16*assumptions!$G$11+AH17*assumptions!$G$12+AH18*assumptions!$G$13+AH19*assumptions!$G$14</f>
        <v/>
      </c>
      <c r="AI20" s="39">
        <f>AI15*assumptions!$G$10+AI16*assumptions!$G$11+AI17*assumptions!$G$12+AI18*assumptions!$G$13+AI19*assumptions!$G$14</f>
        <v/>
      </c>
      <c r="AJ20" s="39">
        <f>AJ15*assumptions!$G$10+AJ16*assumptions!$G$11+AJ17*assumptions!$G$12+AJ18*assumptions!$G$13+AJ19*assumptions!$G$14</f>
        <v/>
      </c>
      <c r="AK20" s="39">
        <f>AK15*assumptions!$G$10+AK16*assumptions!$G$11+AK17*assumptions!$G$12+AK18*assumptions!$G$13+AK19*assumptions!$G$14</f>
        <v/>
      </c>
      <c r="AL20" s="39">
        <f>AL15*assumptions!$G$10+AL16*assumptions!$G$11+AL17*assumptions!$G$12+AL18*assumptions!$G$13+AL19*assumptions!$G$14</f>
        <v/>
      </c>
      <c r="AM20" s="39">
        <f>AM15*assumptions!$G$10+AM16*assumptions!$G$11+AM17*assumptions!$G$12+AM18*assumptions!$G$13+AM19*assumptions!$G$14</f>
        <v/>
      </c>
      <c r="AN20" s="39">
        <f>AN15*assumptions!$G$10+AN16*assumptions!$G$11+AN17*assumptions!$G$12+AN18*assumptions!$G$13+AN19*assumptions!$G$14</f>
        <v/>
      </c>
      <c r="AO20" s="39">
        <f>AO15*assumptions!$G$10+AO16*assumptions!$G$11+AO17*assumptions!$G$12+AO18*assumptions!$G$13+AO19*assumptions!$G$14</f>
        <v/>
      </c>
      <c r="AP20" s="39">
        <f>AP15*assumptions!$G$10+AP16*assumptions!$G$11+AP17*assumptions!$G$12+AP18*assumptions!$G$13+AP19*assumptions!$G$14</f>
        <v/>
      </c>
      <c r="AQ20" s="39">
        <f>AQ15*assumptions!$G$10+AQ16*assumptions!$G$11+AQ17*assumptions!$G$12+AQ18*assumptions!$G$13+AQ19*assumptions!$G$14</f>
        <v/>
      </c>
      <c r="AR20" s="39">
        <f>AR15*assumptions!$G$10+AR16*assumptions!$G$11+AR17*assumptions!$G$12+AR18*assumptions!$G$13+AR19*assumptions!$G$14</f>
        <v/>
      </c>
      <c r="AS20" s="39">
        <f>AS15*assumptions!$G$10+AS16*assumptions!$G$11+AS17*assumptions!$G$12+AS18*assumptions!$G$13+AS19*assumptions!$G$14</f>
        <v/>
      </c>
      <c r="AT20" s="39">
        <f>AT15*assumptions!$G$10+AT16*assumptions!$G$11+AT17*assumptions!$G$12+AT18*assumptions!$G$13+AT19*assumptions!$G$14</f>
        <v/>
      </c>
      <c r="AU20" s="39">
        <f>AU15*assumptions!$G$10+AU16*assumptions!$G$11+AU17*assumptions!$G$12+AU18*assumptions!$G$13+AU19*assumptions!$G$14</f>
        <v/>
      </c>
      <c r="AV20" s="39">
        <f>AV15*assumptions!$G$10+AV16*assumptions!$G$11+AV17*assumptions!$G$12+AV18*assumptions!$G$13+AV19*assumptions!$G$14</f>
        <v/>
      </c>
      <c r="AW20" s="39">
        <f>AW15*assumptions!$G$10+AW16*assumptions!$G$11+AW17*assumptions!$G$12+AW18*assumptions!$G$13+AW19*assumptions!$G$14</f>
        <v/>
      </c>
      <c r="AX20" s="39">
        <f>AX15*assumptions!$G$10+AX16*assumptions!$G$11+AX17*assumptions!$G$12+AX18*assumptions!$G$13+AX19*assumptions!$G$14</f>
        <v/>
      </c>
      <c r="AY20" s="39">
        <f>AY15*assumptions!$G$10+AY16*assumptions!$G$11+AY17*assumptions!$G$12+AY18*assumptions!$G$13+AY19*assumptions!$G$14</f>
        <v/>
      </c>
      <c r="AZ20" s="39">
        <f>AZ15*assumptions!$G$10+AZ16*assumptions!$G$11+AZ17*assumptions!$G$12+AZ18*assumptions!$G$13+AZ19*assumptions!$G$14</f>
        <v/>
      </c>
      <c r="BA20" s="39">
        <f>BA15*assumptions!$G$10+BA16*assumptions!$G$11+BA17*assumptions!$G$12+BA18*assumptions!$G$13+BA19*assumptions!$G$14</f>
        <v/>
      </c>
      <c r="BB20" s="39">
        <f>BB15*assumptions!$G$10+BB16*assumptions!$G$11+BB17*assumptions!$G$12+BB18*assumptions!$G$13+BB19*assumptions!$G$14</f>
        <v/>
      </c>
      <c r="BC20" s="39">
        <f>BC15*assumptions!$G$10+BC16*assumptions!$G$11+BC17*assumptions!$G$12+BC18*assumptions!$G$13+BC19*assumptions!$G$14</f>
        <v/>
      </c>
      <c r="BD20" s="39">
        <f>BD15*assumptions!$G$10+BD16*assumptions!$G$11+BD17*assumptions!$G$12+BD18*assumptions!$G$13+BD19*assumptions!$G$14</f>
        <v/>
      </c>
      <c r="BE20" s="39">
        <f>BE15*assumptions!$G$10+BE16*assumptions!$G$11+BE17*assumptions!$G$12+BE18*assumptions!$G$13+BE19*assumptions!$G$14</f>
        <v/>
      </c>
      <c r="BF20" s="39">
        <f>BF15*assumptions!$G$10+BF16*assumptions!$G$11+BF17*assumptions!$G$12+BF18*assumptions!$G$13+BF19*assumptions!$G$14</f>
        <v/>
      </c>
      <c r="BG20" s="39">
        <f>BG15*assumptions!$G$10+BG16*assumptions!$G$11+BG17*assumptions!$G$12+BG18*assumptions!$G$13+BG19*assumptions!$G$14</f>
        <v/>
      </c>
      <c r="BH20" s="39">
        <f>BH15*assumptions!$G$10+BH16*assumptions!$G$11+BH17*assumptions!$G$12+BH18*assumptions!$G$13+BH19*assumptions!$G$14</f>
        <v/>
      </c>
      <c r="BI20" s="39">
        <f>BI15*assumptions!$G$10+BI16*assumptions!$G$11+BI17*assumptions!$G$12+BI18*assumptions!$G$13+BI19*assumptions!$G$14</f>
        <v/>
      </c>
    </row>
    <row r="21">
      <c r="A21" s="5" t="inlineStr">
        <is>
          <t>Creator payout (£, post-processing share)</t>
        </is>
      </c>
      <c r="B21" s="17">
        <f>(B12-B8)*B20</f>
        <v/>
      </c>
      <c r="C21" s="17">
        <f>(C12-C8)*C20</f>
        <v/>
      </c>
      <c r="D21" s="17">
        <f>(D12-D8)*D20</f>
        <v/>
      </c>
      <c r="E21" s="17">
        <f>(E12-E8)*E20</f>
        <v/>
      </c>
      <c r="F21" s="17">
        <f>(F12-F8)*F20</f>
        <v/>
      </c>
      <c r="G21" s="17">
        <f>(G12-G8)*G20</f>
        <v/>
      </c>
      <c r="H21" s="17">
        <f>(H12-H8)*H20</f>
        <v/>
      </c>
      <c r="I21" s="17">
        <f>(I12-I8)*I20</f>
        <v/>
      </c>
      <c r="J21" s="17">
        <f>(J12-J8)*J20</f>
        <v/>
      </c>
      <c r="K21" s="17">
        <f>(K12-K8)*K20</f>
        <v/>
      </c>
      <c r="L21" s="17">
        <f>(L12-L8)*L20</f>
        <v/>
      </c>
      <c r="M21" s="17">
        <f>(M12-M8)*M20</f>
        <v/>
      </c>
      <c r="N21" s="17">
        <f>(N12-N8)*N20</f>
        <v/>
      </c>
      <c r="O21" s="17">
        <f>(O12-O8)*O20</f>
        <v/>
      </c>
      <c r="P21" s="17">
        <f>(P12-P8)*P20</f>
        <v/>
      </c>
      <c r="Q21" s="17">
        <f>(Q12-Q8)*Q20</f>
        <v/>
      </c>
      <c r="R21" s="17">
        <f>(R12-R8)*R20</f>
        <v/>
      </c>
      <c r="S21" s="17">
        <f>(S12-S8)*S20</f>
        <v/>
      </c>
      <c r="T21" s="17">
        <f>(T12-T8)*T20</f>
        <v/>
      </c>
      <c r="U21" s="17">
        <f>(U12-U8)*U20</f>
        <v/>
      </c>
      <c r="V21" s="17">
        <f>(V12-V8)*V20</f>
        <v/>
      </c>
      <c r="W21" s="17">
        <f>(W12-W8)*W20</f>
        <v/>
      </c>
      <c r="X21" s="17">
        <f>(X12-X8)*X20</f>
        <v/>
      </c>
      <c r="Y21" s="17">
        <f>(Y12-Y8)*Y20</f>
        <v/>
      </c>
      <c r="Z21" s="17">
        <f>(Z12-Z8)*Z20</f>
        <v/>
      </c>
      <c r="AA21" s="17">
        <f>(AA12-AA8)*AA20</f>
        <v/>
      </c>
      <c r="AB21" s="17">
        <f>(AB12-AB8)*AB20</f>
        <v/>
      </c>
      <c r="AC21" s="17">
        <f>(AC12-AC8)*AC20</f>
        <v/>
      </c>
      <c r="AD21" s="17">
        <f>(AD12-AD8)*AD20</f>
        <v/>
      </c>
      <c r="AE21" s="17">
        <f>(AE12-AE8)*AE20</f>
        <v/>
      </c>
      <c r="AF21" s="17">
        <f>(AF12-AF8)*AF20</f>
        <v/>
      </c>
      <c r="AG21" s="17">
        <f>(AG12-AG8)*AG20</f>
        <v/>
      </c>
      <c r="AH21" s="17">
        <f>(AH12-AH8)*AH20</f>
        <v/>
      </c>
      <c r="AI21" s="17">
        <f>(AI12-AI8)*AI20</f>
        <v/>
      </c>
      <c r="AJ21" s="17">
        <f>(AJ12-AJ8)*AJ20</f>
        <v/>
      </c>
      <c r="AK21" s="17">
        <f>(AK12-AK8)*AK20</f>
        <v/>
      </c>
      <c r="AL21" s="17">
        <f>(AL12-AL8)*AL20</f>
        <v/>
      </c>
      <c r="AM21" s="17">
        <f>(AM12-AM8)*AM20</f>
        <v/>
      </c>
      <c r="AN21" s="17">
        <f>(AN12-AN8)*AN20</f>
        <v/>
      </c>
      <c r="AO21" s="17">
        <f>(AO12-AO8)*AO20</f>
        <v/>
      </c>
      <c r="AP21" s="17">
        <f>(AP12-AP8)*AP20</f>
        <v/>
      </c>
      <c r="AQ21" s="17">
        <f>(AQ12-AQ8)*AQ20</f>
        <v/>
      </c>
      <c r="AR21" s="17">
        <f>(AR12-AR8)*AR20</f>
        <v/>
      </c>
      <c r="AS21" s="17">
        <f>(AS12-AS8)*AS20</f>
        <v/>
      </c>
      <c r="AT21" s="17">
        <f>(AT12-AT8)*AT20</f>
        <v/>
      </c>
      <c r="AU21" s="17">
        <f>(AU12-AU8)*AU20</f>
        <v/>
      </c>
      <c r="AV21" s="17">
        <f>(AV12-AV8)*AV20</f>
        <v/>
      </c>
      <c r="AW21" s="17">
        <f>(AW12-AW8)*AW20</f>
        <v/>
      </c>
      <c r="AX21" s="17">
        <f>(AX12-AX8)*AX20</f>
        <v/>
      </c>
      <c r="AY21" s="17">
        <f>(AY12-AY8)*AY20</f>
        <v/>
      </c>
      <c r="AZ21" s="17">
        <f>(AZ12-AZ8)*AZ20</f>
        <v/>
      </c>
      <c r="BA21" s="17">
        <f>(BA12-BA8)*BA20</f>
        <v/>
      </c>
      <c r="BB21" s="17">
        <f>(BB12-BB8)*BB20</f>
        <v/>
      </c>
      <c r="BC21" s="17">
        <f>(BC12-BC8)*BC20</f>
        <v/>
      </c>
      <c r="BD21" s="17">
        <f>(BD12-BD8)*BD20</f>
        <v/>
      </c>
      <c r="BE21" s="17">
        <f>(BE12-BE8)*BE20</f>
        <v/>
      </c>
      <c r="BF21" s="17">
        <f>(BF12-BF8)*BF20</f>
        <v/>
      </c>
      <c r="BG21" s="17">
        <f>(BG12-BG8)*BG20</f>
        <v/>
      </c>
      <c r="BH21" s="17">
        <f>(BH12-BH8)*BH20</f>
        <v/>
      </c>
      <c r="BI21" s="17">
        <f>(BI12-BI8)*BI20</f>
        <v/>
      </c>
    </row>
    <row r="22">
      <c r="A22" s="34" t="inlineStr">
        <is>
          <t>Travidz net revenue (£, post-processing share)</t>
        </is>
      </c>
      <c r="B22" s="40">
        <f>B12-B8-B21</f>
        <v/>
      </c>
      <c r="C22" s="40">
        <f>C12-C8-C21</f>
        <v/>
      </c>
      <c r="D22" s="40">
        <f>D12-D8-D21</f>
        <v/>
      </c>
      <c r="E22" s="40">
        <f>E12-E8-E21</f>
        <v/>
      </c>
      <c r="F22" s="40">
        <f>F12-F8-F21</f>
        <v/>
      </c>
      <c r="G22" s="40">
        <f>G12-G8-G21</f>
        <v/>
      </c>
      <c r="H22" s="40">
        <f>H12-H8-H21</f>
        <v/>
      </c>
      <c r="I22" s="40">
        <f>I12-I8-I21</f>
        <v/>
      </c>
      <c r="J22" s="40">
        <f>J12-J8-J21</f>
        <v/>
      </c>
      <c r="K22" s="40">
        <f>K12-K8-K21</f>
        <v/>
      </c>
      <c r="L22" s="40">
        <f>L12-L8-L21</f>
        <v/>
      </c>
      <c r="M22" s="40">
        <f>M12-M8-M21</f>
        <v/>
      </c>
      <c r="N22" s="40">
        <f>N12-N8-N21</f>
        <v/>
      </c>
      <c r="O22" s="40">
        <f>O12-O8-O21</f>
        <v/>
      </c>
      <c r="P22" s="40">
        <f>P12-P8-P21</f>
        <v/>
      </c>
      <c r="Q22" s="40">
        <f>Q12-Q8-Q21</f>
        <v/>
      </c>
      <c r="R22" s="40">
        <f>R12-R8-R21</f>
        <v/>
      </c>
      <c r="S22" s="40">
        <f>S12-S8-S21</f>
        <v/>
      </c>
      <c r="T22" s="40">
        <f>T12-T8-T21</f>
        <v/>
      </c>
      <c r="U22" s="40">
        <f>U12-U8-U21</f>
        <v/>
      </c>
      <c r="V22" s="40">
        <f>V12-V8-V21</f>
        <v/>
      </c>
      <c r="W22" s="40">
        <f>W12-W8-W21</f>
        <v/>
      </c>
      <c r="X22" s="40">
        <f>X12-X8-X21</f>
        <v/>
      </c>
      <c r="Y22" s="40">
        <f>Y12-Y8-Y21</f>
        <v/>
      </c>
      <c r="Z22" s="40">
        <f>Z12-Z8-Z21</f>
        <v/>
      </c>
      <c r="AA22" s="40">
        <f>AA12-AA8-AA21</f>
        <v/>
      </c>
      <c r="AB22" s="40">
        <f>AB12-AB8-AB21</f>
        <v/>
      </c>
      <c r="AC22" s="40">
        <f>AC12-AC8-AC21</f>
        <v/>
      </c>
      <c r="AD22" s="40">
        <f>AD12-AD8-AD21</f>
        <v/>
      </c>
      <c r="AE22" s="40">
        <f>AE12-AE8-AE21</f>
        <v/>
      </c>
      <c r="AF22" s="40">
        <f>AF12-AF8-AF21</f>
        <v/>
      </c>
      <c r="AG22" s="40">
        <f>AG12-AG8-AG21</f>
        <v/>
      </c>
      <c r="AH22" s="40">
        <f>AH12-AH8-AH21</f>
        <v/>
      </c>
      <c r="AI22" s="40">
        <f>AI12-AI8-AI21</f>
        <v/>
      </c>
      <c r="AJ22" s="40">
        <f>AJ12-AJ8-AJ21</f>
        <v/>
      </c>
      <c r="AK22" s="40">
        <f>AK12-AK8-AK21</f>
        <v/>
      </c>
      <c r="AL22" s="40">
        <f>AL12-AL8-AL21</f>
        <v/>
      </c>
      <c r="AM22" s="40">
        <f>AM12-AM8-AM21</f>
        <v/>
      </c>
      <c r="AN22" s="40">
        <f>AN12-AN8-AN21</f>
        <v/>
      </c>
      <c r="AO22" s="40">
        <f>AO12-AO8-AO21</f>
        <v/>
      </c>
      <c r="AP22" s="40">
        <f>AP12-AP8-AP21</f>
        <v/>
      </c>
      <c r="AQ22" s="40">
        <f>AQ12-AQ8-AQ21</f>
        <v/>
      </c>
      <c r="AR22" s="40">
        <f>AR12-AR8-AR21</f>
        <v/>
      </c>
      <c r="AS22" s="40">
        <f>AS12-AS8-AS21</f>
        <v/>
      </c>
      <c r="AT22" s="40">
        <f>AT12-AT8-AT21</f>
        <v/>
      </c>
      <c r="AU22" s="40">
        <f>AU12-AU8-AU21</f>
        <v/>
      </c>
      <c r="AV22" s="40">
        <f>AV12-AV8-AV21</f>
        <v/>
      </c>
      <c r="AW22" s="40">
        <f>AW12-AW8-AW21</f>
        <v/>
      </c>
      <c r="AX22" s="40">
        <f>AX12-AX8-AX21</f>
        <v/>
      </c>
      <c r="AY22" s="40">
        <f>AY12-AY8-AY21</f>
        <v/>
      </c>
      <c r="AZ22" s="40">
        <f>AZ12-AZ8-AZ21</f>
        <v/>
      </c>
      <c r="BA22" s="40">
        <f>BA12-BA8-BA21</f>
        <v/>
      </c>
      <c r="BB22" s="40">
        <f>BB12-BB8-BB21</f>
        <v/>
      </c>
      <c r="BC22" s="40">
        <f>BC12-BC8-BC21</f>
        <v/>
      </c>
      <c r="BD22" s="40">
        <f>BD12-BD8-BD21</f>
        <v/>
      </c>
      <c r="BE22" s="40">
        <f>BE12-BE8-BE21</f>
        <v/>
      </c>
      <c r="BF22" s="40">
        <f>BF12-BF8-BF21</f>
        <v/>
      </c>
      <c r="BG22" s="40">
        <f>BG12-BG8-BG21</f>
        <v/>
      </c>
      <c r="BH22" s="40">
        <f>BH12-BH8-BH21</f>
        <v/>
      </c>
      <c r="BI22" s="40">
        <f>BI12-BI8-BI21</f>
        <v/>
      </c>
    </row>
    <row r="23">
      <c r="A23" s="5" t="inlineStr">
        <is>
          <t>Blended take-rate (Travidz net / GBV)</t>
        </is>
      </c>
      <c r="B23" s="20">
        <f>IFERROR(B22/B11,0)</f>
        <v/>
      </c>
      <c r="C23" s="20">
        <f>IFERROR(C22/C11,0)</f>
        <v/>
      </c>
      <c r="D23" s="20">
        <f>IFERROR(D22/D11,0)</f>
        <v/>
      </c>
      <c r="E23" s="20">
        <f>IFERROR(E22/E11,0)</f>
        <v/>
      </c>
      <c r="F23" s="20">
        <f>IFERROR(F22/F11,0)</f>
        <v/>
      </c>
      <c r="G23" s="20">
        <f>IFERROR(G22/G11,0)</f>
        <v/>
      </c>
      <c r="H23" s="20">
        <f>IFERROR(H22/H11,0)</f>
        <v/>
      </c>
      <c r="I23" s="20">
        <f>IFERROR(I22/I11,0)</f>
        <v/>
      </c>
      <c r="J23" s="20">
        <f>IFERROR(J22/J11,0)</f>
        <v/>
      </c>
      <c r="K23" s="20">
        <f>IFERROR(K22/K11,0)</f>
        <v/>
      </c>
      <c r="L23" s="20">
        <f>IFERROR(L22/L11,0)</f>
        <v/>
      </c>
      <c r="M23" s="20">
        <f>IFERROR(M22/M11,0)</f>
        <v/>
      </c>
      <c r="N23" s="20">
        <f>IFERROR(N22/N11,0)</f>
        <v/>
      </c>
      <c r="O23" s="20">
        <f>IFERROR(O22/O11,0)</f>
        <v/>
      </c>
      <c r="P23" s="20">
        <f>IFERROR(P22/P11,0)</f>
        <v/>
      </c>
      <c r="Q23" s="20">
        <f>IFERROR(Q22/Q11,0)</f>
        <v/>
      </c>
      <c r="R23" s="20">
        <f>IFERROR(R22/R11,0)</f>
        <v/>
      </c>
      <c r="S23" s="20">
        <f>IFERROR(S22/S11,0)</f>
        <v/>
      </c>
      <c r="T23" s="20">
        <f>IFERROR(T22/T11,0)</f>
        <v/>
      </c>
      <c r="U23" s="20">
        <f>IFERROR(U22/U11,0)</f>
        <v/>
      </c>
      <c r="V23" s="20">
        <f>IFERROR(V22/V11,0)</f>
        <v/>
      </c>
      <c r="W23" s="20">
        <f>IFERROR(W22/W11,0)</f>
        <v/>
      </c>
      <c r="X23" s="20">
        <f>IFERROR(X22/X11,0)</f>
        <v/>
      </c>
      <c r="Y23" s="20">
        <f>IFERROR(Y22/Y11,0)</f>
        <v/>
      </c>
      <c r="Z23" s="20">
        <f>IFERROR(Z22/Z11,0)</f>
        <v/>
      </c>
      <c r="AA23" s="20">
        <f>IFERROR(AA22/AA11,0)</f>
        <v/>
      </c>
      <c r="AB23" s="20">
        <f>IFERROR(AB22/AB11,0)</f>
        <v/>
      </c>
      <c r="AC23" s="20">
        <f>IFERROR(AC22/AC11,0)</f>
        <v/>
      </c>
      <c r="AD23" s="20">
        <f>IFERROR(AD22/AD11,0)</f>
        <v/>
      </c>
      <c r="AE23" s="20">
        <f>IFERROR(AE22/AE11,0)</f>
        <v/>
      </c>
      <c r="AF23" s="20">
        <f>IFERROR(AF22/AF11,0)</f>
        <v/>
      </c>
      <c r="AG23" s="20">
        <f>IFERROR(AG22/AG11,0)</f>
        <v/>
      </c>
      <c r="AH23" s="20">
        <f>IFERROR(AH22/AH11,0)</f>
        <v/>
      </c>
      <c r="AI23" s="20">
        <f>IFERROR(AI22/AI11,0)</f>
        <v/>
      </c>
      <c r="AJ23" s="20">
        <f>IFERROR(AJ22/AJ11,0)</f>
        <v/>
      </c>
      <c r="AK23" s="20">
        <f>IFERROR(AK22/AK11,0)</f>
        <v/>
      </c>
      <c r="AL23" s="20">
        <f>IFERROR(AL22/AL11,0)</f>
        <v/>
      </c>
      <c r="AM23" s="20">
        <f>IFERROR(AM22/AM11,0)</f>
        <v/>
      </c>
      <c r="AN23" s="20">
        <f>IFERROR(AN22/AN11,0)</f>
        <v/>
      </c>
      <c r="AO23" s="20">
        <f>IFERROR(AO22/AO11,0)</f>
        <v/>
      </c>
      <c r="AP23" s="20">
        <f>IFERROR(AP22/AP11,0)</f>
        <v/>
      </c>
      <c r="AQ23" s="20">
        <f>IFERROR(AQ22/AQ11,0)</f>
        <v/>
      </c>
      <c r="AR23" s="20">
        <f>IFERROR(AR22/AR11,0)</f>
        <v/>
      </c>
      <c r="AS23" s="20">
        <f>IFERROR(AS22/AS11,0)</f>
        <v/>
      </c>
      <c r="AT23" s="20">
        <f>IFERROR(AT22/AT11,0)</f>
        <v/>
      </c>
      <c r="AU23" s="20">
        <f>IFERROR(AU22/AU11,0)</f>
        <v/>
      </c>
      <c r="AV23" s="20">
        <f>IFERROR(AV22/AV11,0)</f>
        <v/>
      </c>
      <c r="AW23" s="20">
        <f>IFERROR(AW22/AW11,0)</f>
        <v/>
      </c>
      <c r="AX23" s="20">
        <f>IFERROR(AX22/AX11,0)</f>
        <v/>
      </c>
      <c r="AY23" s="20">
        <f>IFERROR(AY22/AY11,0)</f>
        <v/>
      </c>
      <c r="AZ23" s="20">
        <f>IFERROR(AZ22/AZ11,0)</f>
        <v/>
      </c>
      <c r="BA23" s="20">
        <f>IFERROR(BA22/BA11,0)</f>
        <v/>
      </c>
      <c r="BB23" s="20">
        <f>IFERROR(BB22/BB11,0)</f>
        <v/>
      </c>
      <c r="BC23" s="20">
        <f>IFERROR(BC22/BC11,0)</f>
        <v/>
      </c>
      <c r="BD23" s="20">
        <f>IFERROR(BD22/BD11,0)</f>
        <v/>
      </c>
      <c r="BE23" s="20">
        <f>IFERROR(BE22/BE11,0)</f>
        <v/>
      </c>
      <c r="BF23" s="20">
        <f>IFERROR(BF22/BF11,0)</f>
        <v/>
      </c>
      <c r="BG23" s="20">
        <f>IFERROR(BG22/BG11,0)</f>
        <v/>
      </c>
      <c r="BH23" s="20">
        <f>IFERROR(BH22/BH11,0)</f>
        <v/>
      </c>
      <c r="BI23" s="20">
        <f>IFERROR(BI22/BI11,0)</f>
        <v/>
      </c>
    </row>
    <row r="24">
      <c r="A24" s="5" t="inlineStr">
        <is>
          <t>Estimated bookings (GBV / ABV)</t>
        </is>
      </c>
      <c r="B24" s="14">
        <f>IFERROR(B11/assumptions!$G$6,0)</f>
        <v/>
      </c>
      <c r="C24" s="14">
        <f>IFERROR(C11/assumptions!$G$6,0)</f>
        <v/>
      </c>
      <c r="D24" s="14">
        <f>IFERROR(D11/assumptions!$G$6,0)</f>
        <v/>
      </c>
      <c r="E24" s="14">
        <f>IFERROR(E11/assumptions!$G$6,0)</f>
        <v/>
      </c>
      <c r="F24" s="14">
        <f>IFERROR(F11/assumptions!$G$6,0)</f>
        <v/>
      </c>
      <c r="G24" s="14">
        <f>IFERROR(G11/assumptions!$G$6,0)</f>
        <v/>
      </c>
      <c r="H24" s="14">
        <f>IFERROR(H11/assumptions!$G$6,0)</f>
        <v/>
      </c>
      <c r="I24" s="14">
        <f>IFERROR(I11/assumptions!$G$6,0)</f>
        <v/>
      </c>
      <c r="J24" s="14">
        <f>IFERROR(J11/assumptions!$G$6,0)</f>
        <v/>
      </c>
      <c r="K24" s="14">
        <f>IFERROR(K11/assumptions!$G$6,0)</f>
        <v/>
      </c>
      <c r="L24" s="14">
        <f>IFERROR(L11/assumptions!$G$6,0)</f>
        <v/>
      </c>
      <c r="M24" s="14">
        <f>IFERROR(M11/assumptions!$G$6,0)</f>
        <v/>
      </c>
      <c r="N24" s="14">
        <f>IFERROR(N11/assumptions!$G$6,0)</f>
        <v/>
      </c>
      <c r="O24" s="14">
        <f>IFERROR(O11/assumptions!$G$6,0)</f>
        <v/>
      </c>
      <c r="P24" s="14">
        <f>IFERROR(P11/assumptions!$G$6,0)</f>
        <v/>
      </c>
      <c r="Q24" s="14">
        <f>IFERROR(Q11/assumptions!$G$6,0)</f>
        <v/>
      </c>
      <c r="R24" s="14">
        <f>IFERROR(R11/assumptions!$G$6,0)</f>
        <v/>
      </c>
      <c r="S24" s="14">
        <f>IFERROR(S11/assumptions!$G$6,0)</f>
        <v/>
      </c>
      <c r="T24" s="14">
        <f>IFERROR(T11/assumptions!$G$6,0)</f>
        <v/>
      </c>
      <c r="U24" s="14">
        <f>IFERROR(U11/assumptions!$G$6,0)</f>
        <v/>
      </c>
      <c r="V24" s="14">
        <f>IFERROR(V11/assumptions!$G$6,0)</f>
        <v/>
      </c>
      <c r="W24" s="14">
        <f>IFERROR(W11/assumptions!$G$6,0)</f>
        <v/>
      </c>
      <c r="X24" s="14">
        <f>IFERROR(X11/assumptions!$G$6,0)</f>
        <v/>
      </c>
      <c r="Y24" s="14">
        <f>IFERROR(Y11/assumptions!$G$6,0)</f>
        <v/>
      </c>
      <c r="Z24" s="14">
        <f>IFERROR(Z11/assumptions!$G$6,0)</f>
        <v/>
      </c>
      <c r="AA24" s="14">
        <f>IFERROR(AA11/assumptions!$G$6,0)</f>
        <v/>
      </c>
      <c r="AB24" s="14">
        <f>IFERROR(AB11/assumptions!$G$6,0)</f>
        <v/>
      </c>
      <c r="AC24" s="14">
        <f>IFERROR(AC11/assumptions!$G$6,0)</f>
        <v/>
      </c>
      <c r="AD24" s="14">
        <f>IFERROR(AD11/assumptions!$G$6,0)</f>
        <v/>
      </c>
      <c r="AE24" s="14">
        <f>IFERROR(AE11/assumptions!$G$6,0)</f>
        <v/>
      </c>
      <c r="AF24" s="14">
        <f>IFERROR(AF11/assumptions!$G$6,0)</f>
        <v/>
      </c>
      <c r="AG24" s="14">
        <f>IFERROR(AG11/assumptions!$G$6,0)</f>
        <v/>
      </c>
      <c r="AH24" s="14">
        <f>IFERROR(AH11/assumptions!$G$6,0)</f>
        <v/>
      </c>
      <c r="AI24" s="14">
        <f>IFERROR(AI11/assumptions!$G$6,0)</f>
        <v/>
      </c>
      <c r="AJ24" s="14">
        <f>IFERROR(AJ11/assumptions!$G$6,0)</f>
        <v/>
      </c>
      <c r="AK24" s="14">
        <f>IFERROR(AK11/assumptions!$G$6,0)</f>
        <v/>
      </c>
      <c r="AL24" s="14">
        <f>IFERROR(AL11/assumptions!$G$6,0)</f>
        <v/>
      </c>
      <c r="AM24" s="14">
        <f>IFERROR(AM11/assumptions!$G$6,0)</f>
        <v/>
      </c>
      <c r="AN24" s="14">
        <f>IFERROR(AN11/assumptions!$G$6,0)</f>
        <v/>
      </c>
      <c r="AO24" s="14">
        <f>IFERROR(AO11/assumptions!$G$6,0)</f>
        <v/>
      </c>
      <c r="AP24" s="14">
        <f>IFERROR(AP11/assumptions!$G$6,0)</f>
        <v/>
      </c>
      <c r="AQ24" s="14">
        <f>IFERROR(AQ11/assumptions!$G$6,0)</f>
        <v/>
      </c>
      <c r="AR24" s="14">
        <f>IFERROR(AR11/assumptions!$G$6,0)</f>
        <v/>
      </c>
      <c r="AS24" s="14">
        <f>IFERROR(AS11/assumptions!$G$6,0)</f>
        <v/>
      </c>
      <c r="AT24" s="14">
        <f>IFERROR(AT11/assumptions!$G$6,0)</f>
        <v/>
      </c>
      <c r="AU24" s="14">
        <f>IFERROR(AU11/assumptions!$G$6,0)</f>
        <v/>
      </c>
      <c r="AV24" s="14">
        <f>IFERROR(AV11/assumptions!$G$6,0)</f>
        <v/>
      </c>
      <c r="AW24" s="14">
        <f>IFERROR(AW11/assumptions!$G$6,0)</f>
        <v/>
      </c>
      <c r="AX24" s="14">
        <f>IFERROR(AX11/assumptions!$G$6,0)</f>
        <v/>
      </c>
      <c r="AY24" s="14">
        <f>IFERROR(AY11/assumptions!$G$6,0)</f>
        <v/>
      </c>
      <c r="AZ24" s="14">
        <f>IFERROR(AZ11/assumptions!$G$6,0)</f>
        <v/>
      </c>
      <c r="BA24" s="14">
        <f>IFERROR(BA11/assumptions!$G$6,0)</f>
        <v/>
      </c>
      <c r="BB24" s="14">
        <f>IFERROR(BB11/assumptions!$G$6,0)</f>
        <v/>
      </c>
      <c r="BC24" s="14">
        <f>IFERROR(BC11/assumptions!$G$6,0)</f>
        <v/>
      </c>
      <c r="BD24" s="14">
        <f>IFERROR(BD11/assumptions!$G$6,0)</f>
        <v/>
      </c>
      <c r="BE24" s="14">
        <f>IFERROR(BE11/assumptions!$G$6,0)</f>
        <v/>
      </c>
      <c r="BF24" s="14">
        <f>IFERROR(BF11/assumptions!$G$6,0)</f>
        <v/>
      </c>
      <c r="BG24" s="14">
        <f>IFERROR(BG11/assumptions!$G$6,0)</f>
        <v/>
      </c>
      <c r="BH24" s="14">
        <f>IFERROR(BH11/assumptions!$G$6,0)</f>
        <v/>
      </c>
      <c r="BI24" s="14">
        <f>IFERROR(BI11/assumptions!$G$6,0)</f>
        <v/>
      </c>
    </row>
    <row r="27">
      <c r="A27" s="34" t="inlineStr">
        <is>
          <t>ANNUAL ROLL-UP</t>
        </is>
      </c>
    </row>
    <row r="28">
      <c r="A28" s="1" t="inlineStr">
        <is>
          <t>Year</t>
        </is>
      </c>
      <c r="B28" s="41" t="inlineStr">
        <is>
          <t>Y1</t>
        </is>
      </c>
      <c r="C28" s="41" t="inlineStr">
        <is>
          <t>Y2</t>
        </is>
      </c>
      <c r="D28" s="41" t="inlineStr">
        <is>
          <t>Y3</t>
        </is>
      </c>
      <c r="E28" s="41" t="inlineStr">
        <is>
          <t>Y4</t>
        </is>
      </c>
      <c r="F28" s="41" t="inlineStr">
        <is>
          <t>Y5</t>
        </is>
      </c>
    </row>
    <row r="29">
      <c r="A29" s="5" t="inlineStr">
        <is>
          <t>Active creators EOY</t>
        </is>
      </c>
      <c r="B29" s="13">
        <f>M5</f>
        <v/>
      </c>
      <c r="C29" s="13">
        <f>Y5</f>
        <v/>
      </c>
      <c r="D29" s="13">
        <f>AK5</f>
        <v/>
      </c>
      <c r="E29" s="13">
        <f>AW5</f>
        <v/>
      </c>
      <c r="F29" s="13">
        <f>BI5</f>
        <v/>
      </c>
    </row>
    <row r="30">
      <c r="A30" s="5" t="inlineStr">
        <is>
          <t>Annual GBV</t>
        </is>
      </c>
      <c r="B30" s="16">
        <f>SUM(B11:M11)</f>
        <v/>
      </c>
      <c r="C30" s="16">
        <f>SUM(N11:Y11)</f>
        <v/>
      </c>
      <c r="D30" s="16">
        <f>SUM(Z11:AK11)</f>
        <v/>
      </c>
      <c r="E30" s="16">
        <f>SUM(AL11:AW11)</f>
        <v/>
      </c>
      <c r="F30" s="16">
        <f>SUM(AX11:BI11)</f>
        <v/>
      </c>
    </row>
    <row r="31">
      <c r="A31" s="5" t="inlineStr">
        <is>
          <t>Gross commission</t>
        </is>
      </c>
      <c r="B31" s="16">
        <f>SUM(B12:M12)</f>
        <v/>
      </c>
      <c r="C31" s="16">
        <f>SUM(N12:Y12)</f>
        <v/>
      </c>
      <c r="D31" s="16">
        <f>SUM(Z12:AK12)</f>
        <v/>
      </c>
      <c r="E31" s="16">
        <f>SUM(AL12:AW12)</f>
        <v/>
      </c>
      <c r="F31" s="16">
        <f>SUM(AX12:BI12)</f>
        <v/>
      </c>
    </row>
    <row r="32">
      <c r="A32" s="5" t="inlineStr">
        <is>
          <t>Travidz net</t>
        </is>
      </c>
      <c r="B32" s="16">
        <f>SUM(B22:M22)</f>
        <v/>
      </c>
      <c r="C32" s="16">
        <f>SUM(N22:Y22)</f>
        <v/>
      </c>
      <c r="D32" s="16">
        <f>SUM(Z22:AK22)</f>
        <v/>
      </c>
      <c r="E32" s="16">
        <f>SUM(AL22:AW22)</f>
        <v/>
      </c>
      <c r="F32" s="16">
        <f>SUM(AX22:BI22)</f>
        <v/>
      </c>
    </row>
    <row r="33">
      <c r="A33" s="5" t="inlineStr">
        <is>
          <t>Blended take-rate</t>
        </is>
      </c>
      <c r="B33" s="19">
        <f>SUM(B22:M22)/SUM(B11:M11)</f>
        <v/>
      </c>
      <c r="C33" s="19">
        <f>SUM(N22:Y22)/SUM(N11:Y11)</f>
        <v/>
      </c>
      <c r="D33" s="19">
        <f>SUM(Z22:AK22)/SUM(Z11:AK11)</f>
        <v/>
      </c>
      <c r="E33" s="19">
        <f>SUM(AL22:AW22)/SUM(AL11:AW11)</f>
        <v/>
      </c>
      <c r="F33" s="19">
        <f>SUM(AX22:BI22)/SUM(AX11:BI11)</f>
        <v/>
      </c>
    </row>
    <row r="34">
      <c r="A34" s="5" t="inlineStr">
        <is>
          <t>Active operators EOY (see operator_supply)</t>
        </is>
      </c>
      <c r="B34" s="13">
        <f>operator_supply!M5</f>
        <v/>
      </c>
      <c r="C34" s="13">
        <f>operator_supply!Y5</f>
        <v/>
      </c>
      <c r="D34" s="13">
        <f>operator_supply!AK5</f>
        <v/>
      </c>
      <c r="E34" s="13">
        <f>operator_supply!AW5</f>
        <v/>
      </c>
      <c r="F34" s="13">
        <f>operator_supply!BI5</f>
        <v/>
      </c>
    </row>
  </sheetData>
  <mergeCells count="1">
    <mergeCell ref="A1:B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BI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BI1"/>
    </sheetView>
  </sheetViews>
  <sheetFormatPr baseColWidth="8" defaultRowHeight="14.25"/>
  <cols>
    <col width="36" customWidth="1" style="55" min="1" max="1"/>
    <col width="11" customWidth="1" style="55" min="2" max="61"/>
  </cols>
  <sheetData>
    <row r="1" ht="22.05" customHeight="1" s="55">
      <c r="A1" s="54" t="inlineStr">
        <is>
          <t>Operator supply (60 months)</t>
        </is>
      </c>
    </row>
    <row r="3">
      <c r="A3" s="37" t="inlineStr">
        <is>
          <t>Metric</t>
        </is>
      </c>
      <c r="B3" s="21" t="inlineStr">
        <is>
          <t>M1</t>
        </is>
      </c>
      <c r="C3" s="21" t="inlineStr">
        <is>
          <t>M2</t>
        </is>
      </c>
      <c r="D3" s="21" t="inlineStr">
        <is>
          <t>M3</t>
        </is>
      </c>
      <c r="E3" s="21" t="inlineStr">
        <is>
          <t>M4</t>
        </is>
      </c>
      <c r="F3" s="21" t="inlineStr">
        <is>
          <t>M5</t>
        </is>
      </c>
      <c r="G3" s="21" t="inlineStr">
        <is>
          <t>M6</t>
        </is>
      </c>
      <c r="H3" s="21" t="inlineStr">
        <is>
          <t>M7</t>
        </is>
      </c>
      <c r="I3" s="21" t="inlineStr">
        <is>
          <t>M8</t>
        </is>
      </c>
      <c r="J3" s="21" t="inlineStr">
        <is>
          <t>M9</t>
        </is>
      </c>
      <c r="K3" s="21" t="inlineStr">
        <is>
          <t>M10</t>
        </is>
      </c>
      <c r="L3" s="21" t="inlineStr">
        <is>
          <t>M11</t>
        </is>
      </c>
      <c r="M3" s="21" t="inlineStr">
        <is>
          <t>M12</t>
        </is>
      </c>
      <c r="N3" s="21" t="inlineStr">
        <is>
          <t>M13</t>
        </is>
      </c>
      <c r="O3" s="21" t="inlineStr">
        <is>
          <t>M14</t>
        </is>
      </c>
      <c r="P3" s="21" t="inlineStr">
        <is>
          <t>M15</t>
        </is>
      </c>
      <c r="Q3" s="21" t="inlineStr">
        <is>
          <t>M16</t>
        </is>
      </c>
      <c r="R3" s="21" t="inlineStr">
        <is>
          <t>M17</t>
        </is>
      </c>
      <c r="S3" s="21" t="inlineStr">
        <is>
          <t>M18</t>
        </is>
      </c>
      <c r="T3" s="21" t="inlineStr">
        <is>
          <t>M19</t>
        </is>
      </c>
      <c r="U3" s="21" t="inlineStr">
        <is>
          <t>M20</t>
        </is>
      </c>
      <c r="V3" s="21" t="inlineStr">
        <is>
          <t>M21</t>
        </is>
      </c>
      <c r="W3" s="21" t="inlineStr">
        <is>
          <t>M22</t>
        </is>
      </c>
      <c r="X3" s="21" t="inlineStr">
        <is>
          <t>M23</t>
        </is>
      </c>
      <c r="Y3" s="21" t="inlineStr">
        <is>
          <t>M24</t>
        </is>
      </c>
      <c r="Z3" s="21" t="inlineStr">
        <is>
          <t>M25</t>
        </is>
      </c>
      <c r="AA3" s="21" t="inlineStr">
        <is>
          <t>M26</t>
        </is>
      </c>
      <c r="AB3" s="21" t="inlineStr">
        <is>
          <t>M27</t>
        </is>
      </c>
      <c r="AC3" s="21" t="inlineStr">
        <is>
          <t>M28</t>
        </is>
      </c>
      <c r="AD3" s="21" t="inlineStr">
        <is>
          <t>M29</t>
        </is>
      </c>
      <c r="AE3" s="21" t="inlineStr">
        <is>
          <t>M30</t>
        </is>
      </c>
      <c r="AF3" s="21" t="inlineStr">
        <is>
          <t>M31</t>
        </is>
      </c>
      <c r="AG3" s="21" t="inlineStr">
        <is>
          <t>M32</t>
        </is>
      </c>
      <c r="AH3" s="21" t="inlineStr">
        <is>
          <t>M33</t>
        </is>
      </c>
      <c r="AI3" s="21" t="inlineStr">
        <is>
          <t>M34</t>
        </is>
      </c>
      <c r="AJ3" s="21" t="inlineStr">
        <is>
          <t>M35</t>
        </is>
      </c>
      <c r="AK3" s="21" t="inlineStr">
        <is>
          <t>M36</t>
        </is>
      </c>
      <c r="AL3" s="21" t="inlineStr">
        <is>
          <t>M37</t>
        </is>
      </c>
      <c r="AM3" s="21" t="inlineStr">
        <is>
          <t>M38</t>
        </is>
      </c>
      <c r="AN3" s="21" t="inlineStr">
        <is>
          <t>M39</t>
        </is>
      </c>
      <c r="AO3" s="21" t="inlineStr">
        <is>
          <t>M40</t>
        </is>
      </c>
      <c r="AP3" s="21" t="inlineStr">
        <is>
          <t>M41</t>
        </is>
      </c>
      <c r="AQ3" s="21" t="inlineStr">
        <is>
          <t>M42</t>
        </is>
      </c>
      <c r="AR3" s="21" t="inlineStr">
        <is>
          <t>M43</t>
        </is>
      </c>
      <c r="AS3" s="21" t="inlineStr">
        <is>
          <t>M44</t>
        </is>
      </c>
      <c r="AT3" s="21" t="inlineStr">
        <is>
          <t>M45</t>
        </is>
      </c>
      <c r="AU3" s="21" t="inlineStr">
        <is>
          <t>M46</t>
        </is>
      </c>
      <c r="AV3" s="21" t="inlineStr">
        <is>
          <t>M47</t>
        </is>
      </c>
      <c r="AW3" s="21" t="inlineStr">
        <is>
          <t>M48</t>
        </is>
      </c>
      <c r="AX3" s="21" t="inlineStr">
        <is>
          <t>M49</t>
        </is>
      </c>
      <c r="AY3" s="21" t="inlineStr">
        <is>
          <t>M50</t>
        </is>
      </c>
      <c r="AZ3" s="21" t="inlineStr">
        <is>
          <t>M51</t>
        </is>
      </c>
      <c r="BA3" s="21" t="inlineStr">
        <is>
          <t>M52</t>
        </is>
      </c>
      <c r="BB3" s="21" t="inlineStr">
        <is>
          <t>M53</t>
        </is>
      </c>
      <c r="BC3" s="21" t="inlineStr">
        <is>
          <t>M54</t>
        </is>
      </c>
      <c r="BD3" s="21" t="inlineStr">
        <is>
          <t>M55</t>
        </is>
      </c>
      <c r="BE3" s="21" t="inlineStr">
        <is>
          <t>M56</t>
        </is>
      </c>
      <c r="BF3" s="21" t="inlineStr">
        <is>
          <t>M57</t>
        </is>
      </c>
      <c r="BG3" s="21" t="inlineStr">
        <is>
          <t>M58</t>
        </is>
      </c>
      <c r="BH3" s="21" t="inlineStr">
        <is>
          <t>M59</t>
        </is>
      </c>
      <c r="BI3" s="21" t="inlineStr">
        <is>
          <t>M60</t>
        </is>
      </c>
    </row>
    <row r="4">
      <c r="A4" s="5" t="inlineStr">
        <is>
          <t>New operators / month</t>
        </is>
      </c>
      <c r="B4" s="14">
        <f>assumptions!$G$57</f>
        <v/>
      </c>
      <c r="C4" s="14">
        <f>assumptions!$G$57</f>
        <v/>
      </c>
      <c r="D4" s="14">
        <f>assumptions!$G$57</f>
        <v/>
      </c>
      <c r="E4" s="14">
        <f>assumptions!$G$57</f>
        <v/>
      </c>
      <c r="F4" s="14">
        <f>assumptions!$G$57</f>
        <v/>
      </c>
      <c r="G4" s="14">
        <f>assumptions!$G$57</f>
        <v/>
      </c>
      <c r="H4" s="14">
        <f>assumptions!$G$57</f>
        <v/>
      </c>
      <c r="I4" s="14">
        <f>assumptions!$G$57</f>
        <v/>
      </c>
      <c r="J4" s="14">
        <f>assumptions!$G$57</f>
        <v/>
      </c>
      <c r="K4" s="14">
        <f>assumptions!$G$57</f>
        <v/>
      </c>
      <c r="L4" s="14">
        <f>assumptions!$G$57</f>
        <v/>
      </c>
      <c r="M4" s="14">
        <f>assumptions!$G$57</f>
        <v/>
      </c>
      <c r="N4" s="14">
        <f>assumptions!$G$57</f>
        <v/>
      </c>
      <c r="O4" s="14">
        <f>assumptions!$G$57</f>
        <v/>
      </c>
      <c r="P4" s="14">
        <f>assumptions!$G$57</f>
        <v/>
      </c>
      <c r="Q4" s="14">
        <f>assumptions!$G$57</f>
        <v/>
      </c>
      <c r="R4" s="14">
        <f>assumptions!$G$57</f>
        <v/>
      </c>
      <c r="S4" s="14">
        <f>assumptions!$G$57</f>
        <v/>
      </c>
      <c r="T4" s="14">
        <f>assumptions!$G$57</f>
        <v/>
      </c>
      <c r="U4" s="14">
        <f>assumptions!$G$57</f>
        <v/>
      </c>
      <c r="V4" s="14">
        <f>assumptions!$G$57</f>
        <v/>
      </c>
      <c r="W4" s="14">
        <f>assumptions!$G$57</f>
        <v/>
      </c>
      <c r="X4" s="14">
        <f>assumptions!$G$57</f>
        <v/>
      </c>
      <c r="Y4" s="14">
        <f>assumptions!$G$57</f>
        <v/>
      </c>
      <c r="Z4" s="14">
        <f>assumptions!$G$57</f>
        <v/>
      </c>
      <c r="AA4" s="14">
        <f>assumptions!$G$57</f>
        <v/>
      </c>
      <c r="AB4" s="14">
        <f>assumptions!$G$57</f>
        <v/>
      </c>
      <c r="AC4" s="14">
        <f>assumptions!$G$57</f>
        <v/>
      </c>
      <c r="AD4" s="14">
        <f>assumptions!$G$57</f>
        <v/>
      </c>
      <c r="AE4" s="14">
        <f>assumptions!$G$57</f>
        <v/>
      </c>
      <c r="AF4" s="14">
        <f>assumptions!$G$57</f>
        <v/>
      </c>
      <c r="AG4" s="14">
        <f>assumptions!$G$57</f>
        <v/>
      </c>
      <c r="AH4" s="14">
        <f>assumptions!$G$57</f>
        <v/>
      </c>
      <c r="AI4" s="14">
        <f>assumptions!$G$57</f>
        <v/>
      </c>
      <c r="AJ4" s="14">
        <f>assumptions!$G$57</f>
        <v/>
      </c>
      <c r="AK4" s="14">
        <f>assumptions!$G$57</f>
        <v/>
      </c>
      <c r="AL4" s="14">
        <f>assumptions!$G$57</f>
        <v/>
      </c>
      <c r="AM4" s="14">
        <f>assumptions!$G$57</f>
        <v/>
      </c>
      <c r="AN4" s="14">
        <f>assumptions!$G$57</f>
        <v/>
      </c>
      <c r="AO4" s="14">
        <f>assumptions!$G$57</f>
        <v/>
      </c>
      <c r="AP4" s="14">
        <f>assumptions!$G$57</f>
        <v/>
      </c>
      <c r="AQ4" s="14">
        <f>assumptions!$G$57</f>
        <v/>
      </c>
      <c r="AR4" s="14">
        <f>assumptions!$G$57</f>
        <v/>
      </c>
      <c r="AS4" s="14">
        <f>assumptions!$G$57</f>
        <v/>
      </c>
      <c r="AT4" s="14">
        <f>assumptions!$G$57</f>
        <v/>
      </c>
      <c r="AU4" s="14">
        <f>assumptions!$G$57</f>
        <v/>
      </c>
      <c r="AV4" s="14">
        <f>assumptions!$G$57</f>
        <v/>
      </c>
      <c r="AW4" s="14">
        <f>assumptions!$G$57</f>
        <v/>
      </c>
      <c r="AX4" s="14">
        <f>assumptions!$G$57</f>
        <v/>
      </c>
      <c r="AY4" s="14">
        <f>assumptions!$G$57</f>
        <v/>
      </c>
      <c r="AZ4" s="14">
        <f>assumptions!$G$57</f>
        <v/>
      </c>
      <c r="BA4" s="14">
        <f>assumptions!$G$57</f>
        <v/>
      </c>
      <c r="BB4" s="14">
        <f>assumptions!$G$57</f>
        <v/>
      </c>
      <c r="BC4" s="14">
        <f>assumptions!$G$57</f>
        <v/>
      </c>
      <c r="BD4" s="14">
        <f>assumptions!$G$57</f>
        <v/>
      </c>
      <c r="BE4" s="14">
        <f>assumptions!$G$57</f>
        <v/>
      </c>
      <c r="BF4" s="14">
        <f>assumptions!$G$57</f>
        <v/>
      </c>
      <c r="BG4" s="14">
        <f>assumptions!$G$57</f>
        <v/>
      </c>
      <c r="BH4" s="14">
        <f>assumptions!$G$57</f>
        <v/>
      </c>
      <c r="BI4" s="14">
        <f>assumptions!$G$57</f>
        <v/>
      </c>
    </row>
    <row r="5">
      <c r="A5" s="1" t="inlineStr">
        <is>
          <t>Active operators (EOM)</t>
        </is>
      </c>
      <c r="B5" s="42">
        <f>assumptions!$G$56+B4-B6</f>
        <v/>
      </c>
      <c r="C5" s="42">
        <f>B5+C4-C6</f>
        <v/>
      </c>
      <c r="D5" s="42">
        <f>C5+D4-D6</f>
        <v/>
      </c>
      <c r="E5" s="42">
        <f>D5+E4-E6</f>
        <v/>
      </c>
      <c r="F5" s="42">
        <f>E5+F4-F6</f>
        <v/>
      </c>
      <c r="G5" s="42">
        <f>F5+G4-G6</f>
        <v/>
      </c>
      <c r="H5" s="42">
        <f>G5+H4-H6</f>
        <v/>
      </c>
      <c r="I5" s="42">
        <f>H5+I4-I6</f>
        <v/>
      </c>
      <c r="J5" s="42">
        <f>I5+J4-J6</f>
        <v/>
      </c>
      <c r="K5" s="42">
        <f>J5+K4-K6</f>
        <v/>
      </c>
      <c r="L5" s="42">
        <f>K5+L4-L6</f>
        <v/>
      </c>
      <c r="M5" s="42">
        <f>L5+M4-M6</f>
        <v/>
      </c>
      <c r="N5" s="42">
        <f>M5+N4-N6</f>
        <v/>
      </c>
      <c r="O5" s="42">
        <f>N5+O4-O6</f>
        <v/>
      </c>
      <c r="P5" s="42">
        <f>O5+P4-P6</f>
        <v/>
      </c>
      <c r="Q5" s="42">
        <f>P5+Q4-Q6</f>
        <v/>
      </c>
      <c r="R5" s="42">
        <f>Q5+R4-R6</f>
        <v/>
      </c>
      <c r="S5" s="42">
        <f>R5+S4-S6</f>
        <v/>
      </c>
      <c r="T5" s="42">
        <f>S5+T4-T6</f>
        <v/>
      </c>
      <c r="U5" s="42">
        <f>T5+U4-U6</f>
        <v/>
      </c>
      <c r="V5" s="42">
        <f>U5+V4-V6</f>
        <v/>
      </c>
      <c r="W5" s="42">
        <f>V5+W4-W6</f>
        <v/>
      </c>
      <c r="X5" s="42">
        <f>W5+X4-X6</f>
        <v/>
      </c>
      <c r="Y5" s="42">
        <f>X5+Y4-Y6</f>
        <v/>
      </c>
      <c r="Z5" s="42">
        <f>Y5+Z4-Z6</f>
        <v/>
      </c>
      <c r="AA5" s="42">
        <f>Z5+AA4-AA6</f>
        <v/>
      </c>
      <c r="AB5" s="42">
        <f>AA5+AB4-AB6</f>
        <v/>
      </c>
      <c r="AC5" s="42">
        <f>AB5+AC4-AC6</f>
        <v/>
      </c>
      <c r="AD5" s="42">
        <f>AC5+AD4-AD6</f>
        <v/>
      </c>
      <c r="AE5" s="42">
        <f>AD5+AE4-AE6</f>
        <v/>
      </c>
      <c r="AF5" s="42">
        <f>AE5+AF4-AF6</f>
        <v/>
      </c>
      <c r="AG5" s="42">
        <f>AF5+AG4-AG6</f>
        <v/>
      </c>
      <c r="AH5" s="42">
        <f>AG5+AH4-AH6</f>
        <v/>
      </c>
      <c r="AI5" s="42">
        <f>AH5+AI4-AI6</f>
        <v/>
      </c>
      <c r="AJ5" s="42">
        <f>AI5+AJ4-AJ6</f>
        <v/>
      </c>
      <c r="AK5" s="42">
        <f>AJ5+AK4-AK6</f>
        <v/>
      </c>
      <c r="AL5" s="42">
        <f>AK5+AL4-AL6</f>
        <v/>
      </c>
      <c r="AM5" s="42">
        <f>AL5+AM4-AM6</f>
        <v/>
      </c>
      <c r="AN5" s="42">
        <f>AM5+AN4-AN6</f>
        <v/>
      </c>
      <c r="AO5" s="42">
        <f>AN5+AO4-AO6</f>
        <v/>
      </c>
      <c r="AP5" s="42">
        <f>AO5+AP4-AP6</f>
        <v/>
      </c>
      <c r="AQ5" s="42">
        <f>AP5+AQ4-AQ6</f>
        <v/>
      </c>
      <c r="AR5" s="42">
        <f>AQ5+AR4-AR6</f>
        <v/>
      </c>
      <c r="AS5" s="42">
        <f>AR5+AS4-AS6</f>
        <v/>
      </c>
      <c r="AT5" s="42">
        <f>AS5+AT4-AT6</f>
        <v/>
      </c>
      <c r="AU5" s="42">
        <f>AT5+AU4-AU6</f>
        <v/>
      </c>
      <c r="AV5" s="42">
        <f>AU5+AV4-AV6</f>
        <v/>
      </c>
      <c r="AW5" s="42">
        <f>AV5+AW4-AW6</f>
        <v/>
      </c>
      <c r="AX5" s="42">
        <f>AW5+AX4-AX6</f>
        <v/>
      </c>
      <c r="AY5" s="42">
        <f>AX5+AY4-AY6</f>
        <v/>
      </c>
      <c r="AZ5" s="42">
        <f>AY5+AZ4-AZ6</f>
        <v/>
      </c>
      <c r="BA5" s="42">
        <f>AZ5+BA4-BA6</f>
        <v/>
      </c>
      <c r="BB5" s="42">
        <f>BA5+BB4-BB6</f>
        <v/>
      </c>
      <c r="BC5" s="42">
        <f>BB5+BC4-BC6</f>
        <v/>
      </c>
      <c r="BD5" s="42">
        <f>BC5+BD4-BD6</f>
        <v/>
      </c>
      <c r="BE5" s="42">
        <f>BD5+BE4-BE6</f>
        <v/>
      </c>
      <c r="BF5" s="42">
        <f>BE5+BF4-BF6</f>
        <v/>
      </c>
      <c r="BG5" s="42">
        <f>BF5+BG4-BG6</f>
        <v/>
      </c>
      <c r="BH5" s="42">
        <f>BG5+BH4-BH6</f>
        <v/>
      </c>
      <c r="BI5" s="42">
        <f>BH5+BI4-BI6</f>
        <v/>
      </c>
    </row>
    <row r="6">
      <c r="A6" s="5" t="inlineStr">
        <is>
          <t>Churned (mo)</t>
        </is>
      </c>
      <c r="B6" s="14">
        <f>ROUND(assumptions!$G$56*assumptions!$G$58,0)</f>
        <v/>
      </c>
      <c r="C6" s="14">
        <f>ROUND(B5*assumptions!$G$58,0)</f>
        <v/>
      </c>
      <c r="D6" s="14">
        <f>ROUND(C5*assumptions!$G$58,0)</f>
        <v/>
      </c>
      <c r="E6" s="14">
        <f>ROUND(D5*assumptions!$G$58,0)</f>
        <v/>
      </c>
      <c r="F6" s="14">
        <f>ROUND(E5*assumptions!$G$58,0)</f>
        <v/>
      </c>
      <c r="G6" s="14">
        <f>ROUND(F5*assumptions!$G$58,0)</f>
        <v/>
      </c>
      <c r="H6" s="14">
        <f>ROUND(G5*assumptions!$G$58,0)</f>
        <v/>
      </c>
      <c r="I6" s="14">
        <f>ROUND(H5*assumptions!$G$58,0)</f>
        <v/>
      </c>
      <c r="J6" s="14">
        <f>ROUND(I5*assumptions!$G$58,0)</f>
        <v/>
      </c>
      <c r="K6" s="14">
        <f>ROUND(J5*assumptions!$G$58,0)</f>
        <v/>
      </c>
      <c r="L6" s="14">
        <f>ROUND(K5*assumptions!$G$58,0)</f>
        <v/>
      </c>
      <c r="M6" s="14">
        <f>ROUND(L5*assumptions!$G$58,0)</f>
        <v/>
      </c>
      <c r="N6" s="14">
        <f>ROUND(M5*assumptions!$G$58,0)</f>
        <v/>
      </c>
      <c r="O6" s="14">
        <f>ROUND(N5*assumptions!$G$58,0)</f>
        <v/>
      </c>
      <c r="P6" s="14">
        <f>ROUND(O5*assumptions!$G$58,0)</f>
        <v/>
      </c>
      <c r="Q6" s="14">
        <f>ROUND(P5*assumptions!$G$58,0)</f>
        <v/>
      </c>
      <c r="R6" s="14">
        <f>ROUND(Q5*assumptions!$G$58,0)</f>
        <v/>
      </c>
      <c r="S6" s="14">
        <f>ROUND(R5*assumptions!$G$58,0)</f>
        <v/>
      </c>
      <c r="T6" s="14">
        <f>ROUND(S5*assumptions!$G$58,0)</f>
        <v/>
      </c>
      <c r="U6" s="14">
        <f>ROUND(T5*assumptions!$G$58,0)</f>
        <v/>
      </c>
      <c r="V6" s="14">
        <f>ROUND(U5*assumptions!$G$58,0)</f>
        <v/>
      </c>
      <c r="W6" s="14">
        <f>ROUND(V5*assumptions!$G$58,0)</f>
        <v/>
      </c>
      <c r="X6" s="14">
        <f>ROUND(W5*assumptions!$G$58,0)</f>
        <v/>
      </c>
      <c r="Y6" s="14">
        <f>ROUND(X5*assumptions!$G$58,0)</f>
        <v/>
      </c>
      <c r="Z6" s="14">
        <f>ROUND(Y5*assumptions!$G$58,0)</f>
        <v/>
      </c>
      <c r="AA6" s="14">
        <f>ROUND(Z5*assumptions!$G$58,0)</f>
        <v/>
      </c>
      <c r="AB6" s="14">
        <f>ROUND(AA5*assumptions!$G$58,0)</f>
        <v/>
      </c>
      <c r="AC6" s="14">
        <f>ROUND(AB5*assumptions!$G$58,0)</f>
        <v/>
      </c>
      <c r="AD6" s="14">
        <f>ROUND(AC5*assumptions!$G$58,0)</f>
        <v/>
      </c>
      <c r="AE6" s="14">
        <f>ROUND(AD5*assumptions!$G$58,0)</f>
        <v/>
      </c>
      <c r="AF6" s="14">
        <f>ROUND(AE5*assumptions!$G$58,0)</f>
        <v/>
      </c>
      <c r="AG6" s="14">
        <f>ROUND(AF5*assumptions!$G$58,0)</f>
        <v/>
      </c>
      <c r="AH6" s="14">
        <f>ROUND(AG5*assumptions!$G$58,0)</f>
        <v/>
      </c>
      <c r="AI6" s="14">
        <f>ROUND(AH5*assumptions!$G$58,0)</f>
        <v/>
      </c>
      <c r="AJ6" s="14">
        <f>ROUND(AI5*assumptions!$G$58,0)</f>
        <v/>
      </c>
      <c r="AK6" s="14">
        <f>ROUND(AJ5*assumptions!$G$58,0)</f>
        <v/>
      </c>
      <c r="AL6" s="14">
        <f>ROUND(AK5*assumptions!$G$58,0)</f>
        <v/>
      </c>
      <c r="AM6" s="14">
        <f>ROUND(AL5*assumptions!$G$58,0)</f>
        <v/>
      </c>
      <c r="AN6" s="14">
        <f>ROUND(AM5*assumptions!$G$58,0)</f>
        <v/>
      </c>
      <c r="AO6" s="14">
        <f>ROUND(AN5*assumptions!$G$58,0)</f>
        <v/>
      </c>
      <c r="AP6" s="14">
        <f>ROUND(AO5*assumptions!$G$58,0)</f>
        <v/>
      </c>
      <c r="AQ6" s="14">
        <f>ROUND(AP5*assumptions!$G$58,0)</f>
        <v/>
      </c>
      <c r="AR6" s="14">
        <f>ROUND(AQ5*assumptions!$G$58,0)</f>
        <v/>
      </c>
      <c r="AS6" s="14">
        <f>ROUND(AR5*assumptions!$G$58,0)</f>
        <v/>
      </c>
      <c r="AT6" s="14">
        <f>ROUND(AS5*assumptions!$G$58,0)</f>
        <v/>
      </c>
      <c r="AU6" s="14">
        <f>ROUND(AT5*assumptions!$G$58,0)</f>
        <v/>
      </c>
      <c r="AV6" s="14">
        <f>ROUND(AU5*assumptions!$G$58,0)</f>
        <v/>
      </c>
      <c r="AW6" s="14">
        <f>ROUND(AV5*assumptions!$G$58,0)</f>
        <v/>
      </c>
      <c r="AX6" s="14">
        <f>ROUND(AW5*assumptions!$G$58,0)</f>
        <v/>
      </c>
      <c r="AY6" s="14">
        <f>ROUND(AX5*assumptions!$G$58,0)</f>
        <v/>
      </c>
      <c r="AZ6" s="14">
        <f>ROUND(AY5*assumptions!$G$58,0)</f>
        <v/>
      </c>
      <c r="BA6" s="14">
        <f>ROUND(AZ5*assumptions!$G$58,0)</f>
        <v/>
      </c>
      <c r="BB6" s="14">
        <f>ROUND(BA5*assumptions!$G$58,0)</f>
        <v/>
      </c>
      <c r="BC6" s="14">
        <f>ROUND(BB5*assumptions!$G$58,0)</f>
        <v/>
      </c>
      <c r="BD6" s="14">
        <f>ROUND(BC5*assumptions!$G$58,0)</f>
        <v/>
      </c>
      <c r="BE6" s="14">
        <f>ROUND(BD5*assumptions!$G$58,0)</f>
        <v/>
      </c>
      <c r="BF6" s="14">
        <f>ROUND(BE5*assumptions!$G$58,0)</f>
        <v/>
      </c>
      <c r="BG6" s="14">
        <f>ROUND(BF5*assumptions!$G$58,0)</f>
        <v/>
      </c>
      <c r="BH6" s="14">
        <f>ROUND(BG5*assumptions!$G$58,0)</f>
        <v/>
      </c>
      <c r="BI6" s="14">
        <f>ROUND(BH5*assumptions!$G$58,0)</f>
        <v/>
      </c>
    </row>
    <row r="7">
      <c r="A7" s="5" t="inlineStr">
        <is>
          <t>Partner success cost (£/mo)</t>
        </is>
      </c>
      <c r="B7" s="17">
        <f>B5*assumptions!$G$59</f>
        <v/>
      </c>
      <c r="C7" s="17">
        <f>C5*assumptions!$G$59</f>
        <v/>
      </c>
      <c r="D7" s="17">
        <f>D5*assumptions!$G$59</f>
        <v/>
      </c>
      <c r="E7" s="17">
        <f>E5*assumptions!$G$59</f>
        <v/>
      </c>
      <c r="F7" s="17">
        <f>F5*assumptions!$G$59</f>
        <v/>
      </c>
      <c r="G7" s="17">
        <f>G5*assumptions!$G$59</f>
        <v/>
      </c>
      <c r="H7" s="17">
        <f>H5*assumptions!$G$59</f>
        <v/>
      </c>
      <c r="I7" s="17">
        <f>I5*assumptions!$G$59</f>
        <v/>
      </c>
      <c r="J7" s="17">
        <f>J5*assumptions!$G$59</f>
        <v/>
      </c>
      <c r="K7" s="17">
        <f>K5*assumptions!$G$59</f>
        <v/>
      </c>
      <c r="L7" s="17">
        <f>L5*assumptions!$G$59</f>
        <v/>
      </c>
      <c r="M7" s="17">
        <f>M5*assumptions!$G$59</f>
        <v/>
      </c>
      <c r="N7" s="17">
        <f>N5*assumptions!$G$59</f>
        <v/>
      </c>
      <c r="O7" s="17">
        <f>O5*assumptions!$G$59</f>
        <v/>
      </c>
      <c r="P7" s="17">
        <f>P5*assumptions!$G$59</f>
        <v/>
      </c>
      <c r="Q7" s="17">
        <f>Q5*assumptions!$G$59</f>
        <v/>
      </c>
      <c r="R7" s="17">
        <f>R5*assumptions!$G$59</f>
        <v/>
      </c>
      <c r="S7" s="17">
        <f>S5*assumptions!$G$59</f>
        <v/>
      </c>
      <c r="T7" s="17">
        <f>T5*assumptions!$G$59</f>
        <v/>
      </c>
      <c r="U7" s="17">
        <f>U5*assumptions!$G$59</f>
        <v/>
      </c>
      <c r="V7" s="17">
        <f>V5*assumptions!$G$59</f>
        <v/>
      </c>
      <c r="W7" s="17">
        <f>W5*assumptions!$G$59</f>
        <v/>
      </c>
      <c r="X7" s="17">
        <f>X5*assumptions!$G$59</f>
        <v/>
      </c>
      <c r="Y7" s="17">
        <f>Y5*assumptions!$G$59</f>
        <v/>
      </c>
      <c r="Z7" s="17">
        <f>Z5*assumptions!$G$59</f>
        <v/>
      </c>
      <c r="AA7" s="17">
        <f>AA5*assumptions!$G$59</f>
        <v/>
      </c>
      <c r="AB7" s="17">
        <f>AB5*assumptions!$G$59</f>
        <v/>
      </c>
      <c r="AC7" s="17">
        <f>AC5*assumptions!$G$59</f>
        <v/>
      </c>
      <c r="AD7" s="17">
        <f>AD5*assumptions!$G$59</f>
        <v/>
      </c>
      <c r="AE7" s="17">
        <f>AE5*assumptions!$G$59</f>
        <v/>
      </c>
      <c r="AF7" s="17">
        <f>AF5*assumptions!$G$59</f>
        <v/>
      </c>
      <c r="AG7" s="17">
        <f>AG5*assumptions!$G$59</f>
        <v/>
      </c>
      <c r="AH7" s="17">
        <f>AH5*assumptions!$G$59</f>
        <v/>
      </c>
      <c r="AI7" s="17">
        <f>AI5*assumptions!$G$59</f>
        <v/>
      </c>
      <c r="AJ7" s="17">
        <f>AJ5*assumptions!$G$59</f>
        <v/>
      </c>
      <c r="AK7" s="17">
        <f>AK5*assumptions!$G$59</f>
        <v/>
      </c>
      <c r="AL7" s="17">
        <f>AL5*assumptions!$G$59</f>
        <v/>
      </c>
      <c r="AM7" s="17">
        <f>AM5*assumptions!$G$59</f>
        <v/>
      </c>
      <c r="AN7" s="17">
        <f>AN5*assumptions!$G$59</f>
        <v/>
      </c>
      <c r="AO7" s="17">
        <f>AO5*assumptions!$G$59</f>
        <v/>
      </c>
      <c r="AP7" s="17">
        <f>AP5*assumptions!$G$59</f>
        <v/>
      </c>
      <c r="AQ7" s="17">
        <f>AQ5*assumptions!$G$59</f>
        <v/>
      </c>
      <c r="AR7" s="17">
        <f>AR5*assumptions!$G$59</f>
        <v/>
      </c>
      <c r="AS7" s="17">
        <f>AS5*assumptions!$G$59</f>
        <v/>
      </c>
      <c r="AT7" s="17">
        <f>AT5*assumptions!$G$59</f>
        <v/>
      </c>
      <c r="AU7" s="17">
        <f>AU5*assumptions!$G$59</f>
        <v/>
      </c>
      <c r="AV7" s="17">
        <f>AV5*assumptions!$G$59</f>
        <v/>
      </c>
      <c r="AW7" s="17">
        <f>AW5*assumptions!$G$59</f>
        <v/>
      </c>
      <c r="AX7" s="17">
        <f>AX5*assumptions!$G$59</f>
        <v/>
      </c>
      <c r="AY7" s="17">
        <f>AY5*assumptions!$G$59</f>
        <v/>
      </c>
      <c r="AZ7" s="17">
        <f>AZ5*assumptions!$G$59</f>
        <v/>
      </c>
      <c r="BA7" s="17">
        <f>BA5*assumptions!$G$59</f>
        <v/>
      </c>
      <c r="BB7" s="17">
        <f>BB5*assumptions!$G$59</f>
        <v/>
      </c>
      <c r="BC7" s="17">
        <f>BC5*assumptions!$G$59</f>
        <v/>
      </c>
      <c r="BD7" s="17">
        <f>BD5*assumptions!$G$59</f>
        <v/>
      </c>
      <c r="BE7" s="17">
        <f>BE5*assumptions!$G$59</f>
        <v/>
      </c>
      <c r="BF7" s="17">
        <f>BF5*assumptions!$G$59</f>
        <v/>
      </c>
      <c r="BG7" s="17">
        <f>BG5*assumptions!$G$59</f>
        <v/>
      </c>
      <c r="BH7" s="17">
        <f>BH5*assumptions!$G$59</f>
        <v/>
      </c>
      <c r="BI7" s="17">
        <f>BI5*assumptions!$G$59</f>
        <v/>
      </c>
    </row>
  </sheetData>
  <mergeCells count="1">
    <mergeCell ref="A1:B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030A0"/>
    <outlinePr summaryBelow="1" summaryRight="1"/>
    <pageSetUpPr/>
  </sheetPr>
  <dimension ref="A1:BI40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38" sqref="A38:XFD38"/>
    </sheetView>
  </sheetViews>
  <sheetFormatPr baseColWidth="8" defaultRowHeight="14.25"/>
  <cols>
    <col width="36" customWidth="1" style="55" min="1" max="1"/>
    <col width="12" customWidth="1" style="55" min="2" max="61"/>
  </cols>
  <sheetData>
    <row r="1" ht="22.05" customHeight="1" s="55">
      <c r="A1" s="54" t="inlineStr">
        <is>
          <t>Combined P&amp;L and Cash flow (60 months)</t>
        </is>
      </c>
    </row>
    <row r="3">
      <c r="A3" s="37" t="inlineStr">
        <is>
          <t>Metric</t>
        </is>
      </c>
      <c r="B3" s="21" t="inlineStr">
        <is>
          <t>M1</t>
        </is>
      </c>
      <c r="C3" s="21" t="inlineStr">
        <is>
          <t>M2</t>
        </is>
      </c>
      <c r="D3" s="21" t="inlineStr">
        <is>
          <t>M3</t>
        </is>
      </c>
      <c r="E3" s="21" t="inlineStr">
        <is>
          <t>M4</t>
        </is>
      </c>
      <c r="F3" s="21" t="inlineStr">
        <is>
          <t>M5</t>
        </is>
      </c>
      <c r="G3" s="21" t="inlineStr">
        <is>
          <t>M6</t>
        </is>
      </c>
      <c r="H3" s="21" t="inlineStr">
        <is>
          <t>M7</t>
        </is>
      </c>
      <c r="I3" s="21" t="inlineStr">
        <is>
          <t>M8</t>
        </is>
      </c>
      <c r="J3" s="21" t="inlineStr">
        <is>
          <t>M9</t>
        </is>
      </c>
      <c r="K3" s="21" t="inlineStr">
        <is>
          <t>M10</t>
        </is>
      </c>
      <c r="L3" s="21" t="inlineStr">
        <is>
          <t>M11</t>
        </is>
      </c>
      <c r="M3" s="21" t="inlineStr">
        <is>
          <t>M12</t>
        </is>
      </c>
      <c r="N3" s="21" t="inlineStr">
        <is>
          <t>M13</t>
        </is>
      </c>
      <c r="O3" s="21" t="inlineStr">
        <is>
          <t>M14</t>
        </is>
      </c>
      <c r="P3" s="21" t="inlineStr">
        <is>
          <t>M15</t>
        </is>
      </c>
      <c r="Q3" s="21" t="inlineStr">
        <is>
          <t>M16</t>
        </is>
      </c>
      <c r="R3" s="21" t="inlineStr">
        <is>
          <t>M17</t>
        </is>
      </c>
      <c r="S3" s="21" t="inlineStr">
        <is>
          <t>M18</t>
        </is>
      </c>
      <c r="T3" s="21" t="inlineStr">
        <is>
          <t>M19</t>
        </is>
      </c>
      <c r="U3" s="21" t="inlineStr">
        <is>
          <t>M20</t>
        </is>
      </c>
      <c r="V3" s="21" t="inlineStr">
        <is>
          <t>M21</t>
        </is>
      </c>
      <c r="W3" s="21" t="inlineStr">
        <is>
          <t>M22</t>
        </is>
      </c>
      <c r="X3" s="21" t="inlineStr">
        <is>
          <t>M23</t>
        </is>
      </c>
      <c r="Y3" s="21" t="inlineStr">
        <is>
          <t>M24</t>
        </is>
      </c>
      <c r="Z3" s="21" t="inlineStr">
        <is>
          <t>M25</t>
        </is>
      </c>
      <c r="AA3" s="21" t="inlineStr">
        <is>
          <t>M26</t>
        </is>
      </c>
      <c r="AB3" s="21" t="inlineStr">
        <is>
          <t>M27</t>
        </is>
      </c>
      <c r="AC3" s="21" t="inlineStr">
        <is>
          <t>M28</t>
        </is>
      </c>
      <c r="AD3" s="21" t="inlineStr">
        <is>
          <t>M29</t>
        </is>
      </c>
      <c r="AE3" s="21" t="inlineStr">
        <is>
          <t>M30</t>
        </is>
      </c>
      <c r="AF3" s="21" t="inlineStr">
        <is>
          <t>M31</t>
        </is>
      </c>
      <c r="AG3" s="21" t="inlineStr">
        <is>
          <t>M32</t>
        </is>
      </c>
      <c r="AH3" s="21" t="inlineStr">
        <is>
          <t>M33</t>
        </is>
      </c>
      <c r="AI3" s="21" t="inlineStr">
        <is>
          <t>M34</t>
        </is>
      </c>
      <c r="AJ3" s="21" t="inlineStr">
        <is>
          <t>M35</t>
        </is>
      </c>
      <c r="AK3" s="21" t="inlineStr">
        <is>
          <t>M36</t>
        </is>
      </c>
      <c r="AL3" s="21" t="inlineStr">
        <is>
          <t>M37</t>
        </is>
      </c>
      <c r="AM3" s="21" t="inlineStr">
        <is>
          <t>M38</t>
        </is>
      </c>
      <c r="AN3" s="21" t="inlineStr">
        <is>
          <t>M39</t>
        </is>
      </c>
      <c r="AO3" s="21" t="inlineStr">
        <is>
          <t>M40</t>
        </is>
      </c>
      <c r="AP3" s="21" t="inlineStr">
        <is>
          <t>M41</t>
        </is>
      </c>
      <c r="AQ3" s="21" t="inlineStr">
        <is>
          <t>M42</t>
        </is>
      </c>
      <c r="AR3" s="21" t="inlineStr">
        <is>
          <t>M43</t>
        </is>
      </c>
      <c r="AS3" s="21" t="inlineStr">
        <is>
          <t>M44</t>
        </is>
      </c>
      <c r="AT3" s="21" t="inlineStr">
        <is>
          <t>M45</t>
        </is>
      </c>
      <c r="AU3" s="21" t="inlineStr">
        <is>
          <t>M46</t>
        </is>
      </c>
      <c r="AV3" s="21" t="inlineStr">
        <is>
          <t>M47</t>
        </is>
      </c>
      <c r="AW3" s="21" t="inlineStr">
        <is>
          <t>M48</t>
        </is>
      </c>
      <c r="AX3" s="21" t="inlineStr">
        <is>
          <t>M49</t>
        </is>
      </c>
      <c r="AY3" s="21" t="inlineStr">
        <is>
          <t>M50</t>
        </is>
      </c>
      <c r="AZ3" s="21" t="inlineStr">
        <is>
          <t>M51</t>
        </is>
      </c>
      <c r="BA3" s="21" t="inlineStr">
        <is>
          <t>M52</t>
        </is>
      </c>
      <c r="BB3" s="21" t="inlineStr">
        <is>
          <t>M53</t>
        </is>
      </c>
      <c r="BC3" s="21" t="inlineStr">
        <is>
          <t>M54</t>
        </is>
      </c>
      <c r="BD3" s="21" t="inlineStr">
        <is>
          <t>M55</t>
        </is>
      </c>
      <c r="BE3" s="21" t="inlineStr">
        <is>
          <t>M56</t>
        </is>
      </c>
      <c r="BF3" s="21" t="inlineStr">
        <is>
          <t>M57</t>
        </is>
      </c>
      <c r="BG3" s="21" t="inlineStr">
        <is>
          <t>M58</t>
        </is>
      </c>
      <c r="BH3" s="21" t="inlineStr">
        <is>
          <t>M59</t>
        </is>
      </c>
      <c r="BI3" s="21" t="inlineStr">
        <is>
          <t>M60</t>
        </is>
      </c>
    </row>
    <row r="4">
      <c r="A4" s="34" t="inlineStr">
        <is>
          <t>P&amp;L (consolidated)</t>
        </is>
      </c>
    </row>
    <row r="5">
      <c r="A5" s="1" t="inlineStr">
        <is>
          <t>Revenue (Travidz net)</t>
        </is>
      </c>
      <c r="B5" s="16">
        <f>creator_cohorts!B22</f>
        <v/>
      </c>
      <c r="C5" s="16">
        <f>creator_cohorts!C22</f>
        <v/>
      </c>
      <c r="D5" s="16">
        <f>creator_cohorts!D22</f>
        <v/>
      </c>
      <c r="E5" s="16">
        <f>creator_cohorts!E22</f>
        <v/>
      </c>
      <c r="F5" s="16">
        <f>creator_cohorts!F22</f>
        <v/>
      </c>
      <c r="G5" s="16">
        <f>creator_cohorts!G22</f>
        <v/>
      </c>
      <c r="H5" s="16">
        <f>creator_cohorts!H22</f>
        <v/>
      </c>
      <c r="I5" s="16">
        <f>creator_cohorts!I22</f>
        <v/>
      </c>
      <c r="J5" s="16">
        <f>creator_cohorts!J22</f>
        <v/>
      </c>
      <c r="K5" s="16">
        <f>creator_cohorts!K22</f>
        <v/>
      </c>
      <c r="L5" s="16">
        <f>creator_cohorts!L22</f>
        <v/>
      </c>
      <c r="M5" s="16">
        <f>creator_cohorts!M22</f>
        <v/>
      </c>
      <c r="N5" s="16">
        <f>creator_cohorts!N22</f>
        <v/>
      </c>
      <c r="O5" s="16">
        <f>creator_cohorts!O22</f>
        <v/>
      </c>
      <c r="P5" s="16">
        <f>creator_cohorts!P22</f>
        <v/>
      </c>
      <c r="Q5" s="16">
        <f>creator_cohorts!Q22</f>
        <v/>
      </c>
      <c r="R5" s="16">
        <f>creator_cohorts!R22</f>
        <v/>
      </c>
      <c r="S5" s="16">
        <f>creator_cohorts!S22</f>
        <v/>
      </c>
      <c r="T5" s="16">
        <f>creator_cohorts!T22</f>
        <v/>
      </c>
      <c r="U5" s="16">
        <f>creator_cohorts!U22</f>
        <v/>
      </c>
      <c r="V5" s="16">
        <f>creator_cohorts!V22</f>
        <v/>
      </c>
      <c r="W5" s="16">
        <f>creator_cohorts!W22</f>
        <v/>
      </c>
      <c r="X5" s="16">
        <f>creator_cohorts!X22</f>
        <v/>
      </c>
      <c r="Y5" s="16">
        <f>creator_cohorts!Y22</f>
        <v/>
      </c>
      <c r="Z5" s="16">
        <f>creator_cohorts!Z22</f>
        <v/>
      </c>
      <c r="AA5" s="16">
        <f>creator_cohorts!AA22</f>
        <v/>
      </c>
      <c r="AB5" s="16">
        <f>creator_cohorts!AB22</f>
        <v/>
      </c>
      <c r="AC5" s="16">
        <f>creator_cohorts!AC22</f>
        <v/>
      </c>
      <c r="AD5" s="16">
        <f>creator_cohorts!AD22</f>
        <v/>
      </c>
      <c r="AE5" s="16">
        <f>creator_cohorts!AE22</f>
        <v/>
      </c>
      <c r="AF5" s="16">
        <f>creator_cohorts!AF22</f>
        <v/>
      </c>
      <c r="AG5" s="16">
        <f>creator_cohorts!AG22</f>
        <v/>
      </c>
      <c r="AH5" s="16">
        <f>creator_cohorts!AH22</f>
        <v/>
      </c>
      <c r="AI5" s="16">
        <f>creator_cohorts!AI22</f>
        <v/>
      </c>
      <c r="AJ5" s="16">
        <f>creator_cohorts!AJ22</f>
        <v/>
      </c>
      <c r="AK5" s="16">
        <f>creator_cohorts!AK22</f>
        <v/>
      </c>
      <c r="AL5" s="16">
        <f>creator_cohorts!AL22</f>
        <v/>
      </c>
      <c r="AM5" s="16">
        <f>creator_cohorts!AM22</f>
        <v/>
      </c>
      <c r="AN5" s="16">
        <f>creator_cohorts!AN22</f>
        <v/>
      </c>
      <c r="AO5" s="16">
        <f>creator_cohorts!AO22</f>
        <v/>
      </c>
      <c r="AP5" s="16">
        <f>creator_cohorts!AP22</f>
        <v/>
      </c>
      <c r="AQ5" s="16">
        <f>creator_cohorts!AQ22</f>
        <v/>
      </c>
      <c r="AR5" s="16">
        <f>creator_cohorts!AR22</f>
        <v/>
      </c>
      <c r="AS5" s="16">
        <f>creator_cohorts!AS22</f>
        <v/>
      </c>
      <c r="AT5" s="16">
        <f>creator_cohorts!AT22</f>
        <v/>
      </c>
      <c r="AU5" s="16">
        <f>creator_cohorts!AU22</f>
        <v/>
      </c>
      <c r="AV5" s="16">
        <f>creator_cohorts!AV22</f>
        <v/>
      </c>
      <c r="AW5" s="16">
        <f>creator_cohorts!AW22</f>
        <v/>
      </c>
      <c r="AX5" s="16">
        <f>creator_cohorts!AX22</f>
        <v/>
      </c>
      <c r="AY5" s="16">
        <f>creator_cohorts!AY22</f>
        <v/>
      </c>
      <c r="AZ5" s="16">
        <f>creator_cohorts!AZ22</f>
        <v/>
      </c>
      <c r="BA5" s="16">
        <f>creator_cohorts!BA22</f>
        <v/>
      </c>
      <c r="BB5" s="16">
        <f>creator_cohorts!BB22</f>
        <v/>
      </c>
      <c r="BC5" s="16">
        <f>creator_cohorts!BC22</f>
        <v/>
      </c>
      <c r="BD5" s="16">
        <f>creator_cohorts!BD22</f>
        <v/>
      </c>
      <c r="BE5" s="16">
        <f>creator_cohorts!BE22</f>
        <v/>
      </c>
      <c r="BF5" s="16">
        <f>creator_cohorts!BF22</f>
        <v/>
      </c>
      <c r="BG5" s="16">
        <f>creator_cohorts!BG22</f>
        <v/>
      </c>
      <c r="BH5" s="16">
        <f>creator_cohorts!BH22</f>
        <v/>
      </c>
      <c r="BI5" s="16">
        <f>creator_cohorts!BI22</f>
        <v/>
      </c>
    </row>
    <row r="6">
      <c r="A6" s="5" t="inlineStr">
        <is>
          <t>Payment processing (netted in revenue)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</row>
    <row r="7">
      <c r="A7" s="5" t="inlineStr">
        <is>
          <t>Cloud hosting</t>
        </is>
      </c>
      <c r="B7" s="17">
        <f>creator_cohorts!B5*assumptions!$G$63</f>
        <v/>
      </c>
      <c r="C7" s="17">
        <f>creator_cohorts!C5*assumptions!$G$63</f>
        <v/>
      </c>
      <c r="D7" s="17">
        <f>creator_cohorts!D5*assumptions!$G$63</f>
        <v/>
      </c>
      <c r="E7" s="17">
        <f>creator_cohorts!E5*assumptions!$G$63</f>
        <v/>
      </c>
      <c r="F7" s="17">
        <f>creator_cohorts!F5*assumptions!$G$63</f>
        <v/>
      </c>
      <c r="G7" s="17">
        <f>creator_cohorts!G5*assumptions!$G$63</f>
        <v/>
      </c>
      <c r="H7" s="17">
        <f>creator_cohorts!H5*assumptions!$G$63</f>
        <v/>
      </c>
      <c r="I7" s="17">
        <f>creator_cohorts!I5*assumptions!$G$63</f>
        <v/>
      </c>
      <c r="J7" s="17">
        <f>creator_cohorts!J5*assumptions!$G$63</f>
        <v/>
      </c>
      <c r="K7" s="17">
        <f>creator_cohorts!K5*assumptions!$G$63</f>
        <v/>
      </c>
      <c r="L7" s="17">
        <f>creator_cohorts!L5*assumptions!$G$63</f>
        <v/>
      </c>
      <c r="M7" s="17">
        <f>creator_cohorts!M5*assumptions!$G$63</f>
        <v/>
      </c>
      <c r="N7" s="17">
        <f>creator_cohorts!N5*assumptions!$G$63</f>
        <v/>
      </c>
      <c r="O7" s="17">
        <f>creator_cohorts!O5*assumptions!$G$63</f>
        <v/>
      </c>
      <c r="P7" s="17">
        <f>creator_cohorts!P5*assumptions!$G$63</f>
        <v/>
      </c>
      <c r="Q7" s="17">
        <f>creator_cohorts!Q5*assumptions!$G$63</f>
        <v/>
      </c>
      <c r="R7" s="17">
        <f>creator_cohorts!R5*assumptions!$G$63</f>
        <v/>
      </c>
      <c r="S7" s="17">
        <f>creator_cohorts!S5*assumptions!$G$63</f>
        <v/>
      </c>
      <c r="T7" s="17">
        <f>creator_cohorts!T5*assumptions!$G$63</f>
        <v/>
      </c>
      <c r="U7" s="17">
        <f>creator_cohorts!U5*assumptions!$G$63</f>
        <v/>
      </c>
      <c r="V7" s="17">
        <f>creator_cohorts!V5*assumptions!$G$63</f>
        <v/>
      </c>
      <c r="W7" s="17">
        <f>creator_cohorts!W5*assumptions!$G$63</f>
        <v/>
      </c>
      <c r="X7" s="17">
        <f>creator_cohorts!X5*assumptions!$G$63</f>
        <v/>
      </c>
      <c r="Y7" s="17">
        <f>creator_cohorts!Y5*assumptions!$G$63</f>
        <v/>
      </c>
      <c r="Z7" s="17">
        <f>creator_cohorts!Z5*assumptions!$G$63</f>
        <v/>
      </c>
      <c r="AA7" s="17">
        <f>creator_cohorts!AA5*assumptions!$G$63</f>
        <v/>
      </c>
      <c r="AB7" s="17">
        <f>creator_cohorts!AB5*assumptions!$G$63</f>
        <v/>
      </c>
      <c r="AC7" s="17">
        <f>creator_cohorts!AC5*assumptions!$G$63</f>
        <v/>
      </c>
      <c r="AD7" s="17">
        <f>creator_cohorts!AD5*assumptions!$G$63</f>
        <v/>
      </c>
      <c r="AE7" s="17">
        <f>creator_cohorts!AE5*assumptions!$G$63</f>
        <v/>
      </c>
      <c r="AF7" s="17">
        <f>creator_cohorts!AF5*assumptions!$G$63</f>
        <v/>
      </c>
      <c r="AG7" s="17">
        <f>creator_cohorts!AG5*assumptions!$G$63</f>
        <v/>
      </c>
      <c r="AH7" s="17">
        <f>creator_cohorts!AH5*assumptions!$G$63</f>
        <v/>
      </c>
      <c r="AI7" s="17">
        <f>creator_cohorts!AI5*assumptions!$G$63</f>
        <v/>
      </c>
      <c r="AJ7" s="17">
        <f>creator_cohorts!AJ5*assumptions!$G$63</f>
        <v/>
      </c>
      <c r="AK7" s="17">
        <f>creator_cohorts!AK5*assumptions!$G$63</f>
        <v/>
      </c>
      <c r="AL7" s="17">
        <f>creator_cohorts!AL5*assumptions!$G$63</f>
        <v/>
      </c>
      <c r="AM7" s="17">
        <f>creator_cohorts!AM5*assumptions!$G$63</f>
        <v/>
      </c>
      <c r="AN7" s="17">
        <f>creator_cohorts!AN5*assumptions!$G$63</f>
        <v/>
      </c>
      <c r="AO7" s="17">
        <f>creator_cohorts!AO5*assumptions!$G$63</f>
        <v/>
      </c>
      <c r="AP7" s="17">
        <f>creator_cohorts!AP5*assumptions!$G$63</f>
        <v/>
      </c>
      <c r="AQ7" s="17">
        <f>creator_cohorts!AQ5*assumptions!$G$63</f>
        <v/>
      </c>
      <c r="AR7" s="17">
        <f>creator_cohorts!AR5*assumptions!$G$63</f>
        <v/>
      </c>
      <c r="AS7" s="17">
        <f>creator_cohorts!AS5*assumptions!$G$63</f>
        <v/>
      </c>
      <c r="AT7" s="17">
        <f>creator_cohorts!AT5*assumptions!$G$63</f>
        <v/>
      </c>
      <c r="AU7" s="17">
        <f>creator_cohorts!AU5*assumptions!$G$63</f>
        <v/>
      </c>
      <c r="AV7" s="17">
        <f>creator_cohorts!AV5*assumptions!$G$63</f>
        <v/>
      </c>
      <c r="AW7" s="17">
        <f>creator_cohorts!AW5*assumptions!$G$63</f>
        <v/>
      </c>
      <c r="AX7" s="17">
        <f>creator_cohorts!AX5*assumptions!$G$63</f>
        <v/>
      </c>
      <c r="AY7" s="17">
        <f>creator_cohorts!AY5*assumptions!$G$63</f>
        <v/>
      </c>
      <c r="AZ7" s="17">
        <f>creator_cohorts!AZ5*assumptions!$G$63</f>
        <v/>
      </c>
      <c r="BA7" s="17">
        <f>creator_cohorts!BA5*assumptions!$G$63</f>
        <v/>
      </c>
      <c r="BB7" s="17">
        <f>creator_cohorts!BB5*assumptions!$G$63</f>
        <v/>
      </c>
      <c r="BC7" s="17">
        <f>creator_cohorts!BC5*assumptions!$G$63</f>
        <v/>
      </c>
      <c r="BD7" s="17">
        <f>creator_cohorts!BD5*assumptions!$G$63</f>
        <v/>
      </c>
      <c r="BE7" s="17">
        <f>creator_cohorts!BE5*assumptions!$G$63</f>
        <v/>
      </c>
      <c r="BF7" s="17">
        <f>creator_cohorts!BF5*assumptions!$G$63</f>
        <v/>
      </c>
      <c r="BG7" s="17">
        <f>creator_cohorts!BG5*assumptions!$G$63</f>
        <v/>
      </c>
      <c r="BH7" s="17">
        <f>creator_cohorts!BH5*assumptions!$G$63</f>
        <v/>
      </c>
      <c r="BI7" s="17">
        <f>creator_cohorts!BI5*assumptions!$G$63</f>
        <v/>
      </c>
    </row>
    <row r="8">
      <c r="A8" s="5" t="inlineStr">
        <is>
          <t>Video CDN</t>
        </is>
      </c>
      <c r="B8" s="17">
        <f>creator_cohorts!B5*assumptions!$G$65/1000*assumptions!$G$64</f>
        <v/>
      </c>
      <c r="C8" s="17">
        <f>creator_cohorts!C5*assumptions!$G$65/1000*assumptions!$G$64</f>
        <v/>
      </c>
      <c r="D8" s="17">
        <f>creator_cohorts!D5*assumptions!$G$65/1000*assumptions!$G$64</f>
        <v/>
      </c>
      <c r="E8" s="17">
        <f>creator_cohorts!E5*assumptions!$G$65/1000*assumptions!$G$64</f>
        <v/>
      </c>
      <c r="F8" s="17">
        <f>creator_cohorts!F5*assumptions!$G$65/1000*assumptions!$G$64</f>
        <v/>
      </c>
      <c r="G8" s="17">
        <f>creator_cohorts!G5*assumptions!$G$65/1000*assumptions!$G$64</f>
        <v/>
      </c>
      <c r="H8" s="17">
        <f>creator_cohorts!H5*assumptions!$G$65/1000*assumptions!$G$64</f>
        <v/>
      </c>
      <c r="I8" s="17">
        <f>creator_cohorts!I5*assumptions!$G$65/1000*assumptions!$G$64</f>
        <v/>
      </c>
      <c r="J8" s="17">
        <f>creator_cohorts!J5*assumptions!$G$65/1000*assumptions!$G$64</f>
        <v/>
      </c>
      <c r="K8" s="17">
        <f>creator_cohorts!K5*assumptions!$G$65/1000*assumptions!$G$64</f>
        <v/>
      </c>
      <c r="L8" s="17">
        <f>creator_cohorts!L5*assumptions!$G$65/1000*assumptions!$G$64</f>
        <v/>
      </c>
      <c r="M8" s="17">
        <f>creator_cohorts!M5*assumptions!$G$65/1000*assumptions!$G$64</f>
        <v/>
      </c>
      <c r="N8" s="17">
        <f>creator_cohorts!N5*assumptions!$G$65/1000*assumptions!$G$64</f>
        <v/>
      </c>
      <c r="O8" s="17">
        <f>creator_cohorts!O5*assumptions!$G$65/1000*assumptions!$G$64</f>
        <v/>
      </c>
      <c r="P8" s="17">
        <f>creator_cohorts!P5*assumptions!$G$65/1000*assumptions!$G$64</f>
        <v/>
      </c>
      <c r="Q8" s="17">
        <f>creator_cohorts!Q5*assumptions!$G$65/1000*assumptions!$G$64</f>
        <v/>
      </c>
      <c r="R8" s="17">
        <f>creator_cohorts!R5*assumptions!$G$65/1000*assumptions!$G$64</f>
        <v/>
      </c>
      <c r="S8" s="17">
        <f>creator_cohorts!S5*assumptions!$G$65/1000*assumptions!$G$64</f>
        <v/>
      </c>
      <c r="T8" s="17">
        <f>creator_cohorts!T5*assumptions!$G$65/1000*assumptions!$G$64</f>
        <v/>
      </c>
      <c r="U8" s="17">
        <f>creator_cohorts!U5*assumptions!$G$65/1000*assumptions!$G$64</f>
        <v/>
      </c>
      <c r="V8" s="17">
        <f>creator_cohorts!V5*assumptions!$G$65/1000*assumptions!$G$64</f>
        <v/>
      </c>
      <c r="W8" s="17">
        <f>creator_cohorts!W5*assumptions!$G$65/1000*assumptions!$G$64</f>
        <v/>
      </c>
      <c r="X8" s="17">
        <f>creator_cohorts!X5*assumptions!$G$65/1000*assumptions!$G$64</f>
        <v/>
      </c>
      <c r="Y8" s="17">
        <f>creator_cohorts!Y5*assumptions!$G$65/1000*assumptions!$G$64</f>
        <v/>
      </c>
      <c r="Z8" s="17">
        <f>creator_cohorts!Z5*assumptions!$G$65/1000*assumptions!$G$64</f>
        <v/>
      </c>
      <c r="AA8" s="17">
        <f>creator_cohorts!AA5*assumptions!$G$65/1000*assumptions!$G$64</f>
        <v/>
      </c>
      <c r="AB8" s="17">
        <f>creator_cohorts!AB5*assumptions!$G$65/1000*assumptions!$G$64</f>
        <v/>
      </c>
      <c r="AC8" s="17">
        <f>creator_cohorts!AC5*assumptions!$G$65/1000*assumptions!$G$64</f>
        <v/>
      </c>
      <c r="AD8" s="17">
        <f>creator_cohorts!AD5*assumptions!$G$65/1000*assumptions!$G$64</f>
        <v/>
      </c>
      <c r="AE8" s="17">
        <f>creator_cohorts!AE5*assumptions!$G$65/1000*assumptions!$G$64</f>
        <v/>
      </c>
      <c r="AF8" s="17">
        <f>creator_cohorts!AF5*assumptions!$G$65/1000*assumptions!$G$64</f>
        <v/>
      </c>
      <c r="AG8" s="17">
        <f>creator_cohorts!AG5*assumptions!$G$65/1000*assumptions!$G$64</f>
        <v/>
      </c>
      <c r="AH8" s="17">
        <f>creator_cohorts!AH5*assumptions!$G$65/1000*assumptions!$G$64</f>
        <v/>
      </c>
      <c r="AI8" s="17">
        <f>creator_cohorts!AI5*assumptions!$G$65/1000*assumptions!$G$64</f>
        <v/>
      </c>
      <c r="AJ8" s="17">
        <f>creator_cohorts!AJ5*assumptions!$G$65/1000*assumptions!$G$64</f>
        <v/>
      </c>
      <c r="AK8" s="17">
        <f>creator_cohorts!AK5*assumptions!$G$65/1000*assumptions!$G$64</f>
        <v/>
      </c>
      <c r="AL8" s="17">
        <f>creator_cohorts!AL5*assumptions!$G$65/1000*assumptions!$G$64</f>
        <v/>
      </c>
      <c r="AM8" s="17">
        <f>creator_cohorts!AM5*assumptions!$G$65/1000*assumptions!$G$64</f>
        <v/>
      </c>
      <c r="AN8" s="17">
        <f>creator_cohorts!AN5*assumptions!$G$65/1000*assumptions!$G$64</f>
        <v/>
      </c>
      <c r="AO8" s="17">
        <f>creator_cohorts!AO5*assumptions!$G$65/1000*assumptions!$G$64</f>
        <v/>
      </c>
      <c r="AP8" s="17">
        <f>creator_cohorts!AP5*assumptions!$G$65/1000*assumptions!$G$64</f>
        <v/>
      </c>
      <c r="AQ8" s="17">
        <f>creator_cohorts!AQ5*assumptions!$G$65/1000*assumptions!$G$64</f>
        <v/>
      </c>
      <c r="AR8" s="17">
        <f>creator_cohorts!AR5*assumptions!$G$65/1000*assumptions!$G$64</f>
        <v/>
      </c>
      <c r="AS8" s="17">
        <f>creator_cohorts!AS5*assumptions!$G$65/1000*assumptions!$G$64</f>
        <v/>
      </c>
      <c r="AT8" s="17">
        <f>creator_cohorts!AT5*assumptions!$G$65/1000*assumptions!$G$64</f>
        <v/>
      </c>
      <c r="AU8" s="17">
        <f>creator_cohorts!AU5*assumptions!$G$65/1000*assumptions!$G$64</f>
        <v/>
      </c>
      <c r="AV8" s="17">
        <f>creator_cohorts!AV5*assumptions!$G$65/1000*assumptions!$G$64</f>
        <v/>
      </c>
      <c r="AW8" s="17">
        <f>creator_cohorts!AW5*assumptions!$G$65/1000*assumptions!$G$64</f>
        <v/>
      </c>
      <c r="AX8" s="17">
        <f>creator_cohorts!AX5*assumptions!$G$65/1000*assumptions!$G$64</f>
        <v/>
      </c>
      <c r="AY8" s="17">
        <f>creator_cohorts!AY5*assumptions!$G$65/1000*assumptions!$G$64</f>
        <v/>
      </c>
      <c r="AZ8" s="17">
        <f>creator_cohorts!AZ5*assumptions!$G$65/1000*assumptions!$G$64</f>
        <v/>
      </c>
      <c r="BA8" s="17">
        <f>creator_cohorts!BA5*assumptions!$G$65/1000*assumptions!$G$64</f>
        <v/>
      </c>
      <c r="BB8" s="17">
        <f>creator_cohorts!BB5*assumptions!$G$65/1000*assumptions!$G$64</f>
        <v/>
      </c>
      <c r="BC8" s="17">
        <f>creator_cohorts!BC5*assumptions!$G$65/1000*assumptions!$G$64</f>
        <v/>
      </c>
      <c r="BD8" s="17">
        <f>creator_cohorts!BD5*assumptions!$G$65/1000*assumptions!$G$64</f>
        <v/>
      </c>
      <c r="BE8" s="17">
        <f>creator_cohorts!BE5*assumptions!$G$65/1000*assumptions!$G$64</f>
        <v/>
      </c>
      <c r="BF8" s="17">
        <f>creator_cohorts!BF5*assumptions!$G$65/1000*assumptions!$G$64</f>
        <v/>
      </c>
      <c r="BG8" s="17">
        <f>creator_cohorts!BG5*assumptions!$G$65/1000*assumptions!$G$64</f>
        <v/>
      </c>
      <c r="BH8" s="17">
        <f>creator_cohorts!BH5*assumptions!$G$65/1000*assumptions!$G$64</f>
        <v/>
      </c>
      <c r="BI8" s="17">
        <f>creator_cohorts!BI5*assumptions!$G$65/1000*assumptions!$G$64</f>
        <v/>
      </c>
    </row>
    <row r="9">
      <c r="A9" s="5" t="inlineStr">
        <is>
          <t>AI / Lovable Cloud</t>
        </is>
      </c>
      <c r="B9" s="17">
        <f>assumptions!$G$66*(1+assumptions!$G$67)^(1-1)</f>
        <v/>
      </c>
      <c r="C9" s="17">
        <f>assumptions!$G$66*(1+assumptions!$G$67)^(2-1)</f>
        <v/>
      </c>
      <c r="D9" s="17">
        <f>assumptions!$G$66*(1+assumptions!$G$67)^(3-1)</f>
        <v/>
      </c>
      <c r="E9" s="17">
        <f>assumptions!$G$66*(1+assumptions!$G$67)^(4-1)</f>
        <v/>
      </c>
      <c r="F9" s="17">
        <f>assumptions!$G$66*(1+assumptions!$G$67)^(5-1)</f>
        <v/>
      </c>
      <c r="G9" s="17">
        <f>assumptions!$G$66*(1+assumptions!$G$67)^(6-1)</f>
        <v/>
      </c>
      <c r="H9" s="17">
        <f>assumptions!$G$66*(1+assumptions!$G$67)^(7-1)</f>
        <v/>
      </c>
      <c r="I9" s="17">
        <f>assumptions!$G$66*(1+assumptions!$G$67)^(8-1)</f>
        <v/>
      </c>
      <c r="J9" s="17">
        <f>assumptions!$G$66*(1+assumptions!$G$67)^(9-1)</f>
        <v/>
      </c>
      <c r="K9" s="17">
        <f>assumptions!$G$66*(1+assumptions!$G$67)^(10-1)</f>
        <v/>
      </c>
      <c r="L9" s="17">
        <f>assumptions!$G$66*(1+assumptions!$G$67)^(11-1)</f>
        <v/>
      </c>
      <c r="M9" s="17">
        <f>assumptions!$G$66*(1+assumptions!$G$67)^(12-1)</f>
        <v/>
      </c>
      <c r="N9" s="17">
        <f>assumptions!$G$66*(1+assumptions!$G$67)^(13-1)</f>
        <v/>
      </c>
      <c r="O9" s="17">
        <f>assumptions!$G$66*(1+assumptions!$G$67)^(14-1)</f>
        <v/>
      </c>
      <c r="P9" s="17">
        <f>assumptions!$G$66*(1+assumptions!$G$67)^(15-1)</f>
        <v/>
      </c>
      <c r="Q9" s="17">
        <f>assumptions!$G$66*(1+assumptions!$G$67)^(16-1)</f>
        <v/>
      </c>
      <c r="R9" s="17">
        <f>assumptions!$G$66*(1+assumptions!$G$67)^(17-1)</f>
        <v/>
      </c>
      <c r="S9" s="17">
        <f>assumptions!$G$66*(1+assumptions!$G$67)^(18-1)</f>
        <v/>
      </c>
      <c r="T9" s="17">
        <f>assumptions!$G$66*(1+assumptions!$G$67)^(19-1)</f>
        <v/>
      </c>
      <c r="U9" s="17">
        <f>assumptions!$G$66*(1+assumptions!$G$67)^(20-1)</f>
        <v/>
      </c>
      <c r="V9" s="17">
        <f>assumptions!$G$66*(1+assumptions!$G$67)^(21-1)</f>
        <v/>
      </c>
      <c r="W9" s="17">
        <f>assumptions!$G$66*(1+assumptions!$G$67)^(22-1)</f>
        <v/>
      </c>
      <c r="X9" s="17">
        <f>assumptions!$G$66*(1+assumptions!$G$67)^(23-1)</f>
        <v/>
      </c>
      <c r="Y9" s="17">
        <f>assumptions!$G$66*(1+assumptions!$G$67)^(24-1)</f>
        <v/>
      </c>
      <c r="Z9" s="17">
        <f>assumptions!$G$66*(1+assumptions!$G$67)^(25-1)</f>
        <v/>
      </c>
      <c r="AA9" s="17">
        <f>assumptions!$G$66*(1+assumptions!$G$67)^(26-1)</f>
        <v/>
      </c>
      <c r="AB9" s="17">
        <f>assumptions!$G$66*(1+assumptions!$G$67)^(27-1)</f>
        <v/>
      </c>
      <c r="AC9" s="17">
        <f>assumptions!$G$66*(1+assumptions!$G$67)^(28-1)</f>
        <v/>
      </c>
      <c r="AD9" s="17">
        <f>assumptions!$G$66*(1+assumptions!$G$67)^(29-1)</f>
        <v/>
      </c>
      <c r="AE9" s="17">
        <f>assumptions!$G$66*(1+assumptions!$G$67)^(30-1)</f>
        <v/>
      </c>
      <c r="AF9" s="17">
        <f>assumptions!$G$66*(1+assumptions!$G$67)^(31-1)</f>
        <v/>
      </c>
      <c r="AG9" s="17">
        <f>assumptions!$G$66*(1+assumptions!$G$67)^(32-1)</f>
        <v/>
      </c>
      <c r="AH9" s="17">
        <f>assumptions!$G$66*(1+assumptions!$G$67)^(33-1)</f>
        <v/>
      </c>
      <c r="AI9" s="17">
        <f>assumptions!$G$66*(1+assumptions!$G$67)^(34-1)</f>
        <v/>
      </c>
      <c r="AJ9" s="17">
        <f>assumptions!$G$66*(1+assumptions!$G$67)^(35-1)</f>
        <v/>
      </c>
      <c r="AK9" s="17">
        <f>assumptions!$G$66*(1+assumptions!$G$67)^(36-1)</f>
        <v/>
      </c>
      <c r="AL9" s="17">
        <f>assumptions!$G$66*(1+assumptions!$G$67)^(37-1)</f>
        <v/>
      </c>
      <c r="AM9" s="17">
        <f>assumptions!$G$66*(1+assumptions!$G$67)^(38-1)</f>
        <v/>
      </c>
      <c r="AN9" s="17">
        <f>assumptions!$G$66*(1+assumptions!$G$67)^(39-1)</f>
        <v/>
      </c>
      <c r="AO9" s="17">
        <f>assumptions!$G$66*(1+assumptions!$G$67)^(40-1)</f>
        <v/>
      </c>
      <c r="AP9" s="17">
        <f>assumptions!$G$66*(1+assumptions!$G$67)^(41-1)</f>
        <v/>
      </c>
      <c r="AQ9" s="17">
        <f>assumptions!$G$66*(1+assumptions!$G$67)^(42-1)</f>
        <v/>
      </c>
      <c r="AR9" s="17">
        <f>assumptions!$G$66*(1+assumptions!$G$67)^(43-1)</f>
        <v/>
      </c>
      <c r="AS9" s="17">
        <f>assumptions!$G$66*(1+assumptions!$G$67)^(44-1)</f>
        <v/>
      </c>
      <c r="AT9" s="17">
        <f>assumptions!$G$66*(1+assumptions!$G$67)^(45-1)</f>
        <v/>
      </c>
      <c r="AU9" s="17">
        <f>assumptions!$G$66*(1+assumptions!$G$67)^(46-1)</f>
        <v/>
      </c>
      <c r="AV9" s="17">
        <f>assumptions!$G$66*(1+assumptions!$G$67)^(47-1)</f>
        <v/>
      </c>
      <c r="AW9" s="17">
        <f>assumptions!$G$66*(1+assumptions!$G$67)^(48-1)</f>
        <v/>
      </c>
      <c r="AX9" s="17">
        <f>assumptions!$G$66*(1+assumptions!$G$67)^(49-1)</f>
        <v/>
      </c>
      <c r="AY9" s="17">
        <f>assumptions!$G$66*(1+assumptions!$G$67)^(50-1)</f>
        <v/>
      </c>
      <c r="AZ9" s="17">
        <f>assumptions!$G$66*(1+assumptions!$G$67)^(51-1)</f>
        <v/>
      </c>
      <c r="BA9" s="17">
        <f>assumptions!$G$66*(1+assumptions!$G$67)^(52-1)</f>
        <v/>
      </c>
      <c r="BB9" s="17">
        <f>assumptions!$G$66*(1+assumptions!$G$67)^(53-1)</f>
        <v/>
      </c>
      <c r="BC9" s="17">
        <f>assumptions!$G$66*(1+assumptions!$G$67)^(54-1)</f>
        <v/>
      </c>
      <c r="BD9" s="17">
        <f>assumptions!$G$66*(1+assumptions!$G$67)^(55-1)</f>
        <v/>
      </c>
      <c r="BE9" s="17">
        <f>assumptions!$G$66*(1+assumptions!$G$67)^(56-1)</f>
        <v/>
      </c>
      <c r="BF9" s="17">
        <f>assumptions!$G$66*(1+assumptions!$G$67)^(57-1)</f>
        <v/>
      </c>
      <c r="BG9" s="17">
        <f>assumptions!$G$66*(1+assumptions!$G$67)^(58-1)</f>
        <v/>
      </c>
      <c r="BH9" s="17">
        <f>assumptions!$G$66*(1+assumptions!$G$67)^(59-1)</f>
        <v/>
      </c>
      <c r="BI9" s="17">
        <f>assumptions!$G$66*(1+assumptions!$G$67)^(60-1)</f>
        <v/>
      </c>
    </row>
    <row r="10">
      <c r="A10" s="5" t="inlineStr">
        <is>
          <t>Creator support</t>
        </is>
      </c>
      <c r="B10" s="17">
        <f>creator_cohorts!B5*assumptions!$G$68</f>
        <v/>
      </c>
      <c r="C10" s="17">
        <f>creator_cohorts!C5*assumptions!$G$68</f>
        <v/>
      </c>
      <c r="D10" s="17">
        <f>creator_cohorts!D5*assumptions!$G$68</f>
        <v/>
      </c>
      <c r="E10" s="17">
        <f>creator_cohorts!E5*assumptions!$G$68</f>
        <v/>
      </c>
      <c r="F10" s="17">
        <f>creator_cohorts!F5*assumptions!$G$68</f>
        <v/>
      </c>
      <c r="G10" s="17">
        <f>creator_cohorts!G5*assumptions!$G$68</f>
        <v/>
      </c>
      <c r="H10" s="17">
        <f>creator_cohorts!H5*assumptions!$G$68</f>
        <v/>
      </c>
      <c r="I10" s="17">
        <f>creator_cohorts!I5*assumptions!$G$68</f>
        <v/>
      </c>
      <c r="J10" s="17">
        <f>creator_cohorts!J5*assumptions!$G$68</f>
        <v/>
      </c>
      <c r="K10" s="17">
        <f>creator_cohorts!K5*assumptions!$G$68</f>
        <v/>
      </c>
      <c r="L10" s="17">
        <f>creator_cohorts!L5*assumptions!$G$68</f>
        <v/>
      </c>
      <c r="M10" s="17">
        <f>creator_cohorts!M5*assumptions!$G$68</f>
        <v/>
      </c>
      <c r="N10" s="17">
        <f>creator_cohorts!N5*assumptions!$G$68</f>
        <v/>
      </c>
      <c r="O10" s="17">
        <f>creator_cohorts!O5*assumptions!$G$68</f>
        <v/>
      </c>
      <c r="P10" s="17">
        <f>creator_cohorts!P5*assumptions!$G$68</f>
        <v/>
      </c>
      <c r="Q10" s="17">
        <f>creator_cohorts!Q5*assumptions!$G$68</f>
        <v/>
      </c>
      <c r="R10" s="17">
        <f>creator_cohorts!R5*assumptions!$G$68</f>
        <v/>
      </c>
      <c r="S10" s="17">
        <f>creator_cohorts!S5*assumptions!$G$68</f>
        <v/>
      </c>
      <c r="T10" s="17">
        <f>creator_cohorts!T5*assumptions!$G$68</f>
        <v/>
      </c>
      <c r="U10" s="17">
        <f>creator_cohorts!U5*assumptions!$G$68</f>
        <v/>
      </c>
      <c r="V10" s="17">
        <f>creator_cohorts!V5*assumptions!$G$68</f>
        <v/>
      </c>
      <c r="W10" s="17">
        <f>creator_cohorts!W5*assumptions!$G$68</f>
        <v/>
      </c>
      <c r="X10" s="17">
        <f>creator_cohorts!X5*assumptions!$G$68</f>
        <v/>
      </c>
      <c r="Y10" s="17">
        <f>creator_cohorts!Y5*assumptions!$G$68</f>
        <v/>
      </c>
      <c r="Z10" s="17">
        <f>creator_cohorts!Z5*assumptions!$G$68</f>
        <v/>
      </c>
      <c r="AA10" s="17">
        <f>creator_cohorts!AA5*assumptions!$G$68</f>
        <v/>
      </c>
      <c r="AB10" s="17">
        <f>creator_cohorts!AB5*assumptions!$G$68</f>
        <v/>
      </c>
      <c r="AC10" s="17">
        <f>creator_cohorts!AC5*assumptions!$G$68</f>
        <v/>
      </c>
      <c r="AD10" s="17">
        <f>creator_cohorts!AD5*assumptions!$G$68</f>
        <v/>
      </c>
      <c r="AE10" s="17">
        <f>creator_cohorts!AE5*assumptions!$G$68</f>
        <v/>
      </c>
      <c r="AF10" s="17">
        <f>creator_cohorts!AF5*assumptions!$G$68</f>
        <v/>
      </c>
      <c r="AG10" s="17">
        <f>creator_cohorts!AG5*assumptions!$G$68</f>
        <v/>
      </c>
      <c r="AH10" s="17">
        <f>creator_cohorts!AH5*assumptions!$G$68</f>
        <v/>
      </c>
      <c r="AI10" s="17">
        <f>creator_cohorts!AI5*assumptions!$G$68</f>
        <v/>
      </c>
      <c r="AJ10" s="17">
        <f>creator_cohorts!AJ5*assumptions!$G$68</f>
        <v/>
      </c>
      <c r="AK10" s="17">
        <f>creator_cohorts!AK5*assumptions!$G$68</f>
        <v/>
      </c>
      <c r="AL10" s="17">
        <f>creator_cohorts!AL5*assumptions!$G$68</f>
        <v/>
      </c>
      <c r="AM10" s="17">
        <f>creator_cohorts!AM5*assumptions!$G$68</f>
        <v/>
      </c>
      <c r="AN10" s="17">
        <f>creator_cohorts!AN5*assumptions!$G$68</f>
        <v/>
      </c>
      <c r="AO10" s="17">
        <f>creator_cohorts!AO5*assumptions!$G$68</f>
        <v/>
      </c>
      <c r="AP10" s="17">
        <f>creator_cohorts!AP5*assumptions!$G$68</f>
        <v/>
      </c>
      <c r="AQ10" s="17">
        <f>creator_cohorts!AQ5*assumptions!$G$68</f>
        <v/>
      </c>
      <c r="AR10" s="17">
        <f>creator_cohorts!AR5*assumptions!$G$68</f>
        <v/>
      </c>
      <c r="AS10" s="17">
        <f>creator_cohorts!AS5*assumptions!$G$68</f>
        <v/>
      </c>
      <c r="AT10" s="17">
        <f>creator_cohorts!AT5*assumptions!$G$68</f>
        <v/>
      </c>
      <c r="AU10" s="17">
        <f>creator_cohorts!AU5*assumptions!$G$68</f>
        <v/>
      </c>
      <c r="AV10" s="17">
        <f>creator_cohorts!AV5*assumptions!$G$68</f>
        <v/>
      </c>
      <c r="AW10" s="17">
        <f>creator_cohorts!AW5*assumptions!$G$68</f>
        <v/>
      </c>
      <c r="AX10" s="17">
        <f>creator_cohorts!AX5*assumptions!$G$68</f>
        <v/>
      </c>
      <c r="AY10" s="17">
        <f>creator_cohorts!AY5*assumptions!$G$68</f>
        <v/>
      </c>
      <c r="AZ10" s="17">
        <f>creator_cohorts!AZ5*assumptions!$G$68</f>
        <v/>
      </c>
      <c r="BA10" s="17">
        <f>creator_cohorts!BA5*assumptions!$G$68</f>
        <v/>
      </c>
      <c r="BB10" s="17">
        <f>creator_cohorts!BB5*assumptions!$G$68</f>
        <v/>
      </c>
      <c r="BC10" s="17">
        <f>creator_cohorts!BC5*assumptions!$G$68</f>
        <v/>
      </c>
      <c r="BD10" s="17">
        <f>creator_cohorts!BD5*assumptions!$G$68</f>
        <v/>
      </c>
      <c r="BE10" s="17">
        <f>creator_cohorts!BE5*assumptions!$G$68</f>
        <v/>
      </c>
      <c r="BF10" s="17">
        <f>creator_cohorts!BF5*assumptions!$G$68</f>
        <v/>
      </c>
      <c r="BG10" s="17">
        <f>creator_cohorts!BG5*assumptions!$G$68</f>
        <v/>
      </c>
      <c r="BH10" s="17">
        <f>creator_cohorts!BH5*assumptions!$G$68</f>
        <v/>
      </c>
      <c r="BI10" s="17">
        <f>creator_cohorts!BI5*assumptions!$G$68</f>
        <v/>
      </c>
    </row>
    <row r="11">
      <c r="A11" s="5" t="inlineStr">
        <is>
          <t>Partner success (operators)</t>
        </is>
      </c>
      <c r="B11" s="16">
        <f>operator_supply!B7</f>
        <v/>
      </c>
      <c r="C11" s="16">
        <f>operator_supply!C7</f>
        <v/>
      </c>
      <c r="D11" s="16">
        <f>operator_supply!D7</f>
        <v/>
      </c>
      <c r="E11" s="16">
        <f>operator_supply!E7</f>
        <v/>
      </c>
      <c r="F11" s="16">
        <f>operator_supply!F7</f>
        <v/>
      </c>
      <c r="G11" s="16">
        <f>operator_supply!G7</f>
        <v/>
      </c>
      <c r="H11" s="16">
        <f>operator_supply!H7</f>
        <v/>
      </c>
      <c r="I11" s="16">
        <f>operator_supply!I7</f>
        <v/>
      </c>
      <c r="J11" s="16">
        <f>operator_supply!J7</f>
        <v/>
      </c>
      <c r="K11" s="16">
        <f>operator_supply!K7</f>
        <v/>
      </c>
      <c r="L11" s="16">
        <f>operator_supply!L7</f>
        <v/>
      </c>
      <c r="M11" s="16">
        <f>operator_supply!M7</f>
        <v/>
      </c>
      <c r="N11" s="16">
        <f>operator_supply!N7</f>
        <v/>
      </c>
      <c r="O11" s="16">
        <f>operator_supply!O7</f>
        <v/>
      </c>
      <c r="P11" s="16">
        <f>operator_supply!P7</f>
        <v/>
      </c>
      <c r="Q11" s="16">
        <f>operator_supply!Q7</f>
        <v/>
      </c>
      <c r="R11" s="16">
        <f>operator_supply!R7</f>
        <v/>
      </c>
      <c r="S11" s="16">
        <f>operator_supply!S7</f>
        <v/>
      </c>
      <c r="T11" s="16">
        <f>operator_supply!T7</f>
        <v/>
      </c>
      <c r="U11" s="16">
        <f>operator_supply!U7</f>
        <v/>
      </c>
      <c r="V11" s="16">
        <f>operator_supply!V7</f>
        <v/>
      </c>
      <c r="W11" s="16">
        <f>operator_supply!W7</f>
        <v/>
      </c>
      <c r="X11" s="16">
        <f>operator_supply!X7</f>
        <v/>
      </c>
      <c r="Y11" s="16">
        <f>operator_supply!Y7</f>
        <v/>
      </c>
      <c r="Z11" s="16">
        <f>operator_supply!Z7</f>
        <v/>
      </c>
      <c r="AA11" s="16">
        <f>operator_supply!AA7</f>
        <v/>
      </c>
      <c r="AB11" s="16">
        <f>operator_supply!AB7</f>
        <v/>
      </c>
      <c r="AC11" s="16">
        <f>operator_supply!AC7</f>
        <v/>
      </c>
      <c r="AD11" s="16">
        <f>operator_supply!AD7</f>
        <v/>
      </c>
      <c r="AE11" s="16">
        <f>operator_supply!AE7</f>
        <v/>
      </c>
      <c r="AF11" s="16">
        <f>operator_supply!AF7</f>
        <v/>
      </c>
      <c r="AG11" s="16">
        <f>operator_supply!AG7</f>
        <v/>
      </c>
      <c r="AH11" s="16">
        <f>operator_supply!AH7</f>
        <v/>
      </c>
      <c r="AI11" s="16">
        <f>operator_supply!AI7</f>
        <v/>
      </c>
      <c r="AJ11" s="16">
        <f>operator_supply!AJ7</f>
        <v/>
      </c>
      <c r="AK11" s="16">
        <f>operator_supply!AK7</f>
        <v/>
      </c>
      <c r="AL11" s="16">
        <f>operator_supply!AL7</f>
        <v/>
      </c>
      <c r="AM11" s="16">
        <f>operator_supply!AM7</f>
        <v/>
      </c>
      <c r="AN11" s="16">
        <f>operator_supply!AN7</f>
        <v/>
      </c>
      <c r="AO11" s="16">
        <f>operator_supply!AO7</f>
        <v/>
      </c>
      <c r="AP11" s="16">
        <f>operator_supply!AP7</f>
        <v/>
      </c>
      <c r="AQ11" s="16">
        <f>operator_supply!AQ7</f>
        <v/>
      </c>
      <c r="AR11" s="16">
        <f>operator_supply!AR7</f>
        <v/>
      </c>
      <c r="AS11" s="16">
        <f>operator_supply!AS7</f>
        <v/>
      </c>
      <c r="AT11" s="16">
        <f>operator_supply!AT7</f>
        <v/>
      </c>
      <c r="AU11" s="16">
        <f>operator_supply!AU7</f>
        <v/>
      </c>
      <c r="AV11" s="16">
        <f>operator_supply!AV7</f>
        <v/>
      </c>
      <c r="AW11" s="16">
        <f>operator_supply!AW7</f>
        <v/>
      </c>
      <c r="AX11" s="16">
        <f>operator_supply!AX7</f>
        <v/>
      </c>
      <c r="AY11" s="16">
        <f>operator_supply!AY7</f>
        <v/>
      </c>
      <c r="AZ11" s="16">
        <f>operator_supply!AZ7</f>
        <v/>
      </c>
      <c r="BA11" s="16">
        <f>operator_supply!BA7</f>
        <v/>
      </c>
      <c r="BB11" s="16">
        <f>operator_supply!BB7</f>
        <v/>
      </c>
      <c r="BC11" s="16">
        <f>operator_supply!BC7</f>
        <v/>
      </c>
      <c r="BD11" s="16">
        <f>operator_supply!BD7</f>
        <v/>
      </c>
      <c r="BE11" s="16">
        <f>operator_supply!BE7</f>
        <v/>
      </c>
      <c r="BF11" s="16">
        <f>operator_supply!BF7</f>
        <v/>
      </c>
      <c r="BG11" s="16">
        <f>operator_supply!BG7</f>
        <v/>
      </c>
      <c r="BH11" s="16">
        <f>operator_supply!BH7</f>
        <v/>
      </c>
      <c r="BI11" s="16">
        <f>operator_supply!BI7</f>
        <v/>
      </c>
    </row>
    <row r="12">
      <c r="A12" s="1" t="inlineStr">
        <is>
          <t>Total COGS</t>
        </is>
      </c>
      <c r="B12" s="38">
        <f>SUM(B6:B11)</f>
        <v/>
      </c>
      <c r="C12" s="38">
        <f>SUM(C6:C11)</f>
        <v/>
      </c>
      <c r="D12" s="38">
        <f>SUM(D6:D11)</f>
        <v/>
      </c>
      <c r="E12" s="38">
        <f>SUM(E6:E11)</f>
        <v/>
      </c>
      <c r="F12" s="38">
        <f>SUM(F6:F11)</f>
        <v/>
      </c>
      <c r="G12" s="38">
        <f>SUM(G6:G11)</f>
        <v/>
      </c>
      <c r="H12" s="38">
        <f>SUM(H6:H11)</f>
        <v/>
      </c>
      <c r="I12" s="38">
        <f>SUM(I6:I11)</f>
        <v/>
      </c>
      <c r="J12" s="38">
        <f>SUM(J6:J11)</f>
        <v/>
      </c>
      <c r="K12" s="38">
        <f>SUM(K6:K11)</f>
        <v/>
      </c>
      <c r="L12" s="38">
        <f>SUM(L6:L11)</f>
        <v/>
      </c>
      <c r="M12" s="38">
        <f>SUM(M6:M11)</f>
        <v/>
      </c>
      <c r="N12" s="38">
        <f>SUM(N6:N11)</f>
        <v/>
      </c>
      <c r="O12" s="38">
        <f>SUM(O6:O11)</f>
        <v/>
      </c>
      <c r="P12" s="38">
        <f>SUM(P6:P11)</f>
        <v/>
      </c>
      <c r="Q12" s="38">
        <f>SUM(Q6:Q11)</f>
        <v/>
      </c>
      <c r="R12" s="38">
        <f>SUM(R6:R11)</f>
        <v/>
      </c>
      <c r="S12" s="38">
        <f>SUM(S6:S11)</f>
        <v/>
      </c>
      <c r="T12" s="38">
        <f>SUM(T6:T11)</f>
        <v/>
      </c>
      <c r="U12" s="38">
        <f>SUM(U6:U11)</f>
        <v/>
      </c>
      <c r="V12" s="38">
        <f>SUM(V6:V11)</f>
        <v/>
      </c>
      <c r="W12" s="38">
        <f>SUM(W6:W11)</f>
        <v/>
      </c>
      <c r="X12" s="38">
        <f>SUM(X6:X11)</f>
        <v/>
      </c>
      <c r="Y12" s="38">
        <f>SUM(Y6:Y11)</f>
        <v/>
      </c>
      <c r="Z12" s="38">
        <f>SUM(Z6:Z11)</f>
        <v/>
      </c>
      <c r="AA12" s="38">
        <f>SUM(AA6:AA11)</f>
        <v/>
      </c>
      <c r="AB12" s="38">
        <f>SUM(AB6:AB11)</f>
        <v/>
      </c>
      <c r="AC12" s="38">
        <f>SUM(AC6:AC11)</f>
        <v/>
      </c>
      <c r="AD12" s="38">
        <f>SUM(AD6:AD11)</f>
        <v/>
      </c>
      <c r="AE12" s="38">
        <f>SUM(AE6:AE11)</f>
        <v/>
      </c>
      <c r="AF12" s="38">
        <f>SUM(AF6:AF11)</f>
        <v/>
      </c>
      <c r="AG12" s="38">
        <f>SUM(AG6:AG11)</f>
        <v/>
      </c>
      <c r="AH12" s="38">
        <f>SUM(AH6:AH11)</f>
        <v/>
      </c>
      <c r="AI12" s="38">
        <f>SUM(AI6:AI11)</f>
        <v/>
      </c>
      <c r="AJ12" s="38">
        <f>SUM(AJ6:AJ11)</f>
        <v/>
      </c>
      <c r="AK12" s="38">
        <f>SUM(AK6:AK11)</f>
        <v/>
      </c>
      <c r="AL12" s="38">
        <f>SUM(AL6:AL11)</f>
        <v/>
      </c>
      <c r="AM12" s="38">
        <f>SUM(AM6:AM11)</f>
        <v/>
      </c>
      <c r="AN12" s="38">
        <f>SUM(AN6:AN11)</f>
        <v/>
      </c>
      <c r="AO12" s="38">
        <f>SUM(AO6:AO11)</f>
        <v/>
      </c>
      <c r="AP12" s="38">
        <f>SUM(AP6:AP11)</f>
        <v/>
      </c>
      <c r="AQ12" s="38">
        <f>SUM(AQ6:AQ11)</f>
        <v/>
      </c>
      <c r="AR12" s="38">
        <f>SUM(AR6:AR11)</f>
        <v/>
      </c>
      <c r="AS12" s="38">
        <f>SUM(AS6:AS11)</f>
        <v/>
      </c>
      <c r="AT12" s="38">
        <f>SUM(AT6:AT11)</f>
        <v/>
      </c>
      <c r="AU12" s="38">
        <f>SUM(AU6:AU11)</f>
        <v/>
      </c>
      <c r="AV12" s="38">
        <f>SUM(AV6:AV11)</f>
        <v/>
      </c>
      <c r="AW12" s="38">
        <f>SUM(AW6:AW11)</f>
        <v/>
      </c>
      <c r="AX12" s="38">
        <f>SUM(AX6:AX11)</f>
        <v/>
      </c>
      <c r="AY12" s="38">
        <f>SUM(AY6:AY11)</f>
        <v/>
      </c>
      <c r="AZ12" s="38">
        <f>SUM(AZ6:AZ11)</f>
        <v/>
      </c>
      <c r="BA12" s="38">
        <f>SUM(BA6:BA11)</f>
        <v/>
      </c>
      <c r="BB12" s="38">
        <f>SUM(BB6:BB11)</f>
        <v/>
      </c>
      <c r="BC12" s="38">
        <f>SUM(BC6:BC11)</f>
        <v/>
      </c>
      <c r="BD12" s="38">
        <f>SUM(BD6:BD11)</f>
        <v/>
      </c>
      <c r="BE12" s="38">
        <f>SUM(BE6:BE11)</f>
        <v/>
      </c>
      <c r="BF12" s="38">
        <f>SUM(BF6:BF11)</f>
        <v/>
      </c>
      <c r="BG12" s="38">
        <f>SUM(BG6:BG11)</f>
        <v/>
      </c>
      <c r="BH12" s="38">
        <f>SUM(BH6:BH11)</f>
        <v/>
      </c>
      <c r="BI12" s="38">
        <f>SUM(BI6:BI11)</f>
        <v/>
      </c>
    </row>
    <row r="13">
      <c r="A13" s="1" t="inlineStr">
        <is>
          <t>Gross profit</t>
        </is>
      </c>
      <c r="B13" s="40">
        <f>B5-B12</f>
        <v/>
      </c>
      <c r="C13" s="40">
        <f>C5-C12</f>
        <v/>
      </c>
      <c r="D13" s="40">
        <f>D5-D12</f>
        <v/>
      </c>
      <c r="E13" s="40">
        <f>E5-E12</f>
        <v/>
      </c>
      <c r="F13" s="40">
        <f>F5-F12</f>
        <v/>
      </c>
      <c r="G13" s="40">
        <f>G5-G12</f>
        <v/>
      </c>
      <c r="H13" s="40">
        <f>H5-H12</f>
        <v/>
      </c>
      <c r="I13" s="40">
        <f>I5-I12</f>
        <v/>
      </c>
      <c r="J13" s="40">
        <f>J5-J12</f>
        <v/>
      </c>
      <c r="K13" s="40">
        <f>K5-K12</f>
        <v/>
      </c>
      <c r="L13" s="40">
        <f>L5-L12</f>
        <v/>
      </c>
      <c r="M13" s="40">
        <f>M5-M12</f>
        <v/>
      </c>
      <c r="N13" s="40">
        <f>N5-N12</f>
        <v/>
      </c>
      <c r="O13" s="40">
        <f>O5-O12</f>
        <v/>
      </c>
      <c r="P13" s="40">
        <f>P5-P12</f>
        <v/>
      </c>
      <c r="Q13" s="40">
        <f>Q5-Q12</f>
        <v/>
      </c>
      <c r="R13" s="40">
        <f>R5-R12</f>
        <v/>
      </c>
      <c r="S13" s="40">
        <f>S5-S12</f>
        <v/>
      </c>
      <c r="T13" s="40">
        <f>T5-T12</f>
        <v/>
      </c>
      <c r="U13" s="40">
        <f>U5-U12</f>
        <v/>
      </c>
      <c r="V13" s="40">
        <f>V5-V12</f>
        <v/>
      </c>
      <c r="W13" s="40">
        <f>W5-W12</f>
        <v/>
      </c>
      <c r="X13" s="40">
        <f>X5-X12</f>
        <v/>
      </c>
      <c r="Y13" s="40">
        <f>Y5-Y12</f>
        <v/>
      </c>
      <c r="Z13" s="40">
        <f>Z5-Z12</f>
        <v/>
      </c>
      <c r="AA13" s="40">
        <f>AA5-AA12</f>
        <v/>
      </c>
      <c r="AB13" s="40">
        <f>AB5-AB12</f>
        <v/>
      </c>
      <c r="AC13" s="40">
        <f>AC5-AC12</f>
        <v/>
      </c>
      <c r="AD13" s="40">
        <f>AD5-AD12</f>
        <v/>
      </c>
      <c r="AE13" s="40">
        <f>AE5-AE12</f>
        <v/>
      </c>
      <c r="AF13" s="40">
        <f>AF5-AF12</f>
        <v/>
      </c>
      <c r="AG13" s="40">
        <f>AG5-AG12</f>
        <v/>
      </c>
      <c r="AH13" s="40">
        <f>AH5-AH12</f>
        <v/>
      </c>
      <c r="AI13" s="40">
        <f>AI5-AI12</f>
        <v/>
      </c>
      <c r="AJ13" s="40">
        <f>AJ5-AJ12</f>
        <v/>
      </c>
      <c r="AK13" s="40">
        <f>AK5-AK12</f>
        <v/>
      </c>
      <c r="AL13" s="40">
        <f>AL5-AL12</f>
        <v/>
      </c>
      <c r="AM13" s="40">
        <f>AM5-AM12</f>
        <v/>
      </c>
      <c r="AN13" s="40">
        <f>AN5-AN12</f>
        <v/>
      </c>
      <c r="AO13" s="40">
        <f>AO5-AO12</f>
        <v/>
      </c>
      <c r="AP13" s="40">
        <f>AP5-AP12</f>
        <v/>
      </c>
      <c r="AQ13" s="40">
        <f>AQ5-AQ12</f>
        <v/>
      </c>
      <c r="AR13" s="40">
        <f>AR5-AR12</f>
        <v/>
      </c>
      <c r="AS13" s="40">
        <f>AS5-AS12</f>
        <v/>
      </c>
      <c r="AT13" s="40">
        <f>AT5-AT12</f>
        <v/>
      </c>
      <c r="AU13" s="40">
        <f>AU5-AU12</f>
        <v/>
      </c>
      <c r="AV13" s="40">
        <f>AV5-AV12</f>
        <v/>
      </c>
      <c r="AW13" s="40">
        <f>AW5-AW12</f>
        <v/>
      </c>
      <c r="AX13" s="40">
        <f>AX5-AX12</f>
        <v/>
      </c>
      <c r="AY13" s="40">
        <f>AY5-AY12</f>
        <v/>
      </c>
      <c r="AZ13" s="40">
        <f>AZ5-AZ12</f>
        <v/>
      </c>
      <c r="BA13" s="40">
        <f>BA5-BA12</f>
        <v/>
      </c>
      <c r="BB13" s="40">
        <f>BB5-BB12</f>
        <v/>
      </c>
      <c r="BC13" s="40">
        <f>BC5-BC12</f>
        <v/>
      </c>
      <c r="BD13" s="40">
        <f>BD5-BD12</f>
        <v/>
      </c>
      <c r="BE13" s="40">
        <f>BE5-BE12</f>
        <v/>
      </c>
      <c r="BF13" s="40">
        <f>BF5-BF12</f>
        <v/>
      </c>
      <c r="BG13" s="40">
        <f>BG5-BG12</f>
        <v/>
      </c>
      <c r="BH13" s="40">
        <f>BH5-BH12</f>
        <v/>
      </c>
      <c r="BI13" s="40">
        <f>BI5-BI12</f>
        <v/>
      </c>
    </row>
    <row r="14">
      <c r="A14" s="5" t="inlineStr">
        <is>
          <t>Gross margin %</t>
        </is>
      </c>
      <c r="B14" s="39">
        <f>IFERROR(B13/B5,0)</f>
        <v/>
      </c>
      <c r="C14" s="39">
        <f>IFERROR(C13/C5,0)</f>
        <v/>
      </c>
      <c r="D14" s="39">
        <f>IFERROR(D13/D5,0)</f>
        <v/>
      </c>
      <c r="E14" s="39">
        <f>IFERROR(E13/E5,0)</f>
        <v/>
      </c>
      <c r="F14" s="39">
        <f>IFERROR(F13/F5,0)</f>
        <v/>
      </c>
      <c r="G14" s="39">
        <f>IFERROR(G13/G5,0)</f>
        <v/>
      </c>
      <c r="H14" s="39">
        <f>IFERROR(H13/H5,0)</f>
        <v/>
      </c>
      <c r="I14" s="39">
        <f>IFERROR(I13/I5,0)</f>
        <v/>
      </c>
      <c r="J14" s="39">
        <f>IFERROR(J13/J5,0)</f>
        <v/>
      </c>
      <c r="K14" s="39">
        <f>IFERROR(K13/K5,0)</f>
        <v/>
      </c>
      <c r="L14" s="39">
        <f>IFERROR(L13/L5,0)</f>
        <v/>
      </c>
      <c r="M14" s="39">
        <f>IFERROR(M13/M5,0)</f>
        <v/>
      </c>
      <c r="N14" s="39">
        <f>IFERROR(N13/N5,0)</f>
        <v/>
      </c>
      <c r="O14" s="39">
        <f>IFERROR(O13/O5,0)</f>
        <v/>
      </c>
      <c r="P14" s="39">
        <f>IFERROR(P13/P5,0)</f>
        <v/>
      </c>
      <c r="Q14" s="39">
        <f>IFERROR(Q13/Q5,0)</f>
        <v/>
      </c>
      <c r="R14" s="39">
        <f>IFERROR(R13/R5,0)</f>
        <v/>
      </c>
      <c r="S14" s="39">
        <f>IFERROR(S13/S5,0)</f>
        <v/>
      </c>
      <c r="T14" s="39">
        <f>IFERROR(T13/T5,0)</f>
        <v/>
      </c>
      <c r="U14" s="39">
        <f>IFERROR(U13/U5,0)</f>
        <v/>
      </c>
      <c r="V14" s="39">
        <f>IFERROR(V13/V5,0)</f>
        <v/>
      </c>
      <c r="W14" s="39">
        <f>IFERROR(W13/W5,0)</f>
        <v/>
      </c>
      <c r="X14" s="39">
        <f>IFERROR(X13/X5,0)</f>
        <v/>
      </c>
      <c r="Y14" s="39">
        <f>IFERROR(Y13/Y5,0)</f>
        <v/>
      </c>
      <c r="Z14" s="39">
        <f>IFERROR(Z13/Z5,0)</f>
        <v/>
      </c>
      <c r="AA14" s="39">
        <f>IFERROR(AA13/AA5,0)</f>
        <v/>
      </c>
      <c r="AB14" s="39">
        <f>IFERROR(AB13/AB5,0)</f>
        <v/>
      </c>
      <c r="AC14" s="39">
        <f>IFERROR(AC13/AC5,0)</f>
        <v/>
      </c>
      <c r="AD14" s="39">
        <f>IFERROR(AD13/AD5,0)</f>
        <v/>
      </c>
      <c r="AE14" s="39">
        <f>IFERROR(AE13/AE5,0)</f>
        <v/>
      </c>
      <c r="AF14" s="39">
        <f>IFERROR(AF13/AF5,0)</f>
        <v/>
      </c>
      <c r="AG14" s="39">
        <f>IFERROR(AG13/AG5,0)</f>
        <v/>
      </c>
      <c r="AH14" s="39">
        <f>IFERROR(AH13/AH5,0)</f>
        <v/>
      </c>
      <c r="AI14" s="39">
        <f>IFERROR(AI13/AI5,0)</f>
        <v/>
      </c>
      <c r="AJ14" s="39">
        <f>IFERROR(AJ13/AJ5,0)</f>
        <v/>
      </c>
      <c r="AK14" s="39">
        <f>IFERROR(AK13/AK5,0)</f>
        <v/>
      </c>
      <c r="AL14" s="39">
        <f>IFERROR(AL13/AL5,0)</f>
        <v/>
      </c>
      <c r="AM14" s="39">
        <f>IFERROR(AM13/AM5,0)</f>
        <v/>
      </c>
      <c r="AN14" s="39">
        <f>IFERROR(AN13/AN5,0)</f>
        <v/>
      </c>
      <c r="AO14" s="39">
        <f>IFERROR(AO13/AO5,0)</f>
        <v/>
      </c>
      <c r="AP14" s="39">
        <f>IFERROR(AP13/AP5,0)</f>
        <v/>
      </c>
      <c r="AQ14" s="39">
        <f>IFERROR(AQ13/AQ5,0)</f>
        <v/>
      </c>
      <c r="AR14" s="39">
        <f>IFERROR(AR13/AR5,0)</f>
        <v/>
      </c>
      <c r="AS14" s="39">
        <f>IFERROR(AS13/AS5,0)</f>
        <v/>
      </c>
      <c r="AT14" s="39">
        <f>IFERROR(AT13/AT5,0)</f>
        <v/>
      </c>
      <c r="AU14" s="39">
        <f>IFERROR(AU13/AU5,0)</f>
        <v/>
      </c>
      <c r="AV14" s="39">
        <f>IFERROR(AV13/AV5,0)</f>
        <v/>
      </c>
      <c r="AW14" s="39">
        <f>IFERROR(AW13/AW5,0)</f>
        <v/>
      </c>
      <c r="AX14" s="39">
        <f>IFERROR(AX13/AX5,0)</f>
        <v/>
      </c>
      <c r="AY14" s="39">
        <f>IFERROR(AY13/AY5,0)</f>
        <v/>
      </c>
      <c r="AZ14" s="39">
        <f>IFERROR(AZ13/AZ5,0)</f>
        <v/>
      </c>
      <c r="BA14" s="39">
        <f>IFERROR(BA13/BA5,0)</f>
        <v/>
      </c>
      <c r="BB14" s="39">
        <f>IFERROR(BB13/BB5,0)</f>
        <v/>
      </c>
      <c r="BC14" s="39">
        <f>IFERROR(BC13/BC5,0)</f>
        <v/>
      </c>
      <c r="BD14" s="39">
        <f>IFERROR(BD13/BD5,0)</f>
        <v/>
      </c>
      <c r="BE14" s="39">
        <f>IFERROR(BE13/BE5,0)</f>
        <v/>
      </c>
      <c r="BF14" s="39">
        <f>IFERROR(BF13/BF5,0)</f>
        <v/>
      </c>
      <c r="BG14" s="39">
        <f>IFERROR(BG13/BG5,0)</f>
        <v/>
      </c>
      <c r="BH14" s="39">
        <f>IFERROR(BH13/BH5,0)</f>
        <v/>
      </c>
      <c r="BI14" s="39">
        <f>IFERROR(BI13/BI5,0)</f>
        <v/>
      </c>
    </row>
    <row r="16">
      <c r="A16" s="34" t="inlineStr">
        <is>
          <t>OpEx</t>
        </is>
      </c>
    </row>
    <row r="17">
      <c r="A17" s="5" t="inlineStr">
        <is>
          <t>Payroll (loaded, UK)</t>
        </is>
      </c>
      <c r="B17" s="16">
        <f>headcount_uk!G44</f>
        <v/>
      </c>
      <c r="C17" s="16">
        <f>headcount_uk!H44</f>
        <v/>
      </c>
      <c r="D17" s="16">
        <f>headcount_uk!I44</f>
        <v/>
      </c>
      <c r="E17" s="16">
        <f>headcount_uk!J44</f>
        <v/>
      </c>
      <c r="F17" s="16">
        <f>headcount_uk!K44</f>
        <v/>
      </c>
      <c r="G17" s="16">
        <f>headcount_uk!L44</f>
        <v/>
      </c>
      <c r="H17" s="16">
        <f>headcount_uk!M44</f>
        <v/>
      </c>
      <c r="I17" s="16">
        <f>headcount_uk!N44</f>
        <v/>
      </c>
      <c r="J17" s="16">
        <f>headcount_uk!O44</f>
        <v/>
      </c>
      <c r="K17" s="16">
        <f>headcount_uk!P44</f>
        <v/>
      </c>
      <c r="L17" s="16">
        <f>headcount_uk!Q44</f>
        <v/>
      </c>
      <c r="M17" s="16">
        <f>headcount_uk!R44</f>
        <v/>
      </c>
      <c r="N17" s="16">
        <f>headcount_uk!S44</f>
        <v/>
      </c>
      <c r="O17" s="16">
        <f>headcount_uk!T44</f>
        <v/>
      </c>
      <c r="P17" s="16">
        <f>headcount_uk!U44</f>
        <v/>
      </c>
      <c r="Q17" s="16">
        <f>headcount_uk!V44</f>
        <v/>
      </c>
      <c r="R17" s="16">
        <f>headcount_uk!W44</f>
        <v/>
      </c>
      <c r="S17" s="16">
        <f>headcount_uk!X44</f>
        <v/>
      </c>
      <c r="T17" s="16">
        <f>headcount_uk!Y44</f>
        <v/>
      </c>
      <c r="U17" s="16">
        <f>headcount_uk!Z44</f>
        <v/>
      </c>
      <c r="V17" s="16">
        <f>headcount_uk!AA44</f>
        <v/>
      </c>
      <c r="W17" s="16">
        <f>headcount_uk!AB44</f>
        <v/>
      </c>
      <c r="X17" s="16">
        <f>headcount_uk!AC44</f>
        <v/>
      </c>
      <c r="Y17" s="16">
        <f>headcount_uk!AD44</f>
        <v/>
      </c>
      <c r="Z17" s="16">
        <f>headcount_uk!AE44</f>
        <v/>
      </c>
      <c r="AA17" s="16">
        <f>headcount_uk!AF44</f>
        <v/>
      </c>
      <c r="AB17" s="16">
        <f>headcount_uk!AG44</f>
        <v/>
      </c>
      <c r="AC17" s="16">
        <f>headcount_uk!AH44</f>
        <v/>
      </c>
      <c r="AD17" s="16">
        <f>headcount_uk!AI44</f>
        <v/>
      </c>
      <c r="AE17" s="16">
        <f>headcount_uk!AJ44</f>
        <v/>
      </c>
      <c r="AF17" s="16">
        <f>headcount_uk!AK44</f>
        <v/>
      </c>
      <c r="AG17" s="16">
        <f>headcount_uk!AL44</f>
        <v/>
      </c>
      <c r="AH17" s="16">
        <f>headcount_uk!AM44</f>
        <v/>
      </c>
      <c r="AI17" s="16">
        <f>headcount_uk!AN44</f>
        <v/>
      </c>
      <c r="AJ17" s="16">
        <f>headcount_uk!AO44</f>
        <v/>
      </c>
      <c r="AK17" s="16">
        <f>headcount_uk!AP44</f>
        <v/>
      </c>
      <c r="AL17" s="16">
        <f>headcount_uk!AQ44</f>
        <v/>
      </c>
      <c r="AM17" s="16">
        <f>headcount_uk!AR44</f>
        <v/>
      </c>
      <c r="AN17" s="16">
        <f>headcount_uk!AS44</f>
        <v/>
      </c>
      <c r="AO17" s="16">
        <f>headcount_uk!AT44</f>
        <v/>
      </c>
      <c r="AP17" s="16">
        <f>headcount_uk!AU44</f>
        <v/>
      </c>
      <c r="AQ17" s="16">
        <f>headcount_uk!AV44</f>
        <v/>
      </c>
      <c r="AR17" s="16">
        <f>headcount_uk!AW44</f>
        <v/>
      </c>
      <c r="AS17" s="16">
        <f>headcount_uk!AX44</f>
        <v/>
      </c>
      <c r="AT17" s="16">
        <f>headcount_uk!AY44</f>
        <v/>
      </c>
      <c r="AU17" s="16">
        <f>headcount_uk!AZ44</f>
        <v/>
      </c>
      <c r="AV17" s="16">
        <f>headcount_uk!BA44</f>
        <v/>
      </c>
      <c r="AW17" s="16">
        <f>headcount_uk!BB44</f>
        <v/>
      </c>
      <c r="AX17" s="16">
        <f>headcount_uk!BC44</f>
        <v/>
      </c>
      <c r="AY17" s="16">
        <f>headcount_uk!BD44</f>
        <v/>
      </c>
      <c r="AZ17" s="16">
        <f>headcount_uk!BE44</f>
        <v/>
      </c>
      <c r="BA17" s="16">
        <f>headcount_uk!BF44</f>
        <v/>
      </c>
      <c r="BB17" s="16">
        <f>headcount_uk!BG44</f>
        <v/>
      </c>
      <c r="BC17" s="16">
        <f>headcount_uk!BH44</f>
        <v/>
      </c>
      <c r="BD17" s="16">
        <f>headcount_uk!BI44</f>
        <v/>
      </c>
      <c r="BE17" s="16">
        <f>headcount_uk!BJ44</f>
        <v/>
      </c>
      <c r="BF17" s="16">
        <f>headcount_uk!BK44</f>
        <v/>
      </c>
      <c r="BG17" s="16">
        <f>headcount_uk!BL44</f>
        <v/>
      </c>
      <c r="BH17" s="16">
        <f>headcount_uk!BM44</f>
        <v/>
      </c>
      <c r="BI17" s="16">
        <f>headcount_uk!BN44</f>
        <v/>
      </c>
    </row>
    <row r="18">
      <c r="A18" s="5" t="inlineStr">
        <is>
          <t>Office</t>
        </is>
      </c>
      <c r="B18" s="16">
        <f>assumptions!$G$78</f>
        <v/>
      </c>
      <c r="C18" s="16">
        <f>assumptions!$G$78</f>
        <v/>
      </c>
      <c r="D18" s="16">
        <f>assumptions!$G$78</f>
        <v/>
      </c>
      <c r="E18" s="16">
        <f>assumptions!$G$78</f>
        <v/>
      </c>
      <c r="F18" s="16">
        <f>assumptions!$G$78</f>
        <v/>
      </c>
      <c r="G18" s="16">
        <f>assumptions!$G$78</f>
        <v/>
      </c>
      <c r="H18" s="16">
        <f>assumptions!$G$79</f>
        <v/>
      </c>
      <c r="I18" s="16">
        <f>assumptions!$G$79</f>
        <v/>
      </c>
      <c r="J18" s="16">
        <f>assumptions!$G$79</f>
        <v/>
      </c>
      <c r="K18" s="16">
        <f>assumptions!$G$79</f>
        <v/>
      </c>
      <c r="L18" s="16">
        <f>assumptions!$G$79</f>
        <v/>
      </c>
      <c r="M18" s="16">
        <f>assumptions!$G$79</f>
        <v/>
      </c>
      <c r="N18" s="16">
        <f>assumptions!$G$80</f>
        <v/>
      </c>
      <c r="O18" s="16">
        <f>assumptions!$G$80</f>
        <v/>
      </c>
      <c r="P18" s="16">
        <f>assumptions!$G$80</f>
        <v/>
      </c>
      <c r="Q18" s="16">
        <f>assumptions!$G$80</f>
        <v/>
      </c>
      <c r="R18" s="16">
        <f>assumptions!$G$80</f>
        <v/>
      </c>
      <c r="S18" s="16">
        <f>assumptions!$G$80</f>
        <v/>
      </c>
      <c r="T18" s="16">
        <f>assumptions!$G$80</f>
        <v/>
      </c>
      <c r="U18" s="16">
        <f>assumptions!$G$80</f>
        <v/>
      </c>
      <c r="V18" s="16">
        <f>assumptions!$G$80</f>
        <v/>
      </c>
      <c r="W18" s="16">
        <f>assumptions!$G$80</f>
        <v/>
      </c>
      <c r="X18" s="16">
        <f>assumptions!$G$80</f>
        <v/>
      </c>
      <c r="Y18" s="16">
        <f>assumptions!$G$80</f>
        <v/>
      </c>
      <c r="Z18" s="16">
        <f>assumptions!$G$81</f>
        <v/>
      </c>
      <c r="AA18" s="16">
        <f>assumptions!$G$81</f>
        <v/>
      </c>
      <c r="AB18" s="16">
        <f>assumptions!$G$81</f>
        <v/>
      </c>
      <c r="AC18" s="16">
        <f>assumptions!$G$81</f>
        <v/>
      </c>
      <c r="AD18" s="16">
        <f>assumptions!$G$81</f>
        <v/>
      </c>
      <c r="AE18" s="16">
        <f>assumptions!$G$81</f>
        <v/>
      </c>
      <c r="AF18" s="16">
        <f>assumptions!$G$81</f>
        <v/>
      </c>
      <c r="AG18" s="16">
        <f>assumptions!$G$81</f>
        <v/>
      </c>
      <c r="AH18" s="16">
        <f>assumptions!$G$81</f>
        <v/>
      </c>
      <c r="AI18" s="16">
        <f>assumptions!$G$81</f>
        <v/>
      </c>
      <c r="AJ18" s="16">
        <f>assumptions!$G$81</f>
        <v/>
      </c>
      <c r="AK18" s="16">
        <f>assumptions!$G$81</f>
        <v/>
      </c>
      <c r="AL18" s="16">
        <f>assumptions!$G$82</f>
        <v/>
      </c>
      <c r="AM18" s="16">
        <f>assumptions!$G$82</f>
        <v/>
      </c>
      <c r="AN18" s="16">
        <f>assumptions!$G$82</f>
        <v/>
      </c>
      <c r="AO18" s="16">
        <f>assumptions!$G$82</f>
        <v/>
      </c>
      <c r="AP18" s="16">
        <f>assumptions!$G$82</f>
        <v/>
      </c>
      <c r="AQ18" s="16">
        <f>assumptions!$G$82</f>
        <v/>
      </c>
      <c r="AR18" s="16">
        <f>assumptions!$G$82</f>
        <v/>
      </c>
      <c r="AS18" s="16">
        <f>assumptions!$G$82</f>
        <v/>
      </c>
      <c r="AT18" s="16">
        <f>assumptions!$G$82</f>
        <v/>
      </c>
      <c r="AU18" s="16">
        <f>assumptions!$G$82</f>
        <v/>
      </c>
      <c r="AV18" s="16">
        <f>assumptions!$G$82</f>
        <v/>
      </c>
      <c r="AW18" s="16">
        <f>assumptions!$G$82</f>
        <v/>
      </c>
      <c r="AX18" s="16">
        <f>assumptions!$G$82</f>
        <v/>
      </c>
      <c r="AY18" s="16">
        <f>assumptions!$G$82</f>
        <v/>
      </c>
      <c r="AZ18" s="16">
        <f>assumptions!$G$82</f>
        <v/>
      </c>
      <c r="BA18" s="16">
        <f>assumptions!$G$82</f>
        <v/>
      </c>
      <c r="BB18" s="16">
        <f>assumptions!$G$82</f>
        <v/>
      </c>
      <c r="BC18" s="16">
        <f>assumptions!$G$82</f>
        <v/>
      </c>
      <c r="BD18" s="16">
        <f>assumptions!$G$82</f>
        <v/>
      </c>
      <c r="BE18" s="16">
        <f>assumptions!$G$82</f>
        <v/>
      </c>
      <c r="BF18" s="16">
        <f>assumptions!$G$82</f>
        <v/>
      </c>
      <c r="BG18" s="16">
        <f>assumptions!$G$82</f>
        <v/>
      </c>
      <c r="BH18" s="16">
        <f>assumptions!$G$82</f>
        <v/>
      </c>
      <c r="BI18" s="16">
        <f>assumptions!$G$82</f>
        <v/>
      </c>
    </row>
    <row r="19">
      <c r="A19" s="5" t="inlineStr">
        <is>
          <t>Legal</t>
        </is>
      </c>
      <c r="B19" s="16">
        <f>assumptions!$G$83</f>
        <v/>
      </c>
      <c r="C19" s="16">
        <f>assumptions!$G$83</f>
        <v/>
      </c>
      <c r="D19" s="16">
        <f>assumptions!$G$83</f>
        <v/>
      </c>
      <c r="E19" s="16">
        <f>assumptions!$G$83</f>
        <v/>
      </c>
      <c r="F19" s="16">
        <f>assumptions!$G$83</f>
        <v/>
      </c>
      <c r="G19" s="16">
        <f>assumptions!$G$83</f>
        <v/>
      </c>
      <c r="H19" s="16">
        <f>assumptions!$G$84</f>
        <v/>
      </c>
      <c r="I19" s="16">
        <f>assumptions!$G$84</f>
        <v/>
      </c>
      <c r="J19" s="16">
        <f>assumptions!$G$84</f>
        <v/>
      </c>
      <c r="K19" s="16">
        <f>assumptions!$G$84</f>
        <v/>
      </c>
      <c r="L19" s="16">
        <f>assumptions!$G$84</f>
        <v/>
      </c>
      <c r="M19" s="16">
        <f>assumptions!$G$84</f>
        <v/>
      </c>
      <c r="N19" s="16">
        <f>assumptions!$G$85</f>
        <v/>
      </c>
      <c r="O19" s="16">
        <f>assumptions!$G$85</f>
        <v/>
      </c>
      <c r="P19" s="16">
        <f>assumptions!$G$85</f>
        <v/>
      </c>
      <c r="Q19" s="16">
        <f>assumptions!$G$85</f>
        <v/>
      </c>
      <c r="R19" s="16">
        <f>assumptions!$G$85</f>
        <v/>
      </c>
      <c r="S19" s="16">
        <f>assumptions!$G$85</f>
        <v/>
      </c>
      <c r="T19" s="16">
        <f>assumptions!$G$85</f>
        <v/>
      </c>
      <c r="U19" s="16">
        <f>assumptions!$G$85</f>
        <v/>
      </c>
      <c r="V19" s="16">
        <f>assumptions!$G$85</f>
        <v/>
      </c>
      <c r="W19" s="16">
        <f>assumptions!$G$85</f>
        <v/>
      </c>
      <c r="X19" s="16">
        <f>assumptions!$G$85</f>
        <v/>
      </c>
      <c r="Y19" s="16">
        <f>assumptions!$G$85</f>
        <v/>
      </c>
      <c r="Z19" s="16">
        <f>assumptions!$G$86</f>
        <v/>
      </c>
      <c r="AA19" s="16">
        <f>assumptions!$G$86</f>
        <v/>
      </c>
      <c r="AB19" s="16">
        <f>assumptions!$G$86</f>
        <v/>
      </c>
      <c r="AC19" s="16">
        <f>assumptions!$G$86</f>
        <v/>
      </c>
      <c r="AD19" s="16">
        <f>assumptions!$G$86</f>
        <v/>
      </c>
      <c r="AE19" s="16">
        <f>assumptions!$G$86</f>
        <v/>
      </c>
      <c r="AF19" s="16">
        <f>assumptions!$G$86</f>
        <v/>
      </c>
      <c r="AG19" s="16">
        <f>assumptions!$G$86</f>
        <v/>
      </c>
      <c r="AH19" s="16">
        <f>assumptions!$G$86</f>
        <v/>
      </c>
      <c r="AI19" s="16">
        <f>assumptions!$G$86</f>
        <v/>
      </c>
      <c r="AJ19" s="16">
        <f>assumptions!$G$86</f>
        <v/>
      </c>
      <c r="AK19" s="16">
        <f>assumptions!$G$86</f>
        <v/>
      </c>
      <c r="AL19" s="16">
        <f>assumptions!$G$87</f>
        <v/>
      </c>
      <c r="AM19" s="16">
        <f>assumptions!$G$87</f>
        <v/>
      </c>
      <c r="AN19" s="16">
        <f>assumptions!$G$87</f>
        <v/>
      </c>
      <c r="AO19" s="16">
        <f>assumptions!$G$87</f>
        <v/>
      </c>
      <c r="AP19" s="16">
        <f>assumptions!$G$87</f>
        <v/>
      </c>
      <c r="AQ19" s="16">
        <f>assumptions!$G$87</f>
        <v/>
      </c>
      <c r="AR19" s="16">
        <f>assumptions!$G$87</f>
        <v/>
      </c>
      <c r="AS19" s="16">
        <f>assumptions!$G$87</f>
        <v/>
      </c>
      <c r="AT19" s="16">
        <f>assumptions!$G$87</f>
        <v/>
      </c>
      <c r="AU19" s="16">
        <f>assumptions!$G$87</f>
        <v/>
      </c>
      <c r="AV19" s="16">
        <f>assumptions!$G$87</f>
        <v/>
      </c>
      <c r="AW19" s="16">
        <f>assumptions!$G$87</f>
        <v/>
      </c>
      <c r="AX19" s="16">
        <f>assumptions!$G$87</f>
        <v/>
      </c>
      <c r="AY19" s="16">
        <f>assumptions!$G$87</f>
        <v/>
      </c>
      <c r="AZ19" s="16">
        <f>assumptions!$G$87</f>
        <v/>
      </c>
      <c r="BA19" s="16">
        <f>assumptions!$G$87</f>
        <v/>
      </c>
      <c r="BB19" s="16">
        <f>assumptions!$G$87</f>
        <v/>
      </c>
      <c r="BC19" s="16">
        <f>assumptions!$G$87</f>
        <v/>
      </c>
      <c r="BD19" s="16">
        <f>assumptions!$G$87</f>
        <v/>
      </c>
      <c r="BE19" s="16">
        <f>assumptions!$G$87</f>
        <v/>
      </c>
      <c r="BF19" s="16">
        <f>assumptions!$G$87</f>
        <v/>
      </c>
      <c r="BG19" s="16">
        <f>assumptions!$G$87</f>
        <v/>
      </c>
      <c r="BH19" s="16">
        <f>assumptions!$G$87</f>
        <v/>
      </c>
      <c r="BI19" s="16">
        <f>assumptions!$G$87</f>
        <v/>
      </c>
    </row>
    <row r="20">
      <c r="A20" s="5" t="inlineStr">
        <is>
          <t>Accounting</t>
        </is>
      </c>
      <c r="B20" s="16">
        <f>assumptions!$G$88</f>
        <v/>
      </c>
      <c r="C20" s="16">
        <f>assumptions!$G$88</f>
        <v/>
      </c>
      <c r="D20" s="16">
        <f>assumptions!$G$88</f>
        <v/>
      </c>
      <c r="E20" s="16">
        <f>assumptions!$G$88</f>
        <v/>
      </c>
      <c r="F20" s="16">
        <f>assumptions!$G$88</f>
        <v/>
      </c>
      <c r="G20" s="16">
        <f>assumptions!$G$88</f>
        <v/>
      </c>
      <c r="H20" s="16">
        <f>assumptions!$G$89</f>
        <v/>
      </c>
      <c r="I20" s="16">
        <f>assumptions!$G$89</f>
        <v/>
      </c>
      <c r="J20" s="16">
        <f>assumptions!$G$89</f>
        <v/>
      </c>
      <c r="K20" s="16">
        <f>assumptions!$G$89</f>
        <v/>
      </c>
      <c r="L20" s="16">
        <f>assumptions!$G$89</f>
        <v/>
      </c>
      <c r="M20" s="16">
        <f>assumptions!$G$89</f>
        <v/>
      </c>
      <c r="N20" s="16">
        <f>assumptions!$G$90</f>
        <v/>
      </c>
      <c r="O20" s="16">
        <f>assumptions!$G$90</f>
        <v/>
      </c>
      <c r="P20" s="16">
        <f>assumptions!$G$90</f>
        <v/>
      </c>
      <c r="Q20" s="16">
        <f>assumptions!$G$90</f>
        <v/>
      </c>
      <c r="R20" s="16">
        <f>assumptions!$G$90</f>
        <v/>
      </c>
      <c r="S20" s="16">
        <f>assumptions!$G$90</f>
        <v/>
      </c>
      <c r="T20" s="16">
        <f>assumptions!$G$90</f>
        <v/>
      </c>
      <c r="U20" s="16">
        <f>assumptions!$G$90</f>
        <v/>
      </c>
      <c r="V20" s="16">
        <f>assumptions!$G$90</f>
        <v/>
      </c>
      <c r="W20" s="16">
        <f>assumptions!$G$90</f>
        <v/>
      </c>
      <c r="X20" s="16">
        <f>assumptions!$G$90</f>
        <v/>
      </c>
      <c r="Y20" s="16">
        <f>assumptions!$G$90</f>
        <v/>
      </c>
      <c r="Z20" s="16">
        <f>assumptions!$G$91</f>
        <v/>
      </c>
      <c r="AA20" s="16">
        <f>assumptions!$G$91</f>
        <v/>
      </c>
      <c r="AB20" s="16">
        <f>assumptions!$G$91</f>
        <v/>
      </c>
      <c r="AC20" s="16">
        <f>assumptions!$G$91</f>
        <v/>
      </c>
      <c r="AD20" s="16">
        <f>assumptions!$G$91</f>
        <v/>
      </c>
      <c r="AE20" s="16">
        <f>assumptions!$G$91</f>
        <v/>
      </c>
      <c r="AF20" s="16">
        <f>assumptions!$G$91</f>
        <v/>
      </c>
      <c r="AG20" s="16">
        <f>assumptions!$G$91</f>
        <v/>
      </c>
      <c r="AH20" s="16">
        <f>assumptions!$G$91</f>
        <v/>
      </c>
      <c r="AI20" s="16">
        <f>assumptions!$G$91</f>
        <v/>
      </c>
      <c r="AJ20" s="16">
        <f>assumptions!$G$91</f>
        <v/>
      </c>
      <c r="AK20" s="16">
        <f>assumptions!$G$91</f>
        <v/>
      </c>
      <c r="AL20" s="16">
        <f>assumptions!$G$92</f>
        <v/>
      </c>
      <c r="AM20" s="16">
        <f>assumptions!$G$92</f>
        <v/>
      </c>
      <c r="AN20" s="16">
        <f>assumptions!$G$92</f>
        <v/>
      </c>
      <c r="AO20" s="16">
        <f>assumptions!$G$92</f>
        <v/>
      </c>
      <c r="AP20" s="16">
        <f>assumptions!$G$92</f>
        <v/>
      </c>
      <c r="AQ20" s="16">
        <f>assumptions!$G$92</f>
        <v/>
      </c>
      <c r="AR20" s="16">
        <f>assumptions!$G$92</f>
        <v/>
      </c>
      <c r="AS20" s="16">
        <f>assumptions!$G$92</f>
        <v/>
      </c>
      <c r="AT20" s="16">
        <f>assumptions!$G$92</f>
        <v/>
      </c>
      <c r="AU20" s="16">
        <f>assumptions!$G$92</f>
        <v/>
      </c>
      <c r="AV20" s="16">
        <f>assumptions!$G$92</f>
        <v/>
      </c>
      <c r="AW20" s="16">
        <f>assumptions!$G$92</f>
        <v/>
      </c>
      <c r="AX20" s="16">
        <f>assumptions!$G$92</f>
        <v/>
      </c>
      <c r="AY20" s="16">
        <f>assumptions!$G$92</f>
        <v/>
      </c>
      <c r="AZ20" s="16">
        <f>assumptions!$G$92</f>
        <v/>
      </c>
      <c r="BA20" s="16">
        <f>assumptions!$G$92</f>
        <v/>
      </c>
      <c r="BB20" s="16">
        <f>assumptions!$G$92</f>
        <v/>
      </c>
      <c r="BC20" s="16">
        <f>assumptions!$G$92</f>
        <v/>
      </c>
      <c r="BD20" s="16">
        <f>assumptions!$G$92</f>
        <v/>
      </c>
      <c r="BE20" s="16">
        <f>assumptions!$G$92</f>
        <v/>
      </c>
      <c r="BF20" s="16">
        <f>assumptions!$G$92</f>
        <v/>
      </c>
      <c r="BG20" s="16">
        <f>assumptions!$G$92</f>
        <v/>
      </c>
      <c r="BH20" s="16">
        <f>assumptions!$G$92</f>
        <v/>
      </c>
      <c r="BI20" s="16">
        <f>assumptions!$G$92</f>
        <v/>
      </c>
    </row>
    <row r="21">
      <c r="A21" s="5" t="inlineStr">
        <is>
          <t>Insurance</t>
        </is>
      </c>
      <c r="B21" s="16">
        <f>assumptions!$G$93</f>
        <v/>
      </c>
      <c r="C21" s="16">
        <f>assumptions!$G$93</f>
        <v/>
      </c>
      <c r="D21" s="16">
        <f>assumptions!$G$93</f>
        <v/>
      </c>
      <c r="E21" s="16">
        <f>assumptions!$G$93</f>
        <v/>
      </c>
      <c r="F21" s="16">
        <f>assumptions!$G$93</f>
        <v/>
      </c>
      <c r="G21" s="16">
        <f>assumptions!$G$93</f>
        <v/>
      </c>
      <c r="H21" s="16">
        <f>assumptions!$G$94</f>
        <v/>
      </c>
      <c r="I21" s="16">
        <f>assumptions!$G$94</f>
        <v/>
      </c>
      <c r="J21" s="16">
        <f>assumptions!$G$94</f>
        <v/>
      </c>
      <c r="K21" s="16">
        <f>assumptions!$G$94</f>
        <v/>
      </c>
      <c r="L21" s="16">
        <f>assumptions!$G$94</f>
        <v/>
      </c>
      <c r="M21" s="16">
        <f>assumptions!$G$94</f>
        <v/>
      </c>
      <c r="N21" s="16">
        <f>assumptions!$G$95</f>
        <v/>
      </c>
      <c r="O21" s="16">
        <f>assumptions!$G$95</f>
        <v/>
      </c>
      <c r="P21" s="16">
        <f>assumptions!$G$95</f>
        <v/>
      </c>
      <c r="Q21" s="16">
        <f>assumptions!$G$95</f>
        <v/>
      </c>
      <c r="R21" s="16">
        <f>assumptions!$G$95</f>
        <v/>
      </c>
      <c r="S21" s="16">
        <f>assumptions!$G$95</f>
        <v/>
      </c>
      <c r="T21" s="16">
        <f>assumptions!$G$95</f>
        <v/>
      </c>
      <c r="U21" s="16">
        <f>assumptions!$G$95</f>
        <v/>
      </c>
      <c r="V21" s="16">
        <f>assumptions!$G$95</f>
        <v/>
      </c>
      <c r="W21" s="16">
        <f>assumptions!$G$95</f>
        <v/>
      </c>
      <c r="X21" s="16">
        <f>assumptions!$G$95</f>
        <v/>
      </c>
      <c r="Y21" s="16">
        <f>assumptions!$G$95</f>
        <v/>
      </c>
      <c r="Z21" s="16">
        <f>assumptions!$G$96</f>
        <v/>
      </c>
      <c r="AA21" s="16">
        <f>assumptions!$G$96</f>
        <v/>
      </c>
      <c r="AB21" s="16">
        <f>assumptions!$G$96</f>
        <v/>
      </c>
      <c r="AC21" s="16">
        <f>assumptions!$G$96</f>
        <v/>
      </c>
      <c r="AD21" s="16">
        <f>assumptions!$G$96</f>
        <v/>
      </c>
      <c r="AE21" s="16">
        <f>assumptions!$G$96</f>
        <v/>
      </c>
      <c r="AF21" s="16">
        <f>assumptions!$G$96</f>
        <v/>
      </c>
      <c r="AG21" s="16">
        <f>assumptions!$G$96</f>
        <v/>
      </c>
      <c r="AH21" s="16">
        <f>assumptions!$G$96</f>
        <v/>
      </c>
      <c r="AI21" s="16">
        <f>assumptions!$G$96</f>
        <v/>
      </c>
      <c r="AJ21" s="16">
        <f>assumptions!$G$96</f>
        <v/>
      </c>
      <c r="AK21" s="16">
        <f>assumptions!$G$96</f>
        <v/>
      </c>
      <c r="AL21" s="16">
        <f>assumptions!$G$97</f>
        <v/>
      </c>
      <c r="AM21" s="16">
        <f>assumptions!$G$97</f>
        <v/>
      </c>
      <c r="AN21" s="16">
        <f>assumptions!$G$97</f>
        <v/>
      </c>
      <c r="AO21" s="16">
        <f>assumptions!$G$97</f>
        <v/>
      </c>
      <c r="AP21" s="16">
        <f>assumptions!$G$97</f>
        <v/>
      </c>
      <c r="AQ21" s="16">
        <f>assumptions!$G$97</f>
        <v/>
      </c>
      <c r="AR21" s="16">
        <f>assumptions!$G$97</f>
        <v/>
      </c>
      <c r="AS21" s="16">
        <f>assumptions!$G$97</f>
        <v/>
      </c>
      <c r="AT21" s="16">
        <f>assumptions!$G$97</f>
        <v/>
      </c>
      <c r="AU21" s="16">
        <f>assumptions!$G$97</f>
        <v/>
      </c>
      <c r="AV21" s="16">
        <f>assumptions!$G$97</f>
        <v/>
      </c>
      <c r="AW21" s="16">
        <f>assumptions!$G$97</f>
        <v/>
      </c>
      <c r="AX21" s="16">
        <f>assumptions!$G$97</f>
        <v/>
      </c>
      <c r="AY21" s="16">
        <f>assumptions!$G$97</f>
        <v/>
      </c>
      <c r="AZ21" s="16">
        <f>assumptions!$G$97</f>
        <v/>
      </c>
      <c r="BA21" s="16">
        <f>assumptions!$G$97</f>
        <v/>
      </c>
      <c r="BB21" s="16">
        <f>assumptions!$G$97</f>
        <v/>
      </c>
      <c r="BC21" s="16">
        <f>assumptions!$G$97</f>
        <v/>
      </c>
      <c r="BD21" s="16">
        <f>assumptions!$G$97</f>
        <v/>
      </c>
      <c r="BE21" s="16">
        <f>assumptions!$G$97</f>
        <v/>
      </c>
      <c r="BF21" s="16">
        <f>assumptions!$G$97</f>
        <v/>
      </c>
      <c r="BG21" s="16">
        <f>assumptions!$G$97</f>
        <v/>
      </c>
      <c r="BH21" s="16">
        <f>assumptions!$G$97</f>
        <v/>
      </c>
      <c r="BI21" s="16">
        <f>assumptions!$G$97</f>
        <v/>
      </c>
    </row>
    <row r="22">
      <c r="A22" s="5" t="inlineStr">
        <is>
          <t>SaaS tooling</t>
        </is>
      </c>
      <c r="B22" s="16">
        <f>assumptions!$G$98</f>
        <v/>
      </c>
      <c r="C22" s="16">
        <f>assumptions!$G$98</f>
        <v/>
      </c>
      <c r="D22" s="16">
        <f>assumptions!$G$98</f>
        <v/>
      </c>
      <c r="E22" s="16">
        <f>assumptions!$G$98</f>
        <v/>
      </c>
      <c r="F22" s="16">
        <f>assumptions!$G$98</f>
        <v/>
      </c>
      <c r="G22" s="16">
        <f>assumptions!$G$98</f>
        <v/>
      </c>
      <c r="H22" s="16">
        <f>assumptions!$G$99</f>
        <v/>
      </c>
      <c r="I22" s="16">
        <f>assumptions!$G$99</f>
        <v/>
      </c>
      <c r="J22" s="16">
        <f>assumptions!$G$99</f>
        <v/>
      </c>
      <c r="K22" s="16">
        <f>assumptions!$G$99</f>
        <v/>
      </c>
      <c r="L22" s="16">
        <f>assumptions!$G$99</f>
        <v/>
      </c>
      <c r="M22" s="16">
        <f>assumptions!$G$99</f>
        <v/>
      </c>
      <c r="N22" s="16">
        <f>assumptions!$G$100</f>
        <v/>
      </c>
      <c r="O22" s="16">
        <f>assumptions!$G$100</f>
        <v/>
      </c>
      <c r="P22" s="16">
        <f>assumptions!$G$100</f>
        <v/>
      </c>
      <c r="Q22" s="16">
        <f>assumptions!$G$100</f>
        <v/>
      </c>
      <c r="R22" s="16">
        <f>assumptions!$G$100</f>
        <v/>
      </c>
      <c r="S22" s="16">
        <f>assumptions!$G$100</f>
        <v/>
      </c>
      <c r="T22" s="16">
        <f>assumptions!$G$100</f>
        <v/>
      </c>
      <c r="U22" s="16">
        <f>assumptions!$G$100</f>
        <v/>
      </c>
      <c r="V22" s="16">
        <f>assumptions!$G$100</f>
        <v/>
      </c>
      <c r="W22" s="16">
        <f>assumptions!$G$100</f>
        <v/>
      </c>
      <c r="X22" s="16">
        <f>assumptions!$G$100</f>
        <v/>
      </c>
      <c r="Y22" s="16">
        <f>assumptions!$G$100</f>
        <v/>
      </c>
      <c r="Z22" s="16">
        <f>assumptions!$G$101</f>
        <v/>
      </c>
      <c r="AA22" s="16">
        <f>assumptions!$G$101</f>
        <v/>
      </c>
      <c r="AB22" s="16">
        <f>assumptions!$G$101</f>
        <v/>
      </c>
      <c r="AC22" s="16">
        <f>assumptions!$G$101</f>
        <v/>
      </c>
      <c r="AD22" s="16">
        <f>assumptions!$G$101</f>
        <v/>
      </c>
      <c r="AE22" s="16">
        <f>assumptions!$G$101</f>
        <v/>
      </c>
      <c r="AF22" s="16">
        <f>assumptions!$G$101</f>
        <v/>
      </c>
      <c r="AG22" s="16">
        <f>assumptions!$G$101</f>
        <v/>
      </c>
      <c r="AH22" s="16">
        <f>assumptions!$G$101</f>
        <v/>
      </c>
      <c r="AI22" s="16">
        <f>assumptions!$G$101</f>
        <v/>
      </c>
      <c r="AJ22" s="16">
        <f>assumptions!$G$101</f>
        <v/>
      </c>
      <c r="AK22" s="16">
        <f>assumptions!$G$101</f>
        <v/>
      </c>
      <c r="AL22" s="16">
        <f>assumptions!$G$102</f>
        <v/>
      </c>
      <c r="AM22" s="16">
        <f>assumptions!$G$102</f>
        <v/>
      </c>
      <c r="AN22" s="16">
        <f>assumptions!$G$102</f>
        <v/>
      </c>
      <c r="AO22" s="16">
        <f>assumptions!$G$102</f>
        <v/>
      </c>
      <c r="AP22" s="16">
        <f>assumptions!$G$102</f>
        <v/>
      </c>
      <c r="AQ22" s="16">
        <f>assumptions!$G$102</f>
        <v/>
      </c>
      <c r="AR22" s="16">
        <f>assumptions!$G$102</f>
        <v/>
      </c>
      <c r="AS22" s="16">
        <f>assumptions!$G$102</f>
        <v/>
      </c>
      <c r="AT22" s="16">
        <f>assumptions!$G$102</f>
        <v/>
      </c>
      <c r="AU22" s="16">
        <f>assumptions!$G$102</f>
        <v/>
      </c>
      <c r="AV22" s="16">
        <f>assumptions!$G$102</f>
        <v/>
      </c>
      <c r="AW22" s="16">
        <f>assumptions!$G$102</f>
        <v/>
      </c>
      <c r="AX22" s="16">
        <f>assumptions!$G$102</f>
        <v/>
      </c>
      <c r="AY22" s="16">
        <f>assumptions!$G$102</f>
        <v/>
      </c>
      <c r="AZ22" s="16">
        <f>assumptions!$G$102</f>
        <v/>
      </c>
      <c r="BA22" s="16">
        <f>assumptions!$G$102</f>
        <v/>
      </c>
      <c r="BB22" s="16">
        <f>assumptions!$G$102</f>
        <v/>
      </c>
      <c r="BC22" s="16">
        <f>assumptions!$G$102</f>
        <v/>
      </c>
      <c r="BD22" s="16">
        <f>assumptions!$G$102</f>
        <v/>
      </c>
      <c r="BE22" s="16">
        <f>assumptions!$G$102</f>
        <v/>
      </c>
      <c r="BF22" s="16">
        <f>assumptions!$G$102</f>
        <v/>
      </c>
      <c r="BG22" s="16">
        <f>assumptions!$G$102</f>
        <v/>
      </c>
      <c r="BH22" s="16">
        <f>assumptions!$G$102</f>
        <v/>
      </c>
      <c r="BI22" s="16">
        <f>assumptions!$G$102</f>
        <v/>
      </c>
    </row>
    <row r="23">
      <c r="A23" s="5" t="inlineStr">
        <is>
          <t>Performance marketing</t>
        </is>
      </c>
      <c r="B23" s="16">
        <f>assumptions!$G$103</f>
        <v/>
      </c>
      <c r="C23" s="16">
        <f>assumptions!$G$103</f>
        <v/>
      </c>
      <c r="D23" s="16">
        <f>assumptions!$G$103</f>
        <v/>
      </c>
      <c r="E23" s="16">
        <f>assumptions!$G$103</f>
        <v/>
      </c>
      <c r="F23" s="16">
        <f>assumptions!$G$103</f>
        <v/>
      </c>
      <c r="G23" s="16">
        <f>assumptions!$G$103</f>
        <v/>
      </c>
      <c r="H23" s="16">
        <f>assumptions!$G$104</f>
        <v/>
      </c>
      <c r="I23" s="16">
        <f>assumptions!$G$104</f>
        <v/>
      </c>
      <c r="J23" s="16">
        <f>assumptions!$G$104</f>
        <v/>
      </c>
      <c r="K23" s="16">
        <f>assumptions!$G$104</f>
        <v/>
      </c>
      <c r="L23" s="16">
        <f>assumptions!$G$104</f>
        <v/>
      </c>
      <c r="M23" s="16">
        <f>assumptions!$G$104</f>
        <v/>
      </c>
      <c r="N23" s="16">
        <f>assumptions!$G$105</f>
        <v/>
      </c>
      <c r="O23" s="16">
        <f>assumptions!$G$105</f>
        <v/>
      </c>
      <c r="P23" s="16">
        <f>assumptions!$G$105</f>
        <v/>
      </c>
      <c r="Q23" s="16">
        <f>assumptions!$G$105</f>
        <v/>
      </c>
      <c r="R23" s="16">
        <f>assumptions!$G$105</f>
        <v/>
      </c>
      <c r="S23" s="16">
        <f>assumptions!$G$105</f>
        <v/>
      </c>
      <c r="T23" s="16">
        <f>assumptions!$G$105</f>
        <v/>
      </c>
      <c r="U23" s="16">
        <f>assumptions!$G$105</f>
        <v/>
      </c>
      <c r="V23" s="16">
        <f>assumptions!$G$105</f>
        <v/>
      </c>
      <c r="W23" s="16">
        <f>assumptions!$G$105</f>
        <v/>
      </c>
      <c r="X23" s="16">
        <f>assumptions!$G$105</f>
        <v/>
      </c>
      <c r="Y23" s="16">
        <f>assumptions!$G$105</f>
        <v/>
      </c>
      <c r="Z23" s="16">
        <f>assumptions!$G$106</f>
        <v/>
      </c>
      <c r="AA23" s="16">
        <f>assumptions!$G$106</f>
        <v/>
      </c>
      <c r="AB23" s="16">
        <f>assumptions!$G$106</f>
        <v/>
      </c>
      <c r="AC23" s="16">
        <f>assumptions!$G$106</f>
        <v/>
      </c>
      <c r="AD23" s="16">
        <f>assumptions!$G$106</f>
        <v/>
      </c>
      <c r="AE23" s="16">
        <f>assumptions!$G$106</f>
        <v/>
      </c>
      <c r="AF23" s="16">
        <f>assumptions!$G$106</f>
        <v/>
      </c>
      <c r="AG23" s="16">
        <f>assumptions!$G$106</f>
        <v/>
      </c>
      <c r="AH23" s="16">
        <f>assumptions!$G$106</f>
        <v/>
      </c>
      <c r="AI23" s="16">
        <f>assumptions!$G$106</f>
        <v/>
      </c>
      <c r="AJ23" s="16">
        <f>assumptions!$G$106</f>
        <v/>
      </c>
      <c r="AK23" s="16">
        <f>assumptions!$G$106</f>
        <v/>
      </c>
      <c r="AL23" s="16">
        <f>assumptions!$G$107</f>
        <v/>
      </c>
      <c r="AM23" s="16">
        <f>assumptions!$G$107</f>
        <v/>
      </c>
      <c r="AN23" s="16">
        <f>assumptions!$G$107</f>
        <v/>
      </c>
      <c r="AO23" s="16">
        <f>assumptions!$G$107</f>
        <v/>
      </c>
      <c r="AP23" s="16">
        <f>assumptions!$G$107</f>
        <v/>
      </c>
      <c r="AQ23" s="16">
        <f>assumptions!$G$107</f>
        <v/>
      </c>
      <c r="AR23" s="16">
        <f>assumptions!$G$107</f>
        <v/>
      </c>
      <c r="AS23" s="16">
        <f>assumptions!$G$107</f>
        <v/>
      </c>
      <c r="AT23" s="16">
        <f>assumptions!$G$107</f>
        <v/>
      </c>
      <c r="AU23" s="16">
        <f>assumptions!$G$107</f>
        <v/>
      </c>
      <c r="AV23" s="16">
        <f>assumptions!$G$107</f>
        <v/>
      </c>
      <c r="AW23" s="16">
        <f>assumptions!$G$107</f>
        <v/>
      </c>
      <c r="AX23" s="16">
        <f>assumptions!$G$107</f>
        <v/>
      </c>
      <c r="AY23" s="16">
        <f>assumptions!$G$107</f>
        <v/>
      </c>
      <c r="AZ23" s="16">
        <f>assumptions!$G$107</f>
        <v/>
      </c>
      <c r="BA23" s="16">
        <f>assumptions!$G$107</f>
        <v/>
      </c>
      <c r="BB23" s="16">
        <f>assumptions!$G$107</f>
        <v/>
      </c>
      <c r="BC23" s="16">
        <f>assumptions!$G$107</f>
        <v/>
      </c>
      <c r="BD23" s="16">
        <f>assumptions!$G$107</f>
        <v/>
      </c>
      <c r="BE23" s="16">
        <f>assumptions!$G$107</f>
        <v/>
      </c>
      <c r="BF23" s="16">
        <f>assumptions!$G$107</f>
        <v/>
      </c>
      <c r="BG23" s="16">
        <f>assumptions!$G$107</f>
        <v/>
      </c>
      <c r="BH23" s="16">
        <f>assumptions!$G$107</f>
        <v/>
      </c>
      <c r="BI23" s="16">
        <f>assumptions!$G$107</f>
        <v/>
      </c>
    </row>
    <row r="24">
      <c r="A24" s="5" t="inlineStr">
        <is>
          <t>Travel &amp; events</t>
        </is>
      </c>
      <c r="B24" s="16">
        <f>assumptions!$G$108</f>
        <v/>
      </c>
      <c r="C24" s="16">
        <f>assumptions!$G$108</f>
        <v/>
      </c>
      <c r="D24" s="16">
        <f>assumptions!$G$108</f>
        <v/>
      </c>
      <c r="E24" s="16">
        <f>assumptions!$G$108</f>
        <v/>
      </c>
      <c r="F24" s="16">
        <f>assumptions!$G$108</f>
        <v/>
      </c>
      <c r="G24" s="16">
        <f>assumptions!$G$108</f>
        <v/>
      </c>
      <c r="H24" s="16">
        <f>assumptions!$G$109</f>
        <v/>
      </c>
      <c r="I24" s="16">
        <f>assumptions!$G$109</f>
        <v/>
      </c>
      <c r="J24" s="16">
        <f>assumptions!$G$109</f>
        <v/>
      </c>
      <c r="K24" s="16">
        <f>assumptions!$G$109</f>
        <v/>
      </c>
      <c r="L24" s="16">
        <f>assumptions!$G$109</f>
        <v/>
      </c>
      <c r="M24" s="16">
        <f>assumptions!$G$109</f>
        <v/>
      </c>
      <c r="N24" s="16">
        <f>assumptions!$G$110</f>
        <v/>
      </c>
      <c r="O24" s="16">
        <f>assumptions!$G$110</f>
        <v/>
      </c>
      <c r="P24" s="16">
        <f>assumptions!$G$110</f>
        <v/>
      </c>
      <c r="Q24" s="16">
        <f>assumptions!$G$110</f>
        <v/>
      </c>
      <c r="R24" s="16">
        <f>assumptions!$G$110</f>
        <v/>
      </c>
      <c r="S24" s="16">
        <f>assumptions!$G$110</f>
        <v/>
      </c>
      <c r="T24" s="16">
        <f>assumptions!$G$110</f>
        <v/>
      </c>
      <c r="U24" s="16">
        <f>assumptions!$G$110</f>
        <v/>
      </c>
      <c r="V24" s="16">
        <f>assumptions!$G$110</f>
        <v/>
      </c>
      <c r="W24" s="16">
        <f>assumptions!$G$110</f>
        <v/>
      </c>
      <c r="X24" s="16">
        <f>assumptions!$G$110</f>
        <v/>
      </c>
      <c r="Y24" s="16">
        <f>assumptions!$G$110</f>
        <v/>
      </c>
      <c r="Z24" s="16">
        <f>assumptions!$G$111</f>
        <v/>
      </c>
      <c r="AA24" s="16">
        <f>assumptions!$G$111</f>
        <v/>
      </c>
      <c r="AB24" s="16">
        <f>assumptions!$G$111</f>
        <v/>
      </c>
      <c r="AC24" s="16">
        <f>assumptions!$G$111</f>
        <v/>
      </c>
      <c r="AD24" s="16">
        <f>assumptions!$G$111</f>
        <v/>
      </c>
      <c r="AE24" s="16">
        <f>assumptions!$G$111</f>
        <v/>
      </c>
      <c r="AF24" s="16">
        <f>assumptions!$G$111</f>
        <v/>
      </c>
      <c r="AG24" s="16">
        <f>assumptions!$G$111</f>
        <v/>
      </c>
      <c r="AH24" s="16">
        <f>assumptions!$G$111</f>
        <v/>
      </c>
      <c r="AI24" s="16">
        <f>assumptions!$G$111</f>
        <v/>
      </c>
      <c r="AJ24" s="16">
        <f>assumptions!$G$111</f>
        <v/>
      </c>
      <c r="AK24" s="16">
        <f>assumptions!$G$111</f>
        <v/>
      </c>
      <c r="AL24" s="16">
        <f>assumptions!$G$112</f>
        <v/>
      </c>
      <c r="AM24" s="16">
        <f>assumptions!$G$112</f>
        <v/>
      </c>
      <c r="AN24" s="16">
        <f>assumptions!$G$112</f>
        <v/>
      </c>
      <c r="AO24" s="16">
        <f>assumptions!$G$112</f>
        <v/>
      </c>
      <c r="AP24" s="16">
        <f>assumptions!$G$112</f>
        <v/>
      </c>
      <c r="AQ24" s="16">
        <f>assumptions!$G$112</f>
        <v/>
      </c>
      <c r="AR24" s="16">
        <f>assumptions!$G$112</f>
        <v/>
      </c>
      <c r="AS24" s="16">
        <f>assumptions!$G$112</f>
        <v/>
      </c>
      <c r="AT24" s="16">
        <f>assumptions!$G$112</f>
        <v/>
      </c>
      <c r="AU24" s="16">
        <f>assumptions!$G$112</f>
        <v/>
      </c>
      <c r="AV24" s="16">
        <f>assumptions!$G$112</f>
        <v/>
      </c>
      <c r="AW24" s="16">
        <f>assumptions!$G$112</f>
        <v/>
      </c>
      <c r="AX24" s="16">
        <f>assumptions!$G$112</f>
        <v/>
      </c>
      <c r="AY24" s="16">
        <f>assumptions!$G$112</f>
        <v/>
      </c>
      <c r="AZ24" s="16">
        <f>assumptions!$G$112</f>
        <v/>
      </c>
      <c r="BA24" s="16">
        <f>assumptions!$G$112</f>
        <v/>
      </c>
      <c r="BB24" s="16">
        <f>assumptions!$G$112</f>
        <v/>
      </c>
      <c r="BC24" s="16">
        <f>assumptions!$G$112</f>
        <v/>
      </c>
      <c r="BD24" s="16">
        <f>assumptions!$G$112</f>
        <v/>
      </c>
      <c r="BE24" s="16">
        <f>assumptions!$G$112</f>
        <v/>
      </c>
      <c r="BF24" s="16">
        <f>assumptions!$G$112</f>
        <v/>
      </c>
      <c r="BG24" s="16">
        <f>assumptions!$G$112</f>
        <v/>
      </c>
      <c r="BH24" s="16">
        <f>assumptions!$G$112</f>
        <v/>
      </c>
      <c r="BI24" s="16">
        <f>assumptions!$G$112</f>
        <v/>
      </c>
    </row>
    <row r="25">
      <c r="A25" s="5" t="inlineStr">
        <is>
          <t>Creator acquisition spend</t>
        </is>
      </c>
      <c r="B25" s="16">
        <f>assumptions!$G$115</f>
        <v/>
      </c>
      <c r="C25" s="16">
        <f>assumptions!$G$115</f>
        <v/>
      </c>
      <c r="D25" s="16">
        <f>assumptions!$G$115</f>
        <v/>
      </c>
      <c r="E25" s="16">
        <f>assumptions!$G$115</f>
        <v/>
      </c>
      <c r="F25" s="16">
        <f>assumptions!$G$115</f>
        <v/>
      </c>
      <c r="G25" s="16">
        <f>assumptions!$G$115</f>
        <v/>
      </c>
      <c r="H25" s="16">
        <f>assumptions!$G$116</f>
        <v/>
      </c>
      <c r="I25" s="16">
        <f>assumptions!$G$116</f>
        <v/>
      </c>
      <c r="J25" s="16">
        <f>assumptions!$G$116</f>
        <v/>
      </c>
      <c r="K25" s="16">
        <f>assumptions!$G$116</f>
        <v/>
      </c>
      <c r="L25" s="16">
        <f>assumptions!$G$116</f>
        <v/>
      </c>
      <c r="M25" s="16">
        <f>assumptions!$G$116</f>
        <v/>
      </c>
      <c r="N25" s="16">
        <f>assumptions!$G$117</f>
        <v/>
      </c>
      <c r="O25" s="16">
        <f>assumptions!$G$117</f>
        <v/>
      </c>
      <c r="P25" s="16">
        <f>assumptions!$G$117</f>
        <v/>
      </c>
      <c r="Q25" s="16">
        <f>assumptions!$G$117</f>
        <v/>
      </c>
      <c r="R25" s="16">
        <f>assumptions!$G$117</f>
        <v/>
      </c>
      <c r="S25" s="16">
        <f>assumptions!$G$117</f>
        <v/>
      </c>
      <c r="T25" s="16">
        <f>assumptions!$G$117</f>
        <v/>
      </c>
      <c r="U25" s="16">
        <f>assumptions!$G$117</f>
        <v/>
      </c>
      <c r="V25" s="16">
        <f>assumptions!$G$117</f>
        <v/>
      </c>
      <c r="W25" s="16">
        <f>assumptions!$G$117</f>
        <v/>
      </c>
      <c r="X25" s="16">
        <f>assumptions!$G$117</f>
        <v/>
      </c>
      <c r="Y25" s="16">
        <f>assumptions!$G$117</f>
        <v/>
      </c>
      <c r="Z25" s="16">
        <f>assumptions!$G$118</f>
        <v/>
      </c>
      <c r="AA25" s="16">
        <f>assumptions!$G$118</f>
        <v/>
      </c>
      <c r="AB25" s="16">
        <f>assumptions!$G$118</f>
        <v/>
      </c>
      <c r="AC25" s="16">
        <f>assumptions!$G$118</f>
        <v/>
      </c>
      <c r="AD25" s="16">
        <f>assumptions!$G$118</f>
        <v/>
      </c>
      <c r="AE25" s="16">
        <f>assumptions!$G$118</f>
        <v/>
      </c>
      <c r="AF25" s="16">
        <f>assumptions!$G$118</f>
        <v/>
      </c>
      <c r="AG25" s="16">
        <f>assumptions!$G$118</f>
        <v/>
      </c>
      <c r="AH25" s="16">
        <f>assumptions!$G$118</f>
        <v/>
      </c>
      <c r="AI25" s="16">
        <f>assumptions!$G$118</f>
        <v/>
      </c>
      <c r="AJ25" s="16">
        <f>assumptions!$G$118</f>
        <v/>
      </c>
      <c r="AK25" s="16">
        <f>assumptions!$G$118</f>
        <v/>
      </c>
      <c r="AL25" s="16">
        <f>assumptions!$G$119</f>
        <v/>
      </c>
      <c r="AM25" s="16">
        <f>assumptions!$G$119</f>
        <v/>
      </c>
      <c r="AN25" s="16">
        <f>assumptions!$G$119</f>
        <v/>
      </c>
      <c r="AO25" s="16">
        <f>assumptions!$G$119</f>
        <v/>
      </c>
      <c r="AP25" s="16">
        <f>assumptions!$G$119</f>
        <v/>
      </c>
      <c r="AQ25" s="16">
        <f>assumptions!$G$119</f>
        <v/>
      </c>
      <c r="AR25" s="16">
        <f>assumptions!$G$119</f>
        <v/>
      </c>
      <c r="AS25" s="16">
        <f>assumptions!$G$119</f>
        <v/>
      </c>
      <c r="AT25" s="16">
        <f>assumptions!$G$119</f>
        <v/>
      </c>
      <c r="AU25" s="16">
        <f>assumptions!$G$119</f>
        <v/>
      </c>
      <c r="AV25" s="16">
        <f>assumptions!$G$119</f>
        <v/>
      </c>
      <c r="AW25" s="16">
        <f>assumptions!$G$119</f>
        <v/>
      </c>
      <c r="AX25" s="16">
        <f>assumptions!$G$119</f>
        <v/>
      </c>
      <c r="AY25" s="16">
        <f>assumptions!$G$119</f>
        <v/>
      </c>
      <c r="AZ25" s="16">
        <f>assumptions!$G$119</f>
        <v/>
      </c>
      <c r="BA25" s="16">
        <f>assumptions!$G$119</f>
        <v/>
      </c>
      <c r="BB25" s="16">
        <f>assumptions!$G$119</f>
        <v/>
      </c>
      <c r="BC25" s="16">
        <f>assumptions!$G$119</f>
        <v/>
      </c>
      <c r="BD25" s="16">
        <f>assumptions!$G$119</f>
        <v/>
      </c>
      <c r="BE25" s="16">
        <f>assumptions!$G$119</f>
        <v/>
      </c>
      <c r="BF25" s="16">
        <f>assumptions!$G$119</f>
        <v/>
      </c>
      <c r="BG25" s="16">
        <f>assumptions!$G$119</f>
        <v/>
      </c>
      <c r="BH25" s="16">
        <f>assumptions!$G$119</f>
        <v/>
      </c>
      <c r="BI25" s="16">
        <f>assumptions!$G$119</f>
        <v/>
      </c>
    </row>
    <row r="26">
      <c r="A26" s="5" t="inlineStr">
        <is>
          <t>Operator GTM</t>
        </is>
      </c>
      <c r="B26" s="16">
        <f>assumptions!$G$120</f>
        <v/>
      </c>
      <c r="C26" s="16">
        <f>assumptions!$G$120</f>
        <v/>
      </c>
      <c r="D26" s="16">
        <f>assumptions!$G$120</f>
        <v/>
      </c>
      <c r="E26" s="16">
        <f>assumptions!$G$120</f>
        <v/>
      </c>
      <c r="F26" s="16">
        <f>assumptions!$G$120</f>
        <v/>
      </c>
      <c r="G26" s="16">
        <f>assumptions!$G$120</f>
        <v/>
      </c>
      <c r="H26" s="16">
        <f>assumptions!$G$120</f>
        <v/>
      </c>
      <c r="I26" s="16">
        <f>assumptions!$G$120</f>
        <v/>
      </c>
      <c r="J26" s="16">
        <f>assumptions!$G$120</f>
        <v/>
      </c>
      <c r="K26" s="16">
        <f>assumptions!$G$120</f>
        <v/>
      </c>
      <c r="L26" s="16">
        <f>assumptions!$G$120</f>
        <v/>
      </c>
      <c r="M26" s="16">
        <f>assumptions!$G$120</f>
        <v/>
      </c>
      <c r="N26" s="16">
        <f>assumptions!$G$120</f>
        <v/>
      </c>
      <c r="O26" s="16">
        <f>assumptions!$G$120</f>
        <v/>
      </c>
      <c r="P26" s="16">
        <f>assumptions!$G$120</f>
        <v/>
      </c>
      <c r="Q26" s="16">
        <f>assumptions!$G$120</f>
        <v/>
      </c>
      <c r="R26" s="16">
        <f>assumptions!$G$120</f>
        <v/>
      </c>
      <c r="S26" s="16">
        <f>assumptions!$G$120</f>
        <v/>
      </c>
      <c r="T26" s="16">
        <f>assumptions!$G$120</f>
        <v/>
      </c>
      <c r="U26" s="16">
        <f>assumptions!$G$120</f>
        <v/>
      </c>
      <c r="V26" s="16">
        <f>assumptions!$G$120</f>
        <v/>
      </c>
      <c r="W26" s="16">
        <f>assumptions!$G$120</f>
        <v/>
      </c>
      <c r="X26" s="16">
        <f>assumptions!$G$120</f>
        <v/>
      </c>
      <c r="Y26" s="16">
        <f>assumptions!$G$120</f>
        <v/>
      </c>
      <c r="Z26" s="16">
        <f>assumptions!$G$120</f>
        <v/>
      </c>
      <c r="AA26" s="16">
        <f>assumptions!$G$120</f>
        <v/>
      </c>
      <c r="AB26" s="16">
        <f>assumptions!$G$120</f>
        <v/>
      </c>
      <c r="AC26" s="16">
        <f>assumptions!$G$120</f>
        <v/>
      </c>
      <c r="AD26" s="16">
        <f>assumptions!$G$120</f>
        <v/>
      </c>
      <c r="AE26" s="16">
        <f>assumptions!$G$120</f>
        <v/>
      </c>
      <c r="AF26" s="16">
        <f>assumptions!$G$120</f>
        <v/>
      </c>
      <c r="AG26" s="16">
        <f>assumptions!$G$120</f>
        <v/>
      </c>
      <c r="AH26" s="16">
        <f>assumptions!$G$120</f>
        <v/>
      </c>
      <c r="AI26" s="16">
        <f>assumptions!$G$120</f>
        <v/>
      </c>
      <c r="AJ26" s="16">
        <f>assumptions!$G$120</f>
        <v/>
      </c>
      <c r="AK26" s="16">
        <f>assumptions!$G$120</f>
        <v/>
      </c>
      <c r="AL26" s="16">
        <f>assumptions!$G$120</f>
        <v/>
      </c>
      <c r="AM26" s="16">
        <f>assumptions!$G$120</f>
        <v/>
      </c>
      <c r="AN26" s="16">
        <f>assumptions!$G$120</f>
        <v/>
      </c>
      <c r="AO26" s="16">
        <f>assumptions!$G$120</f>
        <v/>
      </c>
      <c r="AP26" s="16">
        <f>assumptions!$G$120</f>
        <v/>
      </c>
      <c r="AQ26" s="16">
        <f>assumptions!$G$120</f>
        <v/>
      </c>
      <c r="AR26" s="16">
        <f>assumptions!$G$120</f>
        <v/>
      </c>
      <c r="AS26" s="16">
        <f>assumptions!$G$120</f>
        <v/>
      </c>
      <c r="AT26" s="16">
        <f>assumptions!$G$120</f>
        <v/>
      </c>
      <c r="AU26" s="16">
        <f>assumptions!$G$120</f>
        <v/>
      </c>
      <c r="AV26" s="16">
        <f>assumptions!$G$120</f>
        <v/>
      </c>
      <c r="AW26" s="16">
        <f>assumptions!$G$120</f>
        <v/>
      </c>
      <c r="AX26" s="16">
        <f>assumptions!$G$120</f>
        <v/>
      </c>
      <c r="AY26" s="16">
        <f>assumptions!$G$120</f>
        <v/>
      </c>
      <c r="AZ26" s="16">
        <f>assumptions!$G$120</f>
        <v/>
      </c>
      <c r="BA26" s="16">
        <f>assumptions!$G$120</f>
        <v/>
      </c>
      <c r="BB26" s="16">
        <f>assumptions!$G$120</f>
        <v/>
      </c>
      <c r="BC26" s="16">
        <f>assumptions!$G$120</f>
        <v/>
      </c>
      <c r="BD26" s="16">
        <f>assumptions!$G$120</f>
        <v/>
      </c>
      <c r="BE26" s="16">
        <f>assumptions!$G$120</f>
        <v/>
      </c>
      <c r="BF26" s="16">
        <f>assumptions!$G$120</f>
        <v/>
      </c>
      <c r="BG26" s="16">
        <f>assumptions!$G$120</f>
        <v/>
      </c>
      <c r="BH26" s="16">
        <f>assumptions!$G$120</f>
        <v/>
      </c>
      <c r="BI26" s="16">
        <f>assumptions!$G$120</f>
        <v/>
      </c>
    </row>
    <row r="27">
      <c r="A27" s="5" t="inlineStr">
        <is>
          <t>Contingency</t>
        </is>
      </c>
      <c r="B27" s="17">
        <f>(B18+B19+B20+B21+B22+B23+B24+B25+B26)*assumptions!$G$113</f>
        <v/>
      </c>
      <c r="C27" s="17">
        <f>(C18+C19+C20+C21+C22+C23+C24+C25+C26)*assumptions!$G$113</f>
        <v/>
      </c>
      <c r="D27" s="17">
        <f>(D18+D19+D20+D21+D22+D23+D24+D25+D26)*assumptions!$G$113</f>
        <v/>
      </c>
      <c r="E27" s="17">
        <f>(E18+E19+E20+E21+E22+E23+E24+E25+E26)*assumptions!$G$113</f>
        <v/>
      </c>
      <c r="F27" s="17">
        <f>(F18+F19+F20+F21+F22+F23+F24+F25+F26)*assumptions!$G$113</f>
        <v/>
      </c>
      <c r="G27" s="17">
        <f>(G18+G19+G20+G21+G22+G23+G24+G25+G26)*assumptions!$G$113</f>
        <v/>
      </c>
      <c r="H27" s="17">
        <f>(H18+H19+H20+H21+H22+H23+H24+H25+H26)*assumptions!$G$113</f>
        <v/>
      </c>
      <c r="I27" s="17">
        <f>(I18+I19+I20+I21+I22+I23+I24+I25+I26)*assumptions!$G$113</f>
        <v/>
      </c>
      <c r="J27" s="17">
        <f>(J18+J19+J20+J21+J22+J23+J24+J25+J26)*assumptions!$G$113</f>
        <v/>
      </c>
      <c r="K27" s="17">
        <f>(K18+K19+K20+K21+K22+K23+K24+K25+K26)*assumptions!$G$113</f>
        <v/>
      </c>
      <c r="L27" s="17">
        <f>(L18+L19+L20+L21+L22+L23+L24+L25+L26)*assumptions!$G$113</f>
        <v/>
      </c>
      <c r="M27" s="17">
        <f>(M18+M19+M20+M21+M22+M23+M24+M25+M26)*assumptions!$G$113</f>
        <v/>
      </c>
      <c r="N27" s="17">
        <f>(N18+N19+N20+N21+N22+N23+N24+N25+N26)*assumptions!$G$113</f>
        <v/>
      </c>
      <c r="O27" s="17">
        <f>(O18+O19+O20+O21+O22+O23+O24+O25+O26)*assumptions!$G$113</f>
        <v/>
      </c>
      <c r="P27" s="17">
        <f>(P18+P19+P20+P21+P22+P23+P24+P25+P26)*assumptions!$G$113</f>
        <v/>
      </c>
      <c r="Q27" s="17">
        <f>(Q18+Q19+Q20+Q21+Q22+Q23+Q24+Q25+Q26)*assumptions!$G$113</f>
        <v/>
      </c>
      <c r="R27" s="17">
        <f>(R18+R19+R20+R21+R22+R23+R24+R25+R26)*assumptions!$G$113</f>
        <v/>
      </c>
      <c r="S27" s="17">
        <f>(S18+S19+S20+S21+S22+S23+S24+S25+S26)*assumptions!$G$113</f>
        <v/>
      </c>
      <c r="T27" s="17">
        <f>(T18+T19+T20+T21+T22+T23+T24+T25+T26)*assumptions!$G$113</f>
        <v/>
      </c>
      <c r="U27" s="17">
        <f>(U18+U19+U20+U21+U22+U23+U24+U25+U26)*assumptions!$G$113</f>
        <v/>
      </c>
      <c r="V27" s="17">
        <f>(V18+V19+V20+V21+V22+V23+V24+V25+V26)*assumptions!$G$113</f>
        <v/>
      </c>
      <c r="W27" s="17">
        <f>(W18+W19+W20+W21+W22+W23+W24+W25+W26)*assumptions!$G$113</f>
        <v/>
      </c>
      <c r="X27" s="17">
        <f>(X18+X19+X20+X21+X22+X23+X24+X25+X26)*assumptions!$G$113</f>
        <v/>
      </c>
      <c r="Y27" s="17">
        <f>(Y18+Y19+Y20+Y21+Y22+Y23+Y24+Y25+Y26)*assumptions!$G$113</f>
        <v/>
      </c>
      <c r="Z27" s="17">
        <f>(Z18+Z19+Z20+Z21+Z22+Z23+Z24+Z25+Z26)*assumptions!$G$113</f>
        <v/>
      </c>
      <c r="AA27" s="17">
        <f>(AA18+AA19+AA20+AA21+AA22+AA23+AA24+AA25+AA26)*assumptions!$G$113</f>
        <v/>
      </c>
      <c r="AB27" s="17">
        <f>(AB18+AB19+AB20+AB21+AB22+AB23+AB24+AB25+AB26)*assumptions!$G$113</f>
        <v/>
      </c>
      <c r="AC27" s="17">
        <f>(AC18+AC19+AC20+AC21+AC22+AC23+AC24+AC25+AC26)*assumptions!$G$113</f>
        <v/>
      </c>
      <c r="AD27" s="17">
        <f>(AD18+AD19+AD20+AD21+AD22+AD23+AD24+AD25+AD26)*assumptions!$G$113</f>
        <v/>
      </c>
      <c r="AE27" s="17">
        <f>(AE18+AE19+AE20+AE21+AE22+AE23+AE24+AE25+AE26)*assumptions!$G$113</f>
        <v/>
      </c>
      <c r="AF27" s="17">
        <f>(AF18+AF19+AF20+AF21+AF22+AF23+AF24+AF25+AF26)*assumptions!$G$113</f>
        <v/>
      </c>
      <c r="AG27" s="17">
        <f>(AG18+AG19+AG20+AG21+AG22+AG23+AG24+AG25+AG26)*assumptions!$G$113</f>
        <v/>
      </c>
      <c r="AH27" s="17">
        <f>(AH18+AH19+AH20+AH21+AH22+AH23+AH24+AH25+AH26)*assumptions!$G$113</f>
        <v/>
      </c>
      <c r="AI27" s="17">
        <f>(AI18+AI19+AI20+AI21+AI22+AI23+AI24+AI25+AI26)*assumptions!$G$113</f>
        <v/>
      </c>
      <c r="AJ27" s="17">
        <f>(AJ18+AJ19+AJ20+AJ21+AJ22+AJ23+AJ24+AJ25+AJ26)*assumptions!$G$113</f>
        <v/>
      </c>
      <c r="AK27" s="17">
        <f>(AK18+AK19+AK20+AK21+AK22+AK23+AK24+AK25+AK26)*assumptions!$G$113</f>
        <v/>
      </c>
      <c r="AL27" s="17">
        <f>(AL18+AL19+AL20+AL21+AL22+AL23+AL24+AL25+AL26)*assumptions!$G$113</f>
        <v/>
      </c>
      <c r="AM27" s="17">
        <f>(AM18+AM19+AM20+AM21+AM22+AM23+AM24+AM25+AM26)*assumptions!$G$113</f>
        <v/>
      </c>
      <c r="AN27" s="17">
        <f>(AN18+AN19+AN20+AN21+AN22+AN23+AN24+AN25+AN26)*assumptions!$G$113</f>
        <v/>
      </c>
      <c r="AO27" s="17">
        <f>(AO18+AO19+AO20+AO21+AO22+AO23+AO24+AO25+AO26)*assumptions!$G$113</f>
        <v/>
      </c>
      <c r="AP27" s="17">
        <f>(AP18+AP19+AP20+AP21+AP22+AP23+AP24+AP25+AP26)*assumptions!$G$113</f>
        <v/>
      </c>
      <c r="AQ27" s="17">
        <f>(AQ18+AQ19+AQ20+AQ21+AQ22+AQ23+AQ24+AQ25+AQ26)*assumptions!$G$113</f>
        <v/>
      </c>
      <c r="AR27" s="17">
        <f>(AR18+AR19+AR20+AR21+AR22+AR23+AR24+AR25+AR26)*assumptions!$G$113</f>
        <v/>
      </c>
      <c r="AS27" s="17">
        <f>(AS18+AS19+AS20+AS21+AS22+AS23+AS24+AS25+AS26)*assumptions!$G$113</f>
        <v/>
      </c>
      <c r="AT27" s="17">
        <f>(AT18+AT19+AT20+AT21+AT22+AT23+AT24+AT25+AT26)*assumptions!$G$113</f>
        <v/>
      </c>
      <c r="AU27" s="17">
        <f>(AU18+AU19+AU20+AU21+AU22+AU23+AU24+AU25+AU26)*assumptions!$G$113</f>
        <v/>
      </c>
      <c r="AV27" s="17">
        <f>(AV18+AV19+AV20+AV21+AV22+AV23+AV24+AV25+AV26)*assumptions!$G$113</f>
        <v/>
      </c>
      <c r="AW27" s="17">
        <f>(AW18+AW19+AW20+AW21+AW22+AW23+AW24+AW25+AW26)*assumptions!$G$113</f>
        <v/>
      </c>
      <c r="AX27" s="17">
        <f>(AX18+AX19+AX20+AX21+AX22+AX23+AX24+AX25+AX26)*assumptions!$G$113</f>
        <v/>
      </c>
      <c r="AY27" s="17">
        <f>(AY18+AY19+AY20+AY21+AY22+AY23+AY24+AY25+AY26)*assumptions!$G$113</f>
        <v/>
      </c>
      <c r="AZ27" s="17">
        <f>(AZ18+AZ19+AZ20+AZ21+AZ22+AZ23+AZ24+AZ25+AZ26)*assumptions!$G$113</f>
        <v/>
      </c>
      <c r="BA27" s="17">
        <f>(BA18+BA19+BA20+BA21+BA22+BA23+BA24+BA25+BA26)*assumptions!$G$113</f>
        <v/>
      </c>
      <c r="BB27" s="17">
        <f>(BB18+BB19+BB20+BB21+BB22+BB23+BB24+BB25+BB26)*assumptions!$G$113</f>
        <v/>
      </c>
      <c r="BC27" s="17">
        <f>(BC18+BC19+BC20+BC21+BC22+BC23+BC24+BC25+BC26)*assumptions!$G$113</f>
        <v/>
      </c>
      <c r="BD27" s="17">
        <f>(BD18+BD19+BD20+BD21+BD22+BD23+BD24+BD25+BD26)*assumptions!$G$113</f>
        <v/>
      </c>
      <c r="BE27" s="17">
        <f>(BE18+BE19+BE20+BE21+BE22+BE23+BE24+BE25+BE26)*assumptions!$G$113</f>
        <v/>
      </c>
      <c r="BF27" s="17">
        <f>(BF18+BF19+BF20+BF21+BF22+BF23+BF24+BF25+BF26)*assumptions!$G$113</f>
        <v/>
      </c>
      <c r="BG27" s="17">
        <f>(BG18+BG19+BG20+BG21+BG22+BG23+BG24+BG25+BG26)*assumptions!$G$113</f>
        <v/>
      </c>
      <c r="BH27" s="17">
        <f>(BH18+BH19+BH20+BH21+BH22+BH23+BH24+BH25+BH26)*assumptions!$G$113</f>
        <v/>
      </c>
      <c r="BI27" s="17">
        <f>(BI18+BI19+BI20+BI21+BI22+BI23+BI24+BI25+BI26)*assumptions!$G$113</f>
        <v/>
      </c>
    </row>
    <row r="28">
      <c r="A28" s="1" t="inlineStr">
        <is>
          <t>Total OpEx</t>
        </is>
      </c>
      <c r="B28" s="38">
        <f>SUM(B17:B27)</f>
        <v/>
      </c>
      <c r="C28" s="38">
        <f>SUM(C17:C27)</f>
        <v/>
      </c>
      <c r="D28" s="38">
        <f>SUM(D17:D27)</f>
        <v/>
      </c>
      <c r="E28" s="38">
        <f>SUM(E17:E27)</f>
        <v/>
      </c>
      <c r="F28" s="38">
        <f>SUM(F17:F27)</f>
        <v/>
      </c>
      <c r="G28" s="38">
        <f>SUM(G17:G27)</f>
        <v/>
      </c>
      <c r="H28" s="38">
        <f>SUM(H17:H27)</f>
        <v/>
      </c>
      <c r="I28" s="38">
        <f>SUM(I17:I27)</f>
        <v/>
      </c>
      <c r="J28" s="38">
        <f>SUM(J17:J27)</f>
        <v/>
      </c>
      <c r="K28" s="38">
        <f>SUM(K17:K27)</f>
        <v/>
      </c>
      <c r="L28" s="38">
        <f>SUM(L17:L27)</f>
        <v/>
      </c>
      <c r="M28" s="38">
        <f>SUM(M17:M27)</f>
        <v/>
      </c>
      <c r="N28" s="38">
        <f>SUM(N17:N27)</f>
        <v/>
      </c>
      <c r="O28" s="38">
        <f>SUM(O17:O27)</f>
        <v/>
      </c>
      <c r="P28" s="38">
        <f>SUM(P17:P27)</f>
        <v/>
      </c>
      <c r="Q28" s="38">
        <f>SUM(Q17:Q27)</f>
        <v/>
      </c>
      <c r="R28" s="38">
        <f>SUM(R17:R27)</f>
        <v/>
      </c>
      <c r="S28" s="38">
        <f>SUM(S17:S27)</f>
        <v/>
      </c>
      <c r="T28" s="38">
        <f>SUM(T17:T27)</f>
        <v/>
      </c>
      <c r="U28" s="38">
        <f>SUM(U17:U27)</f>
        <v/>
      </c>
      <c r="V28" s="38">
        <f>SUM(V17:V27)</f>
        <v/>
      </c>
      <c r="W28" s="38">
        <f>SUM(W17:W27)</f>
        <v/>
      </c>
      <c r="X28" s="38">
        <f>SUM(X17:X27)</f>
        <v/>
      </c>
      <c r="Y28" s="38">
        <f>SUM(Y17:Y27)</f>
        <v/>
      </c>
      <c r="Z28" s="38">
        <f>SUM(Z17:Z27)</f>
        <v/>
      </c>
      <c r="AA28" s="38">
        <f>SUM(AA17:AA27)</f>
        <v/>
      </c>
      <c r="AB28" s="38">
        <f>SUM(AB17:AB27)</f>
        <v/>
      </c>
      <c r="AC28" s="38">
        <f>SUM(AC17:AC27)</f>
        <v/>
      </c>
      <c r="AD28" s="38">
        <f>SUM(AD17:AD27)</f>
        <v/>
      </c>
      <c r="AE28" s="38">
        <f>SUM(AE17:AE27)</f>
        <v/>
      </c>
      <c r="AF28" s="38">
        <f>SUM(AF17:AF27)</f>
        <v/>
      </c>
      <c r="AG28" s="38">
        <f>SUM(AG17:AG27)</f>
        <v/>
      </c>
      <c r="AH28" s="38">
        <f>SUM(AH17:AH27)</f>
        <v/>
      </c>
      <c r="AI28" s="38">
        <f>SUM(AI17:AI27)</f>
        <v/>
      </c>
      <c r="AJ28" s="38">
        <f>SUM(AJ17:AJ27)</f>
        <v/>
      </c>
      <c r="AK28" s="38">
        <f>SUM(AK17:AK27)</f>
        <v/>
      </c>
      <c r="AL28" s="38">
        <f>SUM(AL17:AL27)</f>
        <v/>
      </c>
      <c r="AM28" s="38">
        <f>SUM(AM17:AM27)</f>
        <v/>
      </c>
      <c r="AN28" s="38">
        <f>SUM(AN17:AN27)</f>
        <v/>
      </c>
      <c r="AO28" s="38">
        <f>SUM(AO17:AO27)</f>
        <v/>
      </c>
      <c r="AP28" s="38">
        <f>SUM(AP17:AP27)</f>
        <v/>
      </c>
      <c r="AQ28" s="38">
        <f>SUM(AQ17:AQ27)</f>
        <v/>
      </c>
      <c r="AR28" s="38">
        <f>SUM(AR17:AR27)</f>
        <v/>
      </c>
      <c r="AS28" s="38">
        <f>SUM(AS17:AS27)</f>
        <v/>
      </c>
      <c r="AT28" s="38">
        <f>SUM(AT17:AT27)</f>
        <v/>
      </c>
      <c r="AU28" s="38">
        <f>SUM(AU17:AU27)</f>
        <v/>
      </c>
      <c r="AV28" s="38">
        <f>SUM(AV17:AV27)</f>
        <v/>
      </c>
      <c r="AW28" s="38">
        <f>SUM(AW17:AW27)</f>
        <v/>
      </c>
      <c r="AX28" s="38">
        <f>SUM(AX17:AX27)</f>
        <v/>
      </c>
      <c r="AY28" s="38">
        <f>SUM(AY17:AY27)</f>
        <v/>
      </c>
      <c r="AZ28" s="38">
        <f>SUM(AZ17:AZ27)</f>
        <v/>
      </c>
      <c r="BA28" s="38">
        <f>SUM(BA17:BA27)</f>
        <v/>
      </c>
      <c r="BB28" s="38">
        <f>SUM(BB17:BB27)</f>
        <v/>
      </c>
      <c r="BC28" s="38">
        <f>SUM(BC17:BC27)</f>
        <v/>
      </c>
      <c r="BD28" s="38">
        <f>SUM(BD17:BD27)</f>
        <v/>
      </c>
      <c r="BE28" s="38">
        <f>SUM(BE17:BE27)</f>
        <v/>
      </c>
      <c r="BF28" s="38">
        <f>SUM(BF17:BF27)</f>
        <v/>
      </c>
      <c r="BG28" s="38">
        <f>SUM(BG17:BG27)</f>
        <v/>
      </c>
      <c r="BH28" s="38">
        <f>SUM(BH17:BH27)</f>
        <v/>
      </c>
      <c r="BI28" s="38">
        <f>SUM(BI17:BI27)</f>
        <v/>
      </c>
    </row>
    <row r="30">
      <c r="A30" s="34" t="inlineStr">
        <is>
          <t>Profitability</t>
        </is>
      </c>
    </row>
    <row r="31">
      <c r="A31" s="1" t="inlineStr">
        <is>
          <t>EBITDA</t>
        </is>
      </c>
      <c r="B31" s="40">
        <f>B13-B28</f>
        <v/>
      </c>
      <c r="C31" s="40">
        <f>C13-C28</f>
        <v/>
      </c>
      <c r="D31" s="40">
        <f>D13-D28</f>
        <v/>
      </c>
      <c r="E31" s="40">
        <f>E13-E28</f>
        <v/>
      </c>
      <c r="F31" s="40">
        <f>F13-F28</f>
        <v/>
      </c>
      <c r="G31" s="40">
        <f>G13-G28</f>
        <v/>
      </c>
      <c r="H31" s="40">
        <f>H13-H28</f>
        <v/>
      </c>
      <c r="I31" s="40">
        <f>I13-I28</f>
        <v/>
      </c>
      <c r="J31" s="40">
        <f>J13-J28</f>
        <v/>
      </c>
      <c r="K31" s="40">
        <f>K13-K28</f>
        <v/>
      </c>
      <c r="L31" s="40">
        <f>L13-L28</f>
        <v/>
      </c>
      <c r="M31" s="40">
        <f>M13-M28</f>
        <v/>
      </c>
      <c r="N31" s="40">
        <f>N13-N28</f>
        <v/>
      </c>
      <c r="O31" s="40">
        <f>O13-O28</f>
        <v/>
      </c>
      <c r="P31" s="40">
        <f>P13-P28</f>
        <v/>
      </c>
      <c r="Q31" s="40">
        <f>Q13-Q28</f>
        <v/>
      </c>
      <c r="R31" s="40">
        <f>R13-R28</f>
        <v/>
      </c>
      <c r="S31" s="40">
        <f>S13-S28</f>
        <v/>
      </c>
      <c r="T31" s="40">
        <f>T13-T28</f>
        <v/>
      </c>
      <c r="U31" s="40">
        <f>U13-U28</f>
        <v/>
      </c>
      <c r="V31" s="40">
        <f>V13-V28</f>
        <v/>
      </c>
      <c r="W31" s="40">
        <f>W13-W28</f>
        <v/>
      </c>
      <c r="X31" s="40">
        <f>X13-X28</f>
        <v/>
      </c>
      <c r="Y31" s="40">
        <f>Y13-Y28</f>
        <v/>
      </c>
      <c r="Z31" s="40">
        <f>Z13-Z28</f>
        <v/>
      </c>
      <c r="AA31" s="40">
        <f>AA13-AA28</f>
        <v/>
      </c>
      <c r="AB31" s="40">
        <f>AB13-AB28</f>
        <v/>
      </c>
      <c r="AC31" s="40">
        <f>AC13-AC28</f>
        <v/>
      </c>
      <c r="AD31" s="40">
        <f>AD13-AD28</f>
        <v/>
      </c>
      <c r="AE31" s="40">
        <f>AE13-AE28</f>
        <v/>
      </c>
      <c r="AF31" s="40">
        <f>AF13-AF28</f>
        <v/>
      </c>
      <c r="AG31" s="40">
        <f>AG13-AG28</f>
        <v/>
      </c>
      <c r="AH31" s="40">
        <f>AH13-AH28</f>
        <v/>
      </c>
      <c r="AI31" s="40">
        <f>AI13-AI28</f>
        <v/>
      </c>
      <c r="AJ31" s="40">
        <f>AJ13-AJ28</f>
        <v/>
      </c>
      <c r="AK31" s="40">
        <f>AK13-AK28</f>
        <v/>
      </c>
      <c r="AL31" s="40">
        <f>AL13-AL28</f>
        <v/>
      </c>
      <c r="AM31" s="40">
        <f>AM13-AM28</f>
        <v/>
      </c>
      <c r="AN31" s="40">
        <f>AN13-AN28</f>
        <v/>
      </c>
      <c r="AO31" s="40">
        <f>AO13-AO28</f>
        <v/>
      </c>
      <c r="AP31" s="40">
        <f>AP13-AP28</f>
        <v/>
      </c>
      <c r="AQ31" s="40">
        <f>AQ13-AQ28</f>
        <v/>
      </c>
      <c r="AR31" s="40">
        <f>AR13-AR28</f>
        <v/>
      </c>
      <c r="AS31" s="40">
        <f>AS13-AS28</f>
        <v/>
      </c>
      <c r="AT31" s="40">
        <f>AT13-AT28</f>
        <v/>
      </c>
      <c r="AU31" s="40">
        <f>AU13-AU28</f>
        <v/>
      </c>
      <c r="AV31" s="40">
        <f>AV13-AV28</f>
        <v/>
      </c>
      <c r="AW31" s="40">
        <f>AW13-AW28</f>
        <v/>
      </c>
      <c r="AX31" s="40">
        <f>AX13-AX28</f>
        <v/>
      </c>
      <c r="AY31" s="40">
        <f>AY13-AY28</f>
        <v/>
      </c>
      <c r="AZ31" s="40">
        <f>AZ13-AZ28</f>
        <v/>
      </c>
      <c r="BA31" s="40">
        <f>BA13-BA28</f>
        <v/>
      </c>
      <c r="BB31" s="40">
        <f>BB13-BB28</f>
        <v/>
      </c>
      <c r="BC31" s="40">
        <f>BC13-BC28</f>
        <v/>
      </c>
      <c r="BD31" s="40">
        <f>BD13-BD28</f>
        <v/>
      </c>
      <c r="BE31" s="40">
        <f>BE13-BE28</f>
        <v/>
      </c>
      <c r="BF31" s="40">
        <f>BF13-BF28</f>
        <v/>
      </c>
      <c r="BG31" s="40">
        <f>BG13-BG28</f>
        <v/>
      </c>
      <c r="BH31" s="40">
        <f>BH13-BH28</f>
        <v/>
      </c>
      <c r="BI31" s="40">
        <f>BI13-BI28</f>
        <v/>
      </c>
    </row>
    <row r="32">
      <c r="A32" s="5" t="inlineStr">
        <is>
          <t>EBITDA margin %</t>
        </is>
      </c>
      <c r="B32" s="39">
        <f>IFERROR(B31/B5,0)</f>
        <v/>
      </c>
      <c r="C32" s="39">
        <f>IFERROR(C31/C5,0)</f>
        <v/>
      </c>
      <c r="D32" s="39">
        <f>IFERROR(D31/D5,0)</f>
        <v/>
      </c>
      <c r="E32" s="39">
        <f>IFERROR(E31/E5,0)</f>
        <v/>
      </c>
      <c r="F32" s="39">
        <f>IFERROR(F31/F5,0)</f>
        <v/>
      </c>
      <c r="G32" s="39">
        <f>IFERROR(G31/G5,0)</f>
        <v/>
      </c>
      <c r="H32" s="39">
        <f>IFERROR(H31/H5,0)</f>
        <v/>
      </c>
      <c r="I32" s="39">
        <f>IFERROR(I31/I5,0)</f>
        <v/>
      </c>
      <c r="J32" s="39">
        <f>IFERROR(J31/J5,0)</f>
        <v/>
      </c>
      <c r="K32" s="39">
        <f>IFERROR(K31/K5,0)</f>
        <v/>
      </c>
      <c r="L32" s="39">
        <f>IFERROR(L31/L5,0)</f>
        <v/>
      </c>
      <c r="M32" s="39">
        <f>IFERROR(M31/M5,0)</f>
        <v/>
      </c>
      <c r="N32" s="39">
        <f>IFERROR(N31/N5,0)</f>
        <v/>
      </c>
      <c r="O32" s="39">
        <f>IFERROR(O31/O5,0)</f>
        <v/>
      </c>
      <c r="P32" s="39">
        <f>IFERROR(P31/P5,0)</f>
        <v/>
      </c>
      <c r="Q32" s="39">
        <f>IFERROR(Q31/Q5,0)</f>
        <v/>
      </c>
      <c r="R32" s="39">
        <f>IFERROR(R31/R5,0)</f>
        <v/>
      </c>
      <c r="S32" s="39">
        <f>IFERROR(S31/S5,0)</f>
        <v/>
      </c>
      <c r="T32" s="39">
        <f>IFERROR(T31/T5,0)</f>
        <v/>
      </c>
      <c r="U32" s="39">
        <f>IFERROR(U31/U5,0)</f>
        <v/>
      </c>
      <c r="V32" s="39">
        <f>IFERROR(V31/V5,0)</f>
        <v/>
      </c>
      <c r="W32" s="39">
        <f>IFERROR(W31/W5,0)</f>
        <v/>
      </c>
      <c r="X32" s="39">
        <f>IFERROR(X31/X5,0)</f>
        <v/>
      </c>
      <c r="Y32" s="39">
        <f>IFERROR(Y31/Y5,0)</f>
        <v/>
      </c>
      <c r="Z32" s="39">
        <f>IFERROR(Z31/Z5,0)</f>
        <v/>
      </c>
      <c r="AA32" s="39">
        <f>IFERROR(AA31/AA5,0)</f>
        <v/>
      </c>
      <c r="AB32" s="39">
        <f>IFERROR(AB31/AB5,0)</f>
        <v/>
      </c>
      <c r="AC32" s="39">
        <f>IFERROR(AC31/AC5,0)</f>
        <v/>
      </c>
      <c r="AD32" s="39">
        <f>IFERROR(AD31/AD5,0)</f>
        <v/>
      </c>
      <c r="AE32" s="39">
        <f>IFERROR(AE31/AE5,0)</f>
        <v/>
      </c>
      <c r="AF32" s="39">
        <f>IFERROR(AF31/AF5,0)</f>
        <v/>
      </c>
      <c r="AG32" s="39">
        <f>IFERROR(AG31/AG5,0)</f>
        <v/>
      </c>
      <c r="AH32" s="39">
        <f>IFERROR(AH31/AH5,0)</f>
        <v/>
      </c>
      <c r="AI32" s="39">
        <f>IFERROR(AI31/AI5,0)</f>
        <v/>
      </c>
      <c r="AJ32" s="39">
        <f>IFERROR(AJ31/AJ5,0)</f>
        <v/>
      </c>
      <c r="AK32" s="39">
        <f>IFERROR(AK31/AK5,0)</f>
        <v/>
      </c>
      <c r="AL32" s="39">
        <f>IFERROR(AL31/AL5,0)</f>
        <v/>
      </c>
      <c r="AM32" s="39">
        <f>IFERROR(AM31/AM5,0)</f>
        <v/>
      </c>
      <c r="AN32" s="39">
        <f>IFERROR(AN31/AN5,0)</f>
        <v/>
      </c>
      <c r="AO32" s="39">
        <f>IFERROR(AO31/AO5,0)</f>
        <v/>
      </c>
      <c r="AP32" s="39">
        <f>IFERROR(AP31/AP5,0)</f>
        <v/>
      </c>
      <c r="AQ32" s="39">
        <f>IFERROR(AQ31/AQ5,0)</f>
        <v/>
      </c>
      <c r="AR32" s="39">
        <f>IFERROR(AR31/AR5,0)</f>
        <v/>
      </c>
      <c r="AS32" s="39">
        <f>IFERROR(AS31/AS5,0)</f>
        <v/>
      </c>
      <c r="AT32" s="39">
        <f>IFERROR(AT31/AT5,0)</f>
        <v/>
      </c>
      <c r="AU32" s="39">
        <f>IFERROR(AU31/AU5,0)</f>
        <v/>
      </c>
      <c r="AV32" s="39">
        <f>IFERROR(AV31/AV5,0)</f>
        <v/>
      </c>
      <c r="AW32" s="39">
        <f>IFERROR(AW31/AW5,0)</f>
        <v/>
      </c>
      <c r="AX32" s="39">
        <f>IFERROR(AX31/AX5,0)</f>
        <v/>
      </c>
      <c r="AY32" s="39">
        <f>IFERROR(AY31/AY5,0)</f>
        <v/>
      </c>
      <c r="AZ32" s="39">
        <f>IFERROR(AZ31/AZ5,0)</f>
        <v/>
      </c>
      <c r="BA32" s="39">
        <f>IFERROR(BA31/BA5,0)</f>
        <v/>
      </c>
      <c r="BB32" s="39">
        <f>IFERROR(BB31/BB5,0)</f>
        <v/>
      </c>
      <c r="BC32" s="39">
        <f>IFERROR(BC31/BC5,0)</f>
        <v/>
      </c>
      <c r="BD32" s="39">
        <f>IFERROR(BD31/BD5,0)</f>
        <v/>
      </c>
      <c r="BE32" s="39">
        <f>IFERROR(BE31/BE5,0)</f>
        <v/>
      </c>
      <c r="BF32" s="39">
        <f>IFERROR(BF31/BF5,0)</f>
        <v/>
      </c>
      <c r="BG32" s="39">
        <f>IFERROR(BG31/BG5,0)</f>
        <v/>
      </c>
      <c r="BH32" s="39">
        <f>IFERROR(BH31/BH5,0)</f>
        <v/>
      </c>
      <c r="BI32" s="39">
        <f>IFERROR(BI31/BI5,0)</f>
        <v/>
      </c>
    </row>
    <row r="33">
      <c r="A33" s="5" t="inlineStr">
        <is>
          <t>Cumulative EBITDA</t>
        </is>
      </c>
      <c r="B33" s="17">
        <f>B31</f>
        <v/>
      </c>
      <c r="C33" s="17">
        <f>B33+C31</f>
        <v/>
      </c>
      <c r="D33" s="17">
        <f>C33+D31</f>
        <v/>
      </c>
      <c r="E33" s="17">
        <f>D33+E31</f>
        <v/>
      </c>
      <c r="F33" s="17">
        <f>E33+F31</f>
        <v/>
      </c>
      <c r="G33" s="17">
        <f>F33+G31</f>
        <v/>
      </c>
      <c r="H33" s="17">
        <f>G33+H31</f>
        <v/>
      </c>
      <c r="I33" s="17">
        <f>H33+I31</f>
        <v/>
      </c>
      <c r="J33" s="17">
        <f>I33+J31</f>
        <v/>
      </c>
      <c r="K33" s="17">
        <f>J33+K31</f>
        <v/>
      </c>
      <c r="L33" s="17">
        <f>K33+L31</f>
        <v/>
      </c>
      <c r="M33" s="17">
        <f>L33+M31</f>
        <v/>
      </c>
      <c r="N33" s="17">
        <f>M33+N31</f>
        <v/>
      </c>
      <c r="O33" s="17">
        <f>N33+O31</f>
        <v/>
      </c>
      <c r="P33" s="17">
        <f>O33+P31</f>
        <v/>
      </c>
      <c r="Q33" s="17">
        <f>P33+Q31</f>
        <v/>
      </c>
      <c r="R33" s="17">
        <f>Q33+R31</f>
        <v/>
      </c>
      <c r="S33" s="17">
        <f>R33+S31</f>
        <v/>
      </c>
      <c r="T33" s="17">
        <f>S33+T31</f>
        <v/>
      </c>
      <c r="U33" s="17">
        <f>T33+U31</f>
        <v/>
      </c>
      <c r="V33" s="17">
        <f>U33+V31</f>
        <v/>
      </c>
      <c r="W33" s="17">
        <f>V33+W31</f>
        <v/>
      </c>
      <c r="X33" s="17">
        <f>W33+X31</f>
        <v/>
      </c>
      <c r="Y33" s="17">
        <f>X33+Y31</f>
        <v/>
      </c>
      <c r="Z33" s="17">
        <f>Y33+Z31</f>
        <v/>
      </c>
      <c r="AA33" s="17">
        <f>Z33+AA31</f>
        <v/>
      </c>
      <c r="AB33" s="17">
        <f>AA33+AB31</f>
        <v/>
      </c>
      <c r="AC33" s="17">
        <f>AB33+AC31</f>
        <v/>
      </c>
      <c r="AD33" s="17">
        <f>AC33+AD31</f>
        <v/>
      </c>
      <c r="AE33" s="17">
        <f>AD33+AE31</f>
        <v/>
      </c>
      <c r="AF33" s="17">
        <f>AE33+AF31</f>
        <v/>
      </c>
      <c r="AG33" s="17">
        <f>AF33+AG31</f>
        <v/>
      </c>
      <c r="AH33" s="17">
        <f>AG33+AH31</f>
        <v/>
      </c>
      <c r="AI33" s="17">
        <f>AH33+AI31</f>
        <v/>
      </c>
      <c r="AJ33" s="17">
        <f>AI33+AJ31</f>
        <v/>
      </c>
      <c r="AK33" s="17">
        <f>AJ33+AK31</f>
        <v/>
      </c>
      <c r="AL33" s="17">
        <f>AK33+AL31</f>
        <v/>
      </c>
      <c r="AM33" s="17">
        <f>AL33+AM31</f>
        <v/>
      </c>
      <c r="AN33" s="17">
        <f>AM33+AN31</f>
        <v/>
      </c>
      <c r="AO33" s="17">
        <f>AN33+AO31</f>
        <v/>
      </c>
      <c r="AP33" s="17">
        <f>AO33+AP31</f>
        <v/>
      </c>
      <c r="AQ33" s="17">
        <f>AP33+AQ31</f>
        <v/>
      </c>
      <c r="AR33" s="17">
        <f>AQ33+AR31</f>
        <v/>
      </c>
      <c r="AS33" s="17">
        <f>AR33+AS31</f>
        <v/>
      </c>
      <c r="AT33" s="17">
        <f>AS33+AT31</f>
        <v/>
      </c>
      <c r="AU33" s="17">
        <f>AT33+AU31</f>
        <v/>
      </c>
      <c r="AV33" s="17">
        <f>AU33+AV31</f>
        <v/>
      </c>
      <c r="AW33" s="17">
        <f>AV33+AW31</f>
        <v/>
      </c>
      <c r="AX33" s="17">
        <f>AW33+AX31</f>
        <v/>
      </c>
      <c r="AY33" s="17">
        <f>AX33+AY31</f>
        <v/>
      </c>
      <c r="AZ33" s="17">
        <f>AY33+AZ31</f>
        <v/>
      </c>
      <c r="BA33" s="17">
        <f>AZ33+BA31</f>
        <v/>
      </c>
      <c r="BB33" s="17">
        <f>BA33+BB31</f>
        <v/>
      </c>
      <c r="BC33" s="17">
        <f>BB33+BC31</f>
        <v/>
      </c>
      <c r="BD33" s="17">
        <f>BC33+BD31</f>
        <v/>
      </c>
      <c r="BE33" s="17">
        <f>BD33+BE31</f>
        <v/>
      </c>
      <c r="BF33" s="17">
        <f>BE33+BF31</f>
        <v/>
      </c>
      <c r="BG33" s="17">
        <f>BF33+BG31</f>
        <v/>
      </c>
      <c r="BH33" s="17">
        <f>BG33+BH31</f>
        <v/>
      </c>
      <c r="BI33" s="17">
        <f>BH33+BI31</f>
        <v/>
      </c>
    </row>
    <row r="35">
      <c r="A35" s="34" t="inlineStr">
        <is>
          <t>Cash flow</t>
        </is>
      </c>
    </row>
    <row r="36">
      <c r="A36" s="5" t="inlineStr">
        <is>
          <t>Equity raise (in-month)</t>
        </is>
      </c>
      <c r="B36" s="17">
        <f>IF(1=assumptions!$G$124,assumptions!$G$123,0)+IF(1=assumptions!$G$126,assumptions!$G$125,0)+IF(1=assumptions!$G$128,assumptions!$G$127,0)</f>
        <v/>
      </c>
      <c r="C36" s="17">
        <f>IF(2=assumptions!$G$124,assumptions!$G$123,0)+IF(2=assumptions!$G$126,assumptions!$G$125,0)+IF(2=assumptions!$G$128,assumptions!$G$127,0)</f>
        <v/>
      </c>
      <c r="D36" s="17">
        <f>IF(3=assumptions!$G$124,assumptions!$G$123,0)+IF(3=assumptions!$G$126,assumptions!$G$125,0)+IF(3=assumptions!$G$128,assumptions!$G$127,0)</f>
        <v/>
      </c>
      <c r="E36" s="17">
        <f>IF(4=assumptions!$G$124,assumptions!$G$123,0)+IF(4=assumptions!$G$126,assumptions!$G$125,0)+IF(4=assumptions!$G$128,assumptions!$G$127,0)</f>
        <v/>
      </c>
      <c r="F36" s="17">
        <f>IF(5=assumptions!$G$124,assumptions!$G$123,0)+IF(5=assumptions!$G$126,assumptions!$G$125,0)+IF(5=assumptions!$G$128,assumptions!$G$127,0)</f>
        <v/>
      </c>
      <c r="G36" s="17">
        <f>IF(6=assumptions!$G$124,assumptions!$G$123,0)+IF(6=assumptions!$G$126,assumptions!$G$125,0)+IF(6=assumptions!$G$128,assumptions!$G$127,0)</f>
        <v/>
      </c>
      <c r="H36" s="17">
        <f>IF(7=assumptions!$G$124,assumptions!$G$123,0)+IF(7=assumptions!$G$126,assumptions!$G$125,0)+IF(7=assumptions!$G$128,assumptions!$G$127,0)</f>
        <v/>
      </c>
      <c r="I36" s="17">
        <f>IF(8=assumptions!$G$124,assumptions!$G$123,0)+IF(8=assumptions!$G$126,assumptions!$G$125,0)+IF(8=assumptions!$G$128,assumptions!$G$127,0)</f>
        <v/>
      </c>
      <c r="J36" s="17">
        <f>IF(9=assumptions!$G$124,assumptions!$G$123,0)+IF(9=assumptions!$G$126,assumptions!$G$125,0)+IF(9=assumptions!$G$128,assumptions!$G$127,0)</f>
        <v/>
      </c>
      <c r="K36" s="17">
        <f>IF(10=assumptions!$G$124,assumptions!$G$123,0)+IF(10=assumptions!$G$126,assumptions!$G$125,0)+IF(10=assumptions!$G$128,assumptions!$G$127,0)</f>
        <v/>
      </c>
      <c r="L36" s="17">
        <f>IF(11=assumptions!$G$124,assumptions!$G$123,0)+IF(11=assumptions!$G$126,assumptions!$G$125,0)+IF(11=assumptions!$G$128,assumptions!$G$127,0)</f>
        <v/>
      </c>
      <c r="M36" s="17">
        <f>IF(12=assumptions!$G$124,assumptions!$G$123,0)+IF(12=assumptions!$G$126,assumptions!$G$125,0)+IF(12=assumptions!$G$128,assumptions!$G$127,0)</f>
        <v/>
      </c>
      <c r="N36" s="17">
        <f>IF(13=assumptions!$G$124,assumptions!$G$123,0)+IF(13=assumptions!$G$126,assumptions!$G$125,0)+IF(13=assumptions!$G$128,assumptions!$G$127,0)</f>
        <v/>
      </c>
      <c r="O36" s="17">
        <f>IF(14=assumptions!$G$124,assumptions!$G$123,0)+IF(14=assumptions!$G$126,assumptions!$G$125,0)+IF(14=assumptions!$G$128,assumptions!$G$127,0)</f>
        <v/>
      </c>
      <c r="P36" s="17">
        <f>IF(15=assumptions!$G$124,assumptions!$G$123,0)+IF(15=assumptions!$G$126,assumptions!$G$125,0)+IF(15=assumptions!$G$128,assumptions!$G$127,0)</f>
        <v/>
      </c>
      <c r="Q36" s="17">
        <f>IF(16=assumptions!$G$124,assumptions!$G$123,0)+IF(16=assumptions!$G$126,assumptions!$G$125,0)+IF(16=assumptions!$G$128,assumptions!$G$127,0)</f>
        <v/>
      </c>
      <c r="R36" s="17">
        <f>IF(17=assumptions!$G$124,assumptions!$G$123,0)+IF(17=assumptions!$G$126,assumptions!$G$125,0)+IF(17=assumptions!$G$128,assumptions!$G$127,0)</f>
        <v/>
      </c>
      <c r="S36" s="17">
        <f>IF(18=assumptions!$G$124,assumptions!$G$123,0)+IF(18=assumptions!$G$126,assumptions!$G$125,0)+IF(18=assumptions!$G$128,assumptions!$G$127,0)</f>
        <v/>
      </c>
      <c r="T36" s="17">
        <f>IF(19=assumptions!$G$124,assumptions!$G$123,0)+IF(19=assumptions!$G$126,assumptions!$G$125,0)+IF(19=assumptions!$G$128,assumptions!$G$127,0)</f>
        <v/>
      </c>
      <c r="U36" s="17">
        <f>IF(20=assumptions!$G$124,assumptions!$G$123,0)+IF(20=assumptions!$G$126,assumptions!$G$125,0)+IF(20=assumptions!$G$128,assumptions!$G$127,0)</f>
        <v/>
      </c>
      <c r="V36" s="17">
        <f>IF(21=assumptions!$G$124,assumptions!$G$123,0)+IF(21=assumptions!$G$126,assumptions!$G$125,0)+IF(21=assumptions!$G$128,assumptions!$G$127,0)</f>
        <v/>
      </c>
      <c r="W36" s="17">
        <f>IF(22=assumptions!$G$124,assumptions!$G$123,0)+IF(22=assumptions!$G$126,assumptions!$G$125,0)+IF(22=assumptions!$G$128,assumptions!$G$127,0)</f>
        <v/>
      </c>
      <c r="X36" s="17">
        <f>IF(23=assumptions!$G$124,assumptions!$G$123,0)+IF(23=assumptions!$G$126,assumptions!$G$125,0)+IF(23=assumptions!$G$128,assumptions!$G$127,0)</f>
        <v/>
      </c>
      <c r="Y36" s="17">
        <f>IF(24=assumptions!$G$124,assumptions!$G$123,0)+IF(24=assumptions!$G$126,assumptions!$G$125,0)+IF(24=assumptions!$G$128,assumptions!$G$127,0)</f>
        <v/>
      </c>
      <c r="Z36" s="17">
        <f>IF(25=assumptions!$G$124,assumptions!$G$123,0)+IF(25=assumptions!$G$126,assumptions!$G$125,0)+IF(25=assumptions!$G$128,assumptions!$G$127,0)</f>
        <v/>
      </c>
      <c r="AA36" s="17">
        <f>IF(26=assumptions!$G$124,assumptions!$G$123,0)+IF(26=assumptions!$G$126,assumptions!$G$125,0)+IF(26=assumptions!$G$128,assumptions!$G$127,0)</f>
        <v/>
      </c>
      <c r="AB36" s="17">
        <f>IF(27=assumptions!$G$124,assumptions!$G$123,0)+IF(27=assumptions!$G$126,assumptions!$G$125,0)+IF(27=assumptions!$G$128,assumptions!$G$127,0)</f>
        <v/>
      </c>
      <c r="AC36" s="17">
        <f>IF(28=assumptions!$G$124,assumptions!$G$123,0)+IF(28=assumptions!$G$126,assumptions!$G$125,0)+IF(28=assumptions!$G$128,assumptions!$G$127,0)</f>
        <v/>
      </c>
      <c r="AD36" s="17">
        <f>IF(29=assumptions!$G$124,assumptions!$G$123,0)+IF(29=assumptions!$G$126,assumptions!$G$125,0)+IF(29=assumptions!$G$128,assumptions!$G$127,0)</f>
        <v/>
      </c>
      <c r="AE36" s="17">
        <f>IF(30=assumptions!$G$124,assumptions!$G$123,0)+IF(30=assumptions!$G$126,assumptions!$G$125,0)+IF(30=assumptions!$G$128,assumptions!$G$127,0)</f>
        <v/>
      </c>
      <c r="AF36" s="17">
        <f>IF(31=assumptions!$G$124,assumptions!$G$123,0)+IF(31=assumptions!$G$126,assumptions!$G$125,0)+IF(31=assumptions!$G$128,assumptions!$G$127,0)</f>
        <v/>
      </c>
      <c r="AG36" s="17">
        <f>IF(32=assumptions!$G$124,assumptions!$G$123,0)+IF(32=assumptions!$G$126,assumptions!$G$125,0)+IF(32=assumptions!$G$128,assumptions!$G$127,0)</f>
        <v/>
      </c>
      <c r="AH36" s="17">
        <f>IF(33=assumptions!$G$124,assumptions!$G$123,0)+IF(33=assumptions!$G$126,assumptions!$G$125,0)+IF(33=assumptions!$G$128,assumptions!$G$127,0)</f>
        <v/>
      </c>
      <c r="AI36" s="17">
        <f>IF(34=assumptions!$G$124,assumptions!$G$123,0)+IF(34=assumptions!$G$126,assumptions!$G$125,0)+IF(34=assumptions!$G$128,assumptions!$G$127,0)</f>
        <v/>
      </c>
      <c r="AJ36" s="17">
        <f>IF(35=assumptions!$G$124,assumptions!$G$123,0)+IF(35=assumptions!$G$126,assumptions!$G$125,0)+IF(35=assumptions!$G$128,assumptions!$G$127,0)</f>
        <v/>
      </c>
      <c r="AK36" s="17">
        <f>IF(36=assumptions!$G$124,assumptions!$G$123,0)+IF(36=assumptions!$G$126,assumptions!$G$125,0)+IF(36=assumptions!$G$128,assumptions!$G$127,0)</f>
        <v/>
      </c>
      <c r="AL36" s="17">
        <f>IF(37=assumptions!$G$124,assumptions!$G$123,0)+IF(37=assumptions!$G$126,assumptions!$G$125,0)+IF(37=assumptions!$G$128,assumptions!$G$127,0)</f>
        <v/>
      </c>
      <c r="AM36" s="17">
        <f>IF(38=assumptions!$G$124,assumptions!$G$123,0)+IF(38=assumptions!$G$126,assumptions!$G$125,0)+IF(38=assumptions!$G$128,assumptions!$G$127,0)</f>
        <v/>
      </c>
      <c r="AN36" s="17">
        <f>IF(39=assumptions!$G$124,assumptions!$G$123,0)+IF(39=assumptions!$G$126,assumptions!$G$125,0)+IF(39=assumptions!$G$128,assumptions!$G$127,0)</f>
        <v/>
      </c>
      <c r="AO36" s="17">
        <f>IF(40=assumptions!$G$124,assumptions!$G$123,0)+IF(40=assumptions!$G$126,assumptions!$G$125,0)+IF(40=assumptions!$G$128,assumptions!$G$127,0)</f>
        <v/>
      </c>
      <c r="AP36" s="17">
        <f>IF(41=assumptions!$G$124,assumptions!$G$123,0)+IF(41=assumptions!$G$126,assumptions!$G$125,0)+IF(41=assumptions!$G$128,assumptions!$G$127,0)</f>
        <v/>
      </c>
      <c r="AQ36" s="17">
        <f>IF(42=assumptions!$G$124,assumptions!$G$123,0)+IF(42=assumptions!$G$126,assumptions!$G$125,0)+IF(42=assumptions!$G$128,assumptions!$G$127,0)</f>
        <v/>
      </c>
      <c r="AR36" s="17">
        <f>IF(43=assumptions!$G$124,assumptions!$G$123,0)+IF(43=assumptions!$G$126,assumptions!$G$125,0)+IF(43=assumptions!$G$128,assumptions!$G$127,0)</f>
        <v/>
      </c>
      <c r="AS36" s="17">
        <f>IF(44=assumptions!$G$124,assumptions!$G$123,0)+IF(44=assumptions!$G$126,assumptions!$G$125,0)+IF(44=assumptions!$G$128,assumptions!$G$127,0)</f>
        <v/>
      </c>
      <c r="AT36" s="17">
        <f>IF(45=assumptions!$G$124,assumptions!$G$123,0)+IF(45=assumptions!$G$126,assumptions!$G$125,0)+IF(45=assumptions!$G$128,assumptions!$G$127,0)</f>
        <v/>
      </c>
      <c r="AU36" s="17">
        <f>IF(46=assumptions!$G$124,assumptions!$G$123,0)+IF(46=assumptions!$G$126,assumptions!$G$125,0)+IF(46=assumptions!$G$128,assumptions!$G$127,0)</f>
        <v/>
      </c>
      <c r="AV36" s="17">
        <f>IF(47=assumptions!$G$124,assumptions!$G$123,0)+IF(47=assumptions!$G$126,assumptions!$G$125,0)+IF(47=assumptions!$G$128,assumptions!$G$127,0)</f>
        <v/>
      </c>
      <c r="AW36" s="17">
        <f>IF(48=assumptions!$G$124,assumptions!$G$123,0)+IF(48=assumptions!$G$126,assumptions!$G$125,0)+IF(48=assumptions!$G$128,assumptions!$G$127,0)</f>
        <v/>
      </c>
      <c r="AX36" s="17">
        <f>IF(49=assumptions!$G$124,assumptions!$G$123,0)+IF(49=assumptions!$G$126,assumptions!$G$125,0)+IF(49=assumptions!$G$128,assumptions!$G$127,0)</f>
        <v/>
      </c>
      <c r="AY36" s="17">
        <f>IF(50=assumptions!$G$124,assumptions!$G$123,0)+IF(50=assumptions!$G$126,assumptions!$G$125,0)+IF(50=assumptions!$G$128,assumptions!$G$127,0)</f>
        <v/>
      </c>
      <c r="AZ36" s="17">
        <f>IF(51=assumptions!$G$124,assumptions!$G$123,0)+IF(51=assumptions!$G$126,assumptions!$G$125,0)+IF(51=assumptions!$G$128,assumptions!$G$127,0)</f>
        <v/>
      </c>
      <c r="BA36" s="17">
        <f>IF(52=assumptions!$G$124,assumptions!$G$123,0)+IF(52=assumptions!$G$126,assumptions!$G$125,0)+IF(52=assumptions!$G$128,assumptions!$G$127,0)</f>
        <v/>
      </c>
      <c r="BB36" s="17">
        <f>IF(53=assumptions!$G$124,assumptions!$G$123,0)+IF(53=assumptions!$G$126,assumptions!$G$125,0)+IF(53=assumptions!$G$128,assumptions!$G$127,0)</f>
        <v/>
      </c>
      <c r="BC36" s="17">
        <f>IF(54=assumptions!$G$124,assumptions!$G$123,0)+IF(54=assumptions!$G$126,assumptions!$G$125,0)+IF(54=assumptions!$G$128,assumptions!$G$127,0)</f>
        <v/>
      </c>
      <c r="BD36" s="17">
        <f>IF(55=assumptions!$G$124,assumptions!$G$123,0)+IF(55=assumptions!$G$126,assumptions!$G$125,0)+IF(55=assumptions!$G$128,assumptions!$G$127,0)</f>
        <v/>
      </c>
      <c r="BE36" s="17">
        <f>IF(56=assumptions!$G$124,assumptions!$G$123,0)+IF(56=assumptions!$G$126,assumptions!$G$125,0)+IF(56=assumptions!$G$128,assumptions!$G$127,0)</f>
        <v/>
      </c>
      <c r="BF36" s="17">
        <f>IF(57=assumptions!$G$124,assumptions!$G$123,0)+IF(57=assumptions!$G$126,assumptions!$G$125,0)+IF(57=assumptions!$G$128,assumptions!$G$127,0)</f>
        <v/>
      </c>
      <c r="BG36" s="17">
        <f>IF(58=assumptions!$G$124,assumptions!$G$123,0)+IF(58=assumptions!$G$126,assumptions!$G$125,0)+IF(58=assumptions!$G$128,assumptions!$G$127,0)</f>
        <v/>
      </c>
      <c r="BH36" s="17">
        <f>IF(59=assumptions!$G$124,assumptions!$G$123,0)+IF(59=assumptions!$G$126,assumptions!$G$125,0)+IF(59=assumptions!$G$128,assumptions!$G$127,0)</f>
        <v/>
      </c>
      <c r="BI36" s="17">
        <f>IF(60=assumptions!$G$124,assumptions!$G$123,0)+IF(60=assumptions!$G$126,assumptions!$G$125,0)+IF(60=assumptions!$G$128,assumptions!$G$127,0)</f>
        <v/>
      </c>
    </row>
    <row r="37">
      <c r="A37" s="5" t="inlineStr">
        <is>
          <t>Opening cash</t>
        </is>
      </c>
      <c r="B37" s="17">
        <f>assumptions!$G$122</f>
        <v/>
      </c>
      <c r="C37" s="17">
        <f>B39</f>
        <v/>
      </c>
      <c r="D37" s="17">
        <f>C39</f>
        <v/>
      </c>
      <c r="E37" s="17">
        <f>D39</f>
        <v/>
      </c>
      <c r="F37" s="17">
        <f>E39</f>
        <v/>
      </c>
      <c r="G37" s="17">
        <f>F39</f>
        <v/>
      </c>
      <c r="H37" s="17">
        <f>G39</f>
        <v/>
      </c>
      <c r="I37" s="17">
        <f>H39</f>
        <v/>
      </c>
      <c r="J37" s="17">
        <f>I39</f>
        <v/>
      </c>
      <c r="K37" s="17">
        <f>J39</f>
        <v/>
      </c>
      <c r="L37" s="17">
        <f>K39</f>
        <v/>
      </c>
      <c r="M37" s="17">
        <f>L39</f>
        <v/>
      </c>
      <c r="N37" s="17">
        <f>M39</f>
        <v/>
      </c>
      <c r="O37" s="17">
        <f>N39</f>
        <v/>
      </c>
      <c r="P37" s="17">
        <f>O39</f>
        <v/>
      </c>
      <c r="Q37" s="17">
        <f>P39</f>
        <v/>
      </c>
      <c r="R37" s="17">
        <f>Q39</f>
        <v/>
      </c>
      <c r="S37" s="17">
        <f>R39</f>
        <v/>
      </c>
      <c r="T37" s="17">
        <f>S39</f>
        <v/>
      </c>
      <c r="U37" s="17">
        <f>T39</f>
        <v/>
      </c>
      <c r="V37" s="17">
        <f>U39</f>
        <v/>
      </c>
      <c r="W37" s="17">
        <f>V39</f>
        <v/>
      </c>
      <c r="X37" s="17">
        <f>W39</f>
        <v/>
      </c>
      <c r="Y37" s="17">
        <f>X39</f>
        <v/>
      </c>
      <c r="Z37" s="17">
        <f>Y39</f>
        <v/>
      </c>
      <c r="AA37" s="17">
        <f>Z39</f>
        <v/>
      </c>
      <c r="AB37" s="17">
        <f>AA39</f>
        <v/>
      </c>
      <c r="AC37" s="17">
        <f>AB39</f>
        <v/>
      </c>
      <c r="AD37" s="17">
        <f>AC39</f>
        <v/>
      </c>
      <c r="AE37" s="17">
        <f>AD39</f>
        <v/>
      </c>
      <c r="AF37" s="17">
        <f>AE39</f>
        <v/>
      </c>
      <c r="AG37" s="17">
        <f>AF39</f>
        <v/>
      </c>
      <c r="AH37" s="17">
        <f>AG39</f>
        <v/>
      </c>
      <c r="AI37" s="17">
        <f>AH39</f>
        <v/>
      </c>
      <c r="AJ37" s="17">
        <f>AI39</f>
        <v/>
      </c>
      <c r="AK37" s="17">
        <f>AJ39</f>
        <v/>
      </c>
      <c r="AL37" s="17">
        <f>AK39</f>
        <v/>
      </c>
      <c r="AM37" s="17">
        <f>AL39</f>
        <v/>
      </c>
      <c r="AN37" s="17">
        <f>AM39</f>
        <v/>
      </c>
      <c r="AO37" s="17">
        <f>AN39</f>
        <v/>
      </c>
      <c r="AP37" s="17">
        <f>AO39</f>
        <v/>
      </c>
      <c r="AQ37" s="17">
        <f>AP39</f>
        <v/>
      </c>
      <c r="AR37" s="17">
        <f>AQ39</f>
        <v/>
      </c>
      <c r="AS37" s="17">
        <f>AR39</f>
        <v/>
      </c>
      <c r="AT37" s="17">
        <f>AS39</f>
        <v/>
      </c>
      <c r="AU37" s="17">
        <f>AT39</f>
        <v/>
      </c>
      <c r="AV37" s="17">
        <f>AU39</f>
        <v/>
      </c>
      <c r="AW37" s="17">
        <f>AV39</f>
        <v/>
      </c>
      <c r="AX37" s="17">
        <f>AW39</f>
        <v/>
      </c>
      <c r="AY37" s="17">
        <f>AX39</f>
        <v/>
      </c>
      <c r="AZ37" s="17">
        <f>AY39</f>
        <v/>
      </c>
      <c r="BA37" s="17">
        <f>AZ39</f>
        <v/>
      </c>
      <c r="BB37" s="17">
        <f>BA39</f>
        <v/>
      </c>
      <c r="BC37" s="17">
        <f>BB39</f>
        <v/>
      </c>
      <c r="BD37" s="17">
        <f>BC39</f>
        <v/>
      </c>
      <c r="BE37" s="17">
        <f>BD39</f>
        <v/>
      </c>
      <c r="BF37" s="17">
        <f>BE39</f>
        <v/>
      </c>
      <c r="BG37" s="17">
        <f>BF39</f>
        <v/>
      </c>
      <c r="BH37" s="17">
        <f>BG39</f>
        <v/>
      </c>
      <c r="BI37" s="17">
        <f>BH39</f>
        <v/>
      </c>
    </row>
    <row r="38">
      <c r="A38" s="5" t="inlineStr">
        <is>
          <t>Net cash change</t>
        </is>
      </c>
      <c r="B38" s="17">
        <f>B31+B36</f>
        <v/>
      </c>
      <c r="C38" s="17">
        <f>C31+C36</f>
        <v/>
      </c>
      <c r="D38" s="17">
        <f>D31+D36</f>
        <v/>
      </c>
      <c r="E38" s="17">
        <f>E31+E36</f>
        <v/>
      </c>
      <c r="F38" s="17">
        <f>F31+F36</f>
        <v/>
      </c>
      <c r="G38" s="17">
        <f>G31+G36</f>
        <v/>
      </c>
      <c r="H38" s="17">
        <f>H31+H36</f>
        <v/>
      </c>
      <c r="I38" s="17">
        <f>I31+I36</f>
        <v/>
      </c>
      <c r="J38" s="17">
        <f>J31+J36</f>
        <v/>
      </c>
      <c r="K38" s="17">
        <f>K31+K36</f>
        <v/>
      </c>
      <c r="L38" s="17">
        <f>L31+L36</f>
        <v/>
      </c>
      <c r="M38" s="17">
        <f>M31+M36</f>
        <v/>
      </c>
      <c r="N38" s="17">
        <f>N31+N36</f>
        <v/>
      </c>
      <c r="O38" s="17">
        <f>O31+O36</f>
        <v/>
      </c>
      <c r="P38" s="17">
        <f>P31+P36</f>
        <v/>
      </c>
      <c r="Q38" s="17">
        <f>Q31+Q36</f>
        <v/>
      </c>
      <c r="R38" s="17">
        <f>R31+R36</f>
        <v/>
      </c>
      <c r="S38" s="17">
        <f>S31+S36</f>
        <v/>
      </c>
      <c r="T38" s="17">
        <f>T31+T36</f>
        <v/>
      </c>
      <c r="U38" s="17">
        <f>U31+U36</f>
        <v/>
      </c>
      <c r="V38" s="17">
        <f>V31+V36</f>
        <v/>
      </c>
      <c r="W38" s="17">
        <f>W31+W36</f>
        <v/>
      </c>
      <c r="X38" s="17">
        <f>X31+X36</f>
        <v/>
      </c>
      <c r="Y38" s="17">
        <f>Y31+Y36</f>
        <v/>
      </c>
      <c r="Z38" s="17">
        <f>Z31+Z36</f>
        <v/>
      </c>
      <c r="AA38" s="17">
        <f>AA31+AA36</f>
        <v/>
      </c>
      <c r="AB38" s="17">
        <f>AB31+AB36</f>
        <v/>
      </c>
      <c r="AC38" s="17">
        <f>AC31+AC36</f>
        <v/>
      </c>
      <c r="AD38" s="17">
        <f>AD31+AD36</f>
        <v/>
      </c>
      <c r="AE38" s="17">
        <f>AE31+AE36</f>
        <v/>
      </c>
      <c r="AF38" s="17">
        <f>AF31+AF36</f>
        <v/>
      </c>
      <c r="AG38" s="17">
        <f>AG31+AG36</f>
        <v/>
      </c>
      <c r="AH38" s="17">
        <f>AH31+AH36</f>
        <v/>
      </c>
      <c r="AI38" s="17">
        <f>AI31+AI36</f>
        <v/>
      </c>
      <c r="AJ38" s="17">
        <f>AJ31+AJ36</f>
        <v/>
      </c>
      <c r="AK38" s="17">
        <f>AK31+AK36</f>
        <v/>
      </c>
      <c r="AL38" s="17">
        <f>AL31+AL36</f>
        <v/>
      </c>
      <c r="AM38" s="17">
        <f>AM31+AM36</f>
        <v/>
      </c>
      <c r="AN38" s="17">
        <f>AN31+AN36</f>
        <v/>
      </c>
      <c r="AO38" s="17">
        <f>AO31+AO36</f>
        <v/>
      </c>
      <c r="AP38" s="17">
        <f>AP31+AP36</f>
        <v/>
      </c>
      <c r="AQ38" s="17">
        <f>AQ31+AQ36</f>
        <v/>
      </c>
      <c r="AR38" s="17">
        <f>AR31+AR36</f>
        <v/>
      </c>
      <c r="AS38" s="17">
        <f>AS31+AS36</f>
        <v/>
      </c>
      <c r="AT38" s="17">
        <f>AT31+AT36</f>
        <v/>
      </c>
      <c r="AU38" s="17">
        <f>AU31+AU36</f>
        <v/>
      </c>
      <c r="AV38" s="17">
        <f>AV31+AV36</f>
        <v/>
      </c>
      <c r="AW38" s="17">
        <f>AW31+AW36</f>
        <v/>
      </c>
      <c r="AX38" s="17">
        <f>AX31+AX36</f>
        <v/>
      </c>
      <c r="AY38" s="17">
        <f>AY31+AY36</f>
        <v/>
      </c>
      <c r="AZ38" s="17">
        <f>AZ31+AZ36</f>
        <v/>
      </c>
      <c r="BA38" s="17">
        <f>BA31+BA36</f>
        <v/>
      </c>
      <c r="BB38" s="17">
        <f>BB31+BB36</f>
        <v/>
      </c>
      <c r="BC38" s="17">
        <f>BC31+BC36</f>
        <v/>
      </c>
      <c r="BD38" s="17">
        <f>BD31+BD36</f>
        <v/>
      </c>
      <c r="BE38" s="17">
        <f>BE31+BE36</f>
        <v/>
      </c>
      <c r="BF38" s="17">
        <f>BF31+BF36</f>
        <v/>
      </c>
      <c r="BG38" s="17">
        <f>BG31+BG36</f>
        <v/>
      </c>
      <c r="BH38" s="17">
        <f>BH31+BH36</f>
        <v/>
      </c>
      <c r="BI38" s="17">
        <f>BI31+BI36</f>
        <v/>
      </c>
    </row>
    <row r="39">
      <c r="A39" s="1" t="inlineStr">
        <is>
          <t>Closing cash</t>
        </is>
      </c>
      <c r="B39" s="40">
        <f>B37+B38</f>
        <v/>
      </c>
      <c r="C39" s="40">
        <f>C37+C38</f>
        <v/>
      </c>
      <c r="D39" s="40">
        <f>D37+D38</f>
        <v/>
      </c>
      <c r="E39" s="40">
        <f>E37+E38</f>
        <v/>
      </c>
      <c r="F39" s="40">
        <f>F37+F38</f>
        <v/>
      </c>
      <c r="G39" s="40">
        <f>G37+G38</f>
        <v/>
      </c>
      <c r="H39" s="40">
        <f>H37+H38</f>
        <v/>
      </c>
      <c r="I39" s="40">
        <f>I37+I38</f>
        <v/>
      </c>
      <c r="J39" s="40">
        <f>J37+J38</f>
        <v/>
      </c>
      <c r="K39" s="40">
        <f>K37+K38</f>
        <v/>
      </c>
      <c r="L39" s="40">
        <f>L37+L38</f>
        <v/>
      </c>
      <c r="M39" s="40">
        <f>M37+M38</f>
        <v/>
      </c>
      <c r="N39" s="40">
        <f>N37+N38</f>
        <v/>
      </c>
      <c r="O39" s="40">
        <f>O37+O38</f>
        <v/>
      </c>
      <c r="P39" s="40">
        <f>P37+P38</f>
        <v/>
      </c>
      <c r="Q39" s="40">
        <f>Q37+Q38</f>
        <v/>
      </c>
      <c r="R39" s="40">
        <f>R37+R38</f>
        <v/>
      </c>
      <c r="S39" s="40">
        <f>S37+S38</f>
        <v/>
      </c>
      <c r="T39" s="40">
        <f>T37+T38</f>
        <v/>
      </c>
      <c r="U39" s="40">
        <f>U37+U38</f>
        <v/>
      </c>
      <c r="V39" s="40">
        <f>V37+V38</f>
        <v/>
      </c>
      <c r="W39" s="40">
        <f>W37+W38</f>
        <v/>
      </c>
      <c r="X39" s="40">
        <f>X37+X38</f>
        <v/>
      </c>
      <c r="Y39" s="40">
        <f>Y37+Y38</f>
        <v/>
      </c>
      <c r="Z39" s="40">
        <f>Z37+Z38</f>
        <v/>
      </c>
      <c r="AA39" s="40">
        <f>AA37+AA38</f>
        <v/>
      </c>
      <c r="AB39" s="40">
        <f>AB37+AB38</f>
        <v/>
      </c>
      <c r="AC39" s="40">
        <f>AC37+AC38</f>
        <v/>
      </c>
      <c r="AD39" s="40">
        <f>AD37+AD38</f>
        <v/>
      </c>
      <c r="AE39" s="40">
        <f>AE37+AE38</f>
        <v/>
      </c>
      <c r="AF39" s="40">
        <f>AF37+AF38</f>
        <v/>
      </c>
      <c r="AG39" s="40">
        <f>AG37+AG38</f>
        <v/>
      </c>
      <c r="AH39" s="40">
        <f>AH37+AH38</f>
        <v/>
      </c>
      <c r="AI39" s="40">
        <f>AI37+AI38</f>
        <v/>
      </c>
      <c r="AJ39" s="40">
        <f>AJ37+AJ38</f>
        <v/>
      </c>
      <c r="AK39" s="40">
        <f>AK37+AK38</f>
        <v/>
      </c>
      <c r="AL39" s="40">
        <f>AL37+AL38</f>
        <v/>
      </c>
      <c r="AM39" s="40">
        <f>AM37+AM38</f>
        <v/>
      </c>
      <c r="AN39" s="40">
        <f>AN37+AN38</f>
        <v/>
      </c>
      <c r="AO39" s="40">
        <f>AO37+AO38</f>
        <v/>
      </c>
      <c r="AP39" s="40">
        <f>AP37+AP38</f>
        <v/>
      </c>
      <c r="AQ39" s="40">
        <f>AQ37+AQ38</f>
        <v/>
      </c>
      <c r="AR39" s="40">
        <f>AR37+AR38</f>
        <v/>
      </c>
      <c r="AS39" s="40">
        <f>AS37+AS38</f>
        <v/>
      </c>
      <c r="AT39" s="40">
        <f>AT37+AT38</f>
        <v/>
      </c>
      <c r="AU39" s="40">
        <f>AU37+AU38</f>
        <v/>
      </c>
      <c r="AV39" s="40">
        <f>AV37+AV38</f>
        <v/>
      </c>
      <c r="AW39" s="40">
        <f>AW37+AW38</f>
        <v/>
      </c>
      <c r="AX39" s="40">
        <f>AX37+AX38</f>
        <v/>
      </c>
      <c r="AY39" s="40">
        <f>AY37+AY38</f>
        <v/>
      </c>
      <c r="AZ39" s="40">
        <f>AZ37+AZ38</f>
        <v/>
      </c>
      <c r="BA39" s="40">
        <f>BA37+BA38</f>
        <v/>
      </c>
      <c r="BB39" s="40">
        <f>BB37+BB38</f>
        <v/>
      </c>
      <c r="BC39" s="40">
        <f>BC37+BC38</f>
        <v/>
      </c>
      <c r="BD39" s="40">
        <f>BD37+BD38</f>
        <v/>
      </c>
      <c r="BE39" s="40">
        <f>BE37+BE38</f>
        <v/>
      </c>
      <c r="BF39" s="40">
        <f>BF37+BF38</f>
        <v/>
      </c>
      <c r="BG39" s="40">
        <f>BG37+BG38</f>
        <v/>
      </c>
      <c r="BH39" s="40">
        <f>BH37+BH38</f>
        <v/>
      </c>
      <c r="BI39" s="40">
        <f>BI37+BI38</f>
        <v/>
      </c>
    </row>
    <row r="40">
      <c r="A40" s="5" t="inlineStr">
        <is>
          <t>Min cash so far (peak deficit)</t>
        </is>
      </c>
      <c r="B40" s="17">
        <f>B39</f>
        <v/>
      </c>
      <c r="C40" s="17">
        <f>MIN(B40,C39)</f>
        <v/>
      </c>
      <c r="D40" s="17">
        <f>MIN(C40,D39)</f>
        <v/>
      </c>
      <c r="E40" s="17">
        <f>MIN(D40,E39)</f>
        <v/>
      </c>
      <c r="F40" s="17">
        <f>MIN(E40,F39)</f>
        <v/>
      </c>
      <c r="G40" s="17">
        <f>MIN(F40,G39)</f>
        <v/>
      </c>
      <c r="H40" s="17">
        <f>MIN(G40,H39)</f>
        <v/>
      </c>
      <c r="I40" s="17">
        <f>MIN(H40,I39)</f>
        <v/>
      </c>
      <c r="J40" s="17">
        <f>MIN(I40,J39)</f>
        <v/>
      </c>
      <c r="K40" s="17">
        <f>MIN(J40,K39)</f>
        <v/>
      </c>
      <c r="L40" s="17">
        <f>MIN(K40,L39)</f>
        <v/>
      </c>
      <c r="M40" s="17">
        <f>MIN(L40,M39)</f>
        <v/>
      </c>
      <c r="N40" s="17">
        <f>MIN(M40,N39)</f>
        <v/>
      </c>
      <c r="O40" s="17">
        <f>MIN(N40,O39)</f>
        <v/>
      </c>
      <c r="P40" s="17">
        <f>MIN(O40,P39)</f>
        <v/>
      </c>
      <c r="Q40" s="17">
        <f>MIN(P40,Q39)</f>
        <v/>
      </c>
      <c r="R40" s="17">
        <f>MIN(Q40,R39)</f>
        <v/>
      </c>
      <c r="S40" s="17">
        <f>MIN(R40,S39)</f>
        <v/>
      </c>
      <c r="T40" s="17">
        <f>MIN(S40,T39)</f>
        <v/>
      </c>
      <c r="U40" s="17">
        <f>MIN(T40,U39)</f>
        <v/>
      </c>
      <c r="V40" s="17">
        <f>MIN(U40,V39)</f>
        <v/>
      </c>
      <c r="W40" s="17">
        <f>MIN(V40,W39)</f>
        <v/>
      </c>
      <c r="X40" s="17">
        <f>MIN(W40,X39)</f>
        <v/>
      </c>
      <c r="Y40" s="17">
        <f>MIN(X40,Y39)</f>
        <v/>
      </c>
      <c r="Z40" s="17">
        <f>MIN(Y40,Z39)</f>
        <v/>
      </c>
      <c r="AA40" s="17">
        <f>MIN(Z40,AA39)</f>
        <v/>
      </c>
      <c r="AB40" s="17">
        <f>MIN(AA40,AB39)</f>
        <v/>
      </c>
      <c r="AC40" s="17">
        <f>MIN(AB40,AC39)</f>
        <v/>
      </c>
      <c r="AD40" s="17">
        <f>MIN(AC40,AD39)</f>
        <v/>
      </c>
      <c r="AE40" s="17">
        <f>MIN(AD40,AE39)</f>
        <v/>
      </c>
      <c r="AF40" s="17">
        <f>MIN(AE40,AF39)</f>
        <v/>
      </c>
      <c r="AG40" s="17">
        <f>MIN(AF40,AG39)</f>
        <v/>
      </c>
      <c r="AH40" s="17">
        <f>MIN(AG40,AH39)</f>
        <v/>
      </c>
      <c r="AI40" s="17">
        <f>MIN(AH40,AI39)</f>
        <v/>
      </c>
      <c r="AJ40" s="17">
        <f>MIN(AI40,AJ39)</f>
        <v/>
      </c>
      <c r="AK40" s="17">
        <f>MIN(AJ40,AK39)</f>
        <v/>
      </c>
      <c r="AL40" s="17">
        <f>MIN(AK40,AL39)</f>
        <v/>
      </c>
      <c r="AM40" s="17">
        <f>MIN(AL40,AM39)</f>
        <v/>
      </c>
      <c r="AN40" s="17">
        <f>MIN(AM40,AN39)</f>
        <v/>
      </c>
      <c r="AO40" s="17">
        <f>MIN(AN40,AO39)</f>
        <v/>
      </c>
      <c r="AP40" s="17">
        <f>MIN(AO40,AP39)</f>
        <v/>
      </c>
      <c r="AQ40" s="17">
        <f>MIN(AP40,AQ39)</f>
        <v/>
      </c>
      <c r="AR40" s="17">
        <f>MIN(AQ40,AR39)</f>
        <v/>
      </c>
      <c r="AS40" s="17">
        <f>MIN(AR40,AS39)</f>
        <v/>
      </c>
      <c r="AT40" s="17">
        <f>MIN(AS40,AT39)</f>
        <v/>
      </c>
      <c r="AU40" s="17">
        <f>MIN(AT40,AU39)</f>
        <v/>
      </c>
      <c r="AV40" s="17">
        <f>MIN(AU40,AV39)</f>
        <v/>
      </c>
      <c r="AW40" s="17">
        <f>MIN(AV40,AW39)</f>
        <v/>
      </c>
      <c r="AX40" s="17">
        <f>MIN(AW40,AX39)</f>
        <v/>
      </c>
      <c r="AY40" s="17">
        <f>MIN(AX40,AY39)</f>
        <v/>
      </c>
      <c r="AZ40" s="17">
        <f>MIN(AY40,AZ39)</f>
        <v/>
      </c>
      <c r="BA40" s="17">
        <f>MIN(AZ40,BA39)</f>
        <v/>
      </c>
      <c r="BB40" s="17">
        <f>MIN(BA40,BB39)</f>
        <v/>
      </c>
      <c r="BC40" s="17">
        <f>MIN(BB40,BC39)</f>
        <v/>
      </c>
      <c r="BD40" s="17">
        <f>MIN(BC40,BD39)</f>
        <v/>
      </c>
      <c r="BE40" s="17">
        <f>MIN(BD40,BE39)</f>
        <v/>
      </c>
      <c r="BF40" s="17">
        <f>MIN(BE40,BF39)</f>
        <v/>
      </c>
      <c r="BG40" s="17">
        <f>MIN(BF40,BG39)</f>
        <v/>
      </c>
      <c r="BH40" s="17">
        <f>MIN(BG40,BH39)</f>
        <v/>
      </c>
      <c r="BI40" s="17">
        <f>MIN(BH40,BI39)</f>
        <v/>
      </c>
    </row>
  </sheetData>
  <mergeCells count="1">
    <mergeCell ref="A1:B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2026-05-17T21:36:23Z</dcterms:created>
  <dcterms:modified xmlns:dcterms="http://purl.org/dc/terms/" xmlns:xsi="http://www.w3.org/2001/XMLSchema-instance" xsi:type="dcterms:W3CDTF">2026-05-22T06:23:09Z</dcterms:modified>
  <cp:lastModifiedBy>Brendan Mcguigan</cp:lastModifiedBy>
</cp:coreProperties>
</file>