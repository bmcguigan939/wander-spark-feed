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AM" sheetId="3" state="visible" r:id="rId3"/>
    <sheet xmlns:r="http://schemas.openxmlformats.org/officeDocument/2006/relationships" name="SAM" sheetId="4" state="visible" r:id="rId4"/>
    <sheet xmlns:r="http://schemas.openxmlformats.org/officeDocument/2006/relationships" name="SOM_UK_Base" sheetId="5" state="visible" r:id="rId5"/>
    <sheet xmlns:r="http://schemas.openxmlformats.org/officeDocument/2006/relationships" name="SOM_Global_Viral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Executive_Summary" sheetId="8" state="visible" r:id="rId8"/>
    <sheet xmlns:r="http://schemas.openxmlformats.org/officeDocument/2006/relationships" name="Reconciliation_to_v6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£&quot;#,##0;(&quot;£&quot;#,##0);&quot;-&quot;"/>
    <numFmt numFmtId="165" formatCode="0.00&quot;x&quot;"/>
    <numFmt numFmtId="166" formatCode="0.0%;(0.0%);&quot;-&quot;"/>
    <numFmt numFmtId="167" formatCode="&quot;£&quot;0.00"/>
    <numFmt numFmtId="168" formatCode="&quot;£&quot;#,##0.00,,,&quot;B&quot;;(&quot;£&quot;#,##0.00,,,&quot;B&quot;);&quot;-&quot;"/>
    <numFmt numFmtId="169" formatCode="&quot;£&quot;#,##0.0,,&quot;M&quot;;(&quot;£&quot;#,##0.0,,&quot;M&quot;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color rgb="000000FF"/>
      <sz val="10"/>
    </font>
    <font>
      <name val="Arial"/>
      <i val="1"/>
      <color rgb="00666666"/>
      <sz val="9"/>
    </font>
    <font>
      <name val="Arial"/>
      <sz val="10"/>
    </font>
    <font>
      <name val="Arial"/>
      <color rgb="00008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FEFE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3" fontId="3" fillId="4" borderId="0" pivotButton="0" quotePrefix="0" xfId="0"/>
    <xf numFmtId="0" fontId="4" fillId="0" borderId="0" pivotButton="0" quotePrefix="0" xfId="0"/>
    <xf numFmtId="164" fontId="3" fillId="4" borderId="0" pivotButton="0" quotePrefix="0" xfId="0"/>
    <xf numFmtId="2" fontId="3" fillId="4" borderId="0" pivotButton="0" quotePrefix="0" xfId="0"/>
    <xf numFmtId="165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168" fontId="3" fillId="4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168" fontId="7" fillId="3" borderId="0" pivotButton="0" quotePrefix="0" xfId="0"/>
    <xf numFmtId="165" fontId="6" fillId="0" borderId="0" pivotButton="0" quotePrefix="0" xfId="0"/>
    <xf numFmtId="168" fontId="6" fillId="3" borderId="0" pivotButton="0" quotePrefix="0" xfId="0"/>
    <xf numFmtId="168" fontId="6" fillId="0" borderId="0" pivotButton="0" quotePrefix="0" xfId="0"/>
    <xf numFmtId="166" fontId="6" fillId="0" borderId="0" pivotButton="0" quotePrefix="0" xfId="0"/>
    <xf numFmtId="169" fontId="7" fillId="3" borderId="0" pivotButton="0" quotePrefix="0" xfId="0"/>
    <xf numFmtId="166" fontId="3" fillId="0" borderId="0" pivotButton="0" quotePrefix="0" xfId="0"/>
    <xf numFmtId="166" fontId="0" fillId="0" borderId="0" pivotButton="0" quotePrefix="0" xfId="0"/>
    <xf numFmtId="169" fontId="7" fillId="0" borderId="0" pivotButton="0" quotePrefix="0" xfId="0"/>
    <xf numFmtId="166" fontId="7" fillId="0" borderId="0" pivotButton="0" quotePrefix="0" xfId="0"/>
    <xf numFmtId="166" fontId="7" fillId="3" borderId="0" pivotButton="0" quotePrefix="0" xfId="0"/>
    <xf numFmtId="3" fontId="3" fillId="0" borderId="0" pivotButton="0" quotePrefix="0" xfId="0"/>
    <xf numFmtId="164" fontId="3" fillId="0" borderId="0" pivotButton="0" quotePrefix="0" xfId="0"/>
    <xf numFmtId="169" fontId="6" fillId="0" borderId="0" pivotButton="0" quotePrefix="0" xfId="0"/>
    <xf numFmtId="169" fontId="3" fillId="0" borderId="0" pivotButton="0" quotePrefix="0" xfId="0"/>
    <xf numFmtId="168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Travidz — Market Research v11 (TAM / SAM / SOM · Global)</t>
        </is>
      </c>
      <c r="B1" s="2" t="inlineStr"/>
    </row>
    <row r="2">
      <c r="A2" t="inlineStr">
        <is>
          <t>Reconciled to Travidz_Financial_Model_v6.xlsx and Travidz_Elevator_Pitch_v6</t>
        </is>
      </c>
      <c r="B2" t="inlineStr"/>
    </row>
    <row r="3">
      <c r="A3" t="inlineStr"/>
      <c r="B3" t="inlineStr"/>
    </row>
    <row r="4">
      <c r="A4" s="3" t="inlineStr">
        <is>
          <t>WHAT CHANGED vs v10</t>
        </is>
      </c>
      <c r="B4" s="4" t="inlineStr"/>
    </row>
    <row r="5">
      <c r="A5" t="inlineStr">
        <is>
          <t>UK TAM</t>
        </is>
      </c>
      <c r="B5" t="inlineStr">
        <is>
          <t>£89.75B → £87.56B (matches v6 model: 178.7M × £490)</t>
        </is>
      </c>
    </row>
    <row r="6">
      <c r="A6" t="inlineStr">
        <is>
          <t>UK SAM</t>
        </is>
      </c>
      <c r="B6" t="inlineStr">
        <is>
          <t>£23.20B → £25.22B (28.8% of UK TAM, not 26%)</t>
        </is>
      </c>
    </row>
    <row r="7">
      <c r="A7" t="inlineStr">
        <is>
          <t>UK+EU-5 TAM</t>
        </is>
      </c>
      <c r="B7" t="inlineStr">
        <is>
          <t>£345.14B → £342.37B (EU-5 multiplier 2.91×)</t>
        </is>
      </c>
    </row>
    <row r="8">
      <c r="A8" t="inlineStr">
        <is>
          <t>Y5 UK Base SOM (GBV)</t>
        </is>
      </c>
      <c r="B8" t="inlineStr">
        <is>
          <t>£350M → £444M (24k creators × £18.5k GBV)</t>
        </is>
      </c>
    </row>
    <row r="9">
      <c r="A9" t="inlineStr">
        <is>
          <t>Y5 UK Base Net Revenue</t>
        </is>
      </c>
      <c r="B9" t="inlineStr">
        <is>
          <t>£14M (8% pool) → £20.8M (11% gross, Stripe shared, tiered split)</t>
        </is>
      </c>
    </row>
    <row r="10">
      <c r="A10" t="inlineStr">
        <is>
          <t>Commission framing</t>
        </is>
      </c>
      <c r="B10" t="inlineStr">
        <is>
          <t>'8% pool' → 11% gross commission; Stripe 2.9% + £0.20 shared off the top; tiered 50/50/50/40/30 split</t>
        </is>
      </c>
    </row>
    <row r="11">
      <c r="A11" t="inlineStr">
        <is>
          <t>Avg basket value</t>
        </is>
      </c>
      <c r="B11" t="inlineStr">
        <is>
          <t>£350 → £490 (v6 blended £/trip)</t>
        </is>
      </c>
    </row>
    <row r="12">
      <c r="A12" t="inlineStr">
        <is>
          <t>Seed round</t>
        </is>
      </c>
      <c r="B12" t="inlineStr">
        <is>
          <t>£2.0M → £2.5M SAFE (per elevator pitch); next: Series A at £18M ARR run-rate</t>
        </is>
      </c>
    </row>
    <row r="13">
      <c r="A13" t="inlineStr">
        <is>
          <t>Global TAM headline</t>
        </is>
      </c>
      <c r="B13" t="inlineStr">
        <is>
          <t>£675B (UNWTO/WTTC, matches pitch headline)</t>
        </is>
      </c>
    </row>
    <row r="14">
      <c r="A14" t="inlineStr">
        <is>
          <t>Y5 blended take rate</t>
        </is>
      </c>
      <c r="B14" t="inlineStr">
        <is>
          <t>≈4.65% net to Travidz (after Stripe + tier split)</t>
        </is>
      </c>
    </row>
    <row r="15">
      <c r="A15" t="inlineStr"/>
      <c r="B15" t="inlineStr"/>
    </row>
    <row r="16">
      <c r="A16" s="3" t="inlineStr">
        <is>
          <t>COMMISSION FRAMEWORK (locked to v6)</t>
        </is>
      </c>
      <c r="B16" s="4" t="inlineStr"/>
    </row>
    <row r="17">
      <c r="A17" t="inlineStr">
        <is>
          <t>Gross commission</t>
        </is>
      </c>
      <c r="B17" t="inlineStr">
        <is>
          <t>11.0% charged to operator on GBV</t>
        </is>
      </c>
    </row>
    <row r="18">
      <c r="A18" t="inlineStr">
        <is>
          <t>Stripe variable</t>
        </is>
      </c>
      <c r="B18" t="inlineStr">
        <is>
          <t>2.9% — shared off the top before tier split</t>
        </is>
      </c>
    </row>
    <row r="19">
      <c r="A19" t="inlineStr">
        <is>
          <t>Stripe fixed</t>
        </is>
      </c>
      <c r="B19" t="inlineStr">
        <is>
          <t>£0.20 per transaction — shared off the top</t>
        </is>
      </c>
    </row>
    <row r="20">
      <c r="A20" t="inlineStr">
        <is>
          <t>Net pool split</t>
        </is>
      </c>
      <c r="B20" t="inlineStr">
        <is>
          <t>Founding 50/50 · Power 50/50 · New 50/50 · Maturing 60/40 · Mature 70/30 (Travidz/Creator)</t>
        </is>
      </c>
    </row>
    <row r="21">
      <c r="A21" t="inlineStr"/>
      <c r="B21" t="inlineStr"/>
    </row>
    <row r="22">
      <c r="A22" s="3" t="inlineStr">
        <is>
          <t>COLOUR KEY</t>
        </is>
      </c>
      <c r="B22" s="4" t="inlineStr"/>
    </row>
    <row r="23">
      <c r="A23" t="inlineStr">
        <is>
          <t>Blue</t>
        </is>
      </c>
      <c r="B23" t="inlineStr">
        <is>
          <t>Hardcoded input</t>
        </is>
      </c>
    </row>
    <row r="24">
      <c r="A24" t="inlineStr">
        <is>
          <t>Black</t>
        </is>
      </c>
      <c r="B24" t="inlineStr">
        <is>
          <t>Formula</t>
        </is>
      </c>
    </row>
    <row r="25">
      <c r="A25" t="inlineStr">
        <is>
          <t>Green</t>
        </is>
      </c>
      <c r="B25" t="inlineStr">
        <is>
          <t>Cross-sheet link</t>
        </is>
      </c>
    </row>
    <row r="26">
      <c r="A26" t="inlineStr">
        <is>
          <t>Yellow fill</t>
        </is>
      </c>
      <c r="B26" t="inlineStr">
        <is>
          <t>Key assumption — flex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</cols>
  <sheetData>
    <row r="1">
      <c r="A1" s="1" t="inlineStr">
        <is>
          <t>v6 Inputs — single source of truth</t>
        </is>
      </c>
      <c r="B1" s="2" t="n"/>
      <c r="C1" s="2" t="n"/>
    </row>
    <row r="3">
      <c r="A3" s="5" t="inlineStr">
        <is>
          <t>UK leisure trips / yr</t>
        </is>
      </c>
      <c r="B3" s="6" t="n">
        <v>178700000</v>
      </c>
      <c r="C3" s="7" t="inlineStr">
        <is>
          <t>ONS Travel Trends 2023 + VisitBritain GB Tourist 2023 [S1,S2]</t>
        </is>
      </c>
    </row>
    <row r="4">
      <c r="A4" s="5" t="inlineStr">
        <is>
          <t>Avg booking value (£)</t>
        </is>
      </c>
      <c r="B4" s="8" t="n">
        <v>490</v>
      </c>
      <c r="C4" s="7" t="inlineStr">
        <is>
          <t>Blended £/trip — v6 Assumptions [S9]</t>
        </is>
      </c>
    </row>
    <row r="5">
      <c r="A5" s="5" t="inlineStr">
        <is>
          <t>Bookings per traveller (UK)</t>
        </is>
      </c>
      <c r="B5" s="9" t="n">
        <v>1</v>
      </c>
      <c r="C5" s="7" t="inlineStr">
        <is>
          <t>Attach rate — v6 Assumptions</t>
        </is>
      </c>
    </row>
    <row r="6">
      <c r="A6" s="5" t="inlineStr">
        <is>
          <t>EU-5 expansion multiplier</t>
        </is>
      </c>
      <c r="B6" s="10" t="n">
        <v>2.91</v>
      </c>
      <c r="C6" s="7" t="inlineStr">
        <is>
          <t>EU-5 TAM = 2.91× UK TAM (Eurostat 2023 [S3])</t>
        </is>
      </c>
    </row>
    <row r="7">
      <c r="A7" s="5" t="inlineStr">
        <is>
          <t>SAM %</t>
        </is>
      </c>
      <c r="B7" s="11" t="n">
        <v>0.288</v>
      </c>
      <c r="C7" s="7" t="inlineStr">
        <is>
          <t>36% creator-influenced (GWI [S6]) × 80% bookable (Phocuswright [S9])</t>
        </is>
      </c>
    </row>
    <row r="8">
      <c r="A8" s="5" t="inlineStr">
        <is>
          <t>Bookings per traveller (Global)</t>
        </is>
      </c>
      <c r="B8" s="9" t="n">
        <v>1.5</v>
      </c>
      <c r="C8" s="7" t="inlineStr">
        <is>
          <t>Global Viral blend — v6 GLOBAL_REGIONS</t>
        </is>
      </c>
    </row>
    <row r="9">
      <c r="A9" s="5" t="inlineStr">
        <is>
          <t>Global SAM %</t>
        </is>
      </c>
      <c r="B9" s="11" t="n">
        <v>0.26</v>
      </c>
      <c r="C9" s="7" t="inlineStr">
        <is>
          <t>Global creator-influenced × bookable blend [S6,S9]</t>
        </is>
      </c>
    </row>
    <row r="10">
      <c r="A10" s="5" t="inlineStr">
        <is>
          <t>Gross commission %</t>
        </is>
      </c>
      <c r="B10" s="11" t="n">
        <v>0.11</v>
      </c>
      <c r="C10" s="7" t="inlineStr">
        <is>
          <t>v6 commercial — 11% on GBV</t>
        </is>
      </c>
    </row>
    <row r="11">
      <c r="A11" s="5" t="inlineStr">
        <is>
          <t>Stripe variable %</t>
        </is>
      </c>
      <c r="B11" s="11" t="n">
        <v>0.029</v>
      </c>
      <c r="C11" s="7" t="inlineStr">
        <is>
          <t>Stripe UK card blended [S-Stripe]</t>
        </is>
      </c>
    </row>
    <row r="12">
      <c r="A12" s="5" t="inlineStr">
        <is>
          <t>Stripe fixed per txn (£)</t>
        </is>
      </c>
      <c r="B12" s="12" t="n">
        <v>0.2</v>
      </c>
      <c r="C12" s="7" t="inlineStr">
        <is>
          <t>Stripe per-txn</t>
        </is>
      </c>
    </row>
    <row r="13">
      <c r="A13" s="5" t="inlineStr">
        <is>
          <t>Founding share of net pool</t>
        </is>
      </c>
      <c r="B13" s="11" t="n">
        <v>0.5</v>
      </c>
      <c r="C13" s="7" t="inlineStr">
        <is>
          <t>v6 tier split</t>
        </is>
      </c>
    </row>
    <row r="14">
      <c r="A14" s="5" t="inlineStr">
        <is>
          <t>Power share of net pool</t>
        </is>
      </c>
      <c r="B14" s="11" t="n">
        <v>0.5</v>
      </c>
      <c r="C14" s="7" t="inlineStr">
        <is>
          <t>v6 tier split</t>
        </is>
      </c>
    </row>
    <row r="15">
      <c r="A15" s="5" t="inlineStr">
        <is>
          <t>New share of net pool</t>
        </is>
      </c>
      <c r="B15" s="11" t="n">
        <v>0.5</v>
      </c>
      <c r="C15" s="7" t="inlineStr">
        <is>
          <t>v6 tier split</t>
        </is>
      </c>
    </row>
    <row r="16">
      <c r="A16" s="5" t="inlineStr">
        <is>
          <t>Maturing share of net pool</t>
        </is>
      </c>
      <c r="B16" s="11" t="n">
        <v>0.4</v>
      </c>
      <c r="C16" s="7" t="inlineStr">
        <is>
          <t>v6 tier split</t>
        </is>
      </c>
    </row>
    <row r="17">
      <c r="A17" s="5" t="inlineStr">
        <is>
          <t>Mature share of net pool</t>
        </is>
      </c>
      <c r="B17" s="11" t="n">
        <v>0.3</v>
      </c>
      <c r="C17" s="7" t="inlineStr">
        <is>
          <t>v6 tier split</t>
        </is>
      </c>
    </row>
    <row r="18">
      <c r="A18" s="5" t="inlineStr">
        <is>
          <t>GBV per active creator (£/yr)</t>
        </is>
      </c>
      <c r="B18" s="8" t="n">
        <v>18500</v>
      </c>
      <c r="C18" s="7" t="inlineStr">
        <is>
          <t>v6 Base — £1,540/mo blended</t>
        </is>
      </c>
    </row>
    <row r="19">
      <c r="A19" s="5" t="inlineStr">
        <is>
          <t>Power threshold (rolling 12mo £)</t>
        </is>
      </c>
      <c r="B19" s="8" t="n">
        <v>25000</v>
      </c>
      <c r="C19" s="7" t="inlineStr">
        <is>
          <t>v6 Founding-5,000 programme</t>
        </is>
      </c>
    </row>
    <row r="20">
      <c r="A20" s="5" t="inlineStr">
        <is>
          <t>Global TAM headline (£)</t>
        </is>
      </c>
      <c r="B20" s="13" t="n">
        <v>675000000000</v>
      </c>
      <c r="C20" s="7" t="inlineStr">
        <is>
          <t>UNWTO + WTTC 2024 [S4,S5]</t>
        </is>
      </c>
    </row>
    <row r="21">
      <c r="A21" s="5" t="inlineStr">
        <is>
          <t>Global SAM headline (£)</t>
        </is>
      </c>
      <c r="B21" s="13" t="n">
        <v>175000000000</v>
      </c>
      <c r="C21" s="7" t="inlineStr">
        <is>
          <t>26% of Global TAM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TAM — UK · UK+EU-5 · Global</t>
        </is>
      </c>
      <c r="B1" s="2" t="n"/>
      <c r="C1" s="2" t="n"/>
      <c r="D1" s="2" t="n"/>
    </row>
    <row r="3">
      <c r="A3" s="14" t="inlineStr">
        <is>
          <t>UK leisure trips / yr</t>
        </is>
      </c>
      <c r="B3" s="15">
        <f>Inputs!$B$3</f>
        <v/>
      </c>
    </row>
    <row r="4">
      <c r="A4" s="14" t="inlineStr">
        <is>
          <t>× Avg booking value</t>
        </is>
      </c>
      <c r="B4" s="16">
        <f>Inputs!$B$4</f>
        <v/>
      </c>
    </row>
    <row r="5">
      <c r="A5" s="14" t="inlineStr">
        <is>
          <t>× Bookings per traveller</t>
        </is>
      </c>
      <c r="B5" s="17">
        <f>Inputs!$B$5</f>
        <v/>
      </c>
    </row>
    <row r="6">
      <c r="A6" s="5" t="inlineStr">
        <is>
          <t>UK TAM (£)</t>
        </is>
      </c>
      <c r="B6" s="18">
        <f>B3*B4*B5</f>
        <v/>
      </c>
    </row>
    <row r="7">
      <c r="A7" s="14" t="inlineStr">
        <is>
          <t>EU-5 multiplier</t>
        </is>
      </c>
      <c r="B7" s="19">
        <f>Inputs!$B$6</f>
        <v/>
      </c>
    </row>
    <row r="8">
      <c r="A8" s="5" t="inlineStr">
        <is>
          <t>EU-5 TAM (£)</t>
        </is>
      </c>
      <c r="B8" s="18">
        <f>B6*B7</f>
        <v/>
      </c>
    </row>
    <row r="9">
      <c r="A9" s="5" t="inlineStr">
        <is>
          <t>UK + EU-5 TAM (£)</t>
        </is>
      </c>
      <c r="B9" s="18">
        <f>B6+B8</f>
        <v/>
      </c>
    </row>
    <row r="10">
      <c r="A10" s="5" t="inlineStr">
        <is>
          <t>Global TAM (£) — headline</t>
        </is>
      </c>
      <c r="B10" s="20">
        <f>Inputs!$B$20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SAM — 28.8% creator-influenced × bookable</t>
        </is>
      </c>
      <c r="B1" s="2" t="n"/>
    </row>
    <row r="3">
      <c r="A3" s="14" t="inlineStr">
        <is>
          <t>UK TAM (£)</t>
        </is>
      </c>
      <c r="B3" s="21">
        <f>TAM!B6</f>
        <v/>
      </c>
    </row>
    <row r="4">
      <c r="A4" s="14" t="inlineStr">
        <is>
          <t>× SAM % (UK)</t>
        </is>
      </c>
      <c r="B4" s="22">
        <f>Inputs!$B$7</f>
        <v/>
      </c>
    </row>
    <row r="5">
      <c r="A5" s="5" t="inlineStr">
        <is>
          <t>UK SAM (£)</t>
        </is>
      </c>
      <c r="B5" s="18">
        <f>B3*B4</f>
        <v/>
      </c>
    </row>
    <row r="6">
      <c r="A6" s="14" t="inlineStr">
        <is>
          <t>UK + EU-5 TAM (£)</t>
        </is>
      </c>
      <c r="B6" s="21">
        <f>TAM!B9</f>
        <v/>
      </c>
    </row>
    <row r="7">
      <c r="A7" s="14" t="inlineStr">
        <is>
          <t>× SAM %</t>
        </is>
      </c>
      <c r="B7" s="22">
        <f>Inputs!$B$7</f>
        <v/>
      </c>
    </row>
    <row r="8">
      <c r="A8" s="5" t="inlineStr">
        <is>
          <t>UK + EU-5 SAM (£)</t>
        </is>
      </c>
      <c r="B8" s="18">
        <f>B6*B7</f>
        <v/>
      </c>
    </row>
    <row r="9">
      <c r="A9" s="14" t="inlineStr">
        <is>
          <t>Global TAM (£)</t>
        </is>
      </c>
      <c r="B9" s="21">
        <f>TAM!B10</f>
        <v/>
      </c>
    </row>
    <row r="10">
      <c r="A10" s="14" t="inlineStr">
        <is>
          <t>× Global SAM %</t>
        </is>
      </c>
      <c r="B10" s="22">
        <f>Inputs!$B$9</f>
        <v/>
      </c>
    </row>
    <row r="11">
      <c r="A11" s="5" t="inlineStr">
        <is>
          <t>Global SAM (£) — headline</t>
        </is>
      </c>
      <c r="B11" s="20">
        <f>Inputs!$B$21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SOM — UK Base (v6 bottom-up)</t>
        </is>
      </c>
      <c r="B1" s="2" t="n"/>
      <c r="C1" s="2" t="n"/>
      <c r="D1" s="2" t="n"/>
      <c r="E1" s="2" t="n"/>
      <c r="F1" s="2" t="n"/>
      <c r="G1" s="2" t="n"/>
    </row>
    <row r="3">
      <c r="A3" s="5" t="inlineStr">
        <is>
          <t>Metric</t>
        </is>
      </c>
      <c r="B3" s="5" t="inlineStr">
        <is>
          <t>Y1</t>
        </is>
      </c>
      <c r="C3" s="5" t="inlineStr">
        <is>
          <t>Y2</t>
        </is>
      </c>
      <c r="D3" s="5" t="inlineStr">
        <is>
          <t>Y3</t>
        </is>
      </c>
      <c r="E3" s="5" t="inlineStr">
        <is>
          <t>Y4</t>
        </is>
      </c>
      <c r="F3" s="5" t="inlineStr">
        <is>
          <t>Y5</t>
        </is>
      </c>
    </row>
    <row r="4">
      <c r="A4" s="5" t="inlineStr">
        <is>
          <t>Active creators (EOY)</t>
        </is>
      </c>
      <c r="B4" s="6" t="n">
        <v>500</v>
      </c>
      <c r="C4" s="6" t="n">
        <v>2400</v>
      </c>
      <c r="D4" s="6" t="n">
        <v>6800</v>
      </c>
      <c r="E4" s="6" t="n">
        <v>14000</v>
      </c>
      <c r="F4" s="6" t="n">
        <v>24000</v>
      </c>
    </row>
    <row r="5">
      <c r="A5" t="inlineStr">
        <is>
          <t>GBV / creator (£)</t>
        </is>
      </c>
      <c r="B5" s="16">
        <f>Inputs!$B$18</f>
        <v/>
      </c>
      <c r="C5" s="16">
        <f>Inputs!$B$18</f>
        <v/>
      </c>
      <c r="D5" s="16">
        <f>Inputs!$B$18</f>
        <v/>
      </c>
      <c r="E5" s="16">
        <f>Inputs!$B$18</f>
        <v/>
      </c>
      <c r="F5" s="16">
        <f>Inputs!$B$18</f>
        <v/>
      </c>
    </row>
    <row r="6">
      <c r="A6" s="5" t="inlineStr">
        <is>
          <t>GBV (£)</t>
        </is>
      </c>
      <c r="B6" s="23">
        <f>B4*B5</f>
        <v/>
      </c>
      <c r="C6" s="23">
        <f>C4*C5</f>
        <v/>
      </c>
      <c r="D6" s="23">
        <f>D4*D5</f>
        <v/>
      </c>
      <c r="E6" s="23">
        <f>E4*E5</f>
        <v/>
      </c>
      <c r="F6" s="23">
        <f>F4*F5</f>
        <v/>
      </c>
    </row>
    <row r="8">
      <c r="A8" s="5" t="inlineStr">
        <is>
          <t>Tier mix (% of creator-driven GBV)</t>
        </is>
      </c>
    </row>
    <row r="9">
      <c r="A9" t="inlineStr">
        <is>
          <t>founding</t>
        </is>
      </c>
      <c r="B9" s="24" t="n">
        <v>1</v>
      </c>
      <c r="C9" s="24" t="n">
        <v>0.45</v>
      </c>
      <c r="D9" s="24" t="n">
        <v>0.22</v>
      </c>
      <c r="E9" s="24" t="n">
        <v>0.12</v>
      </c>
      <c r="F9" s="24" t="n">
        <v>0.08</v>
      </c>
    </row>
    <row r="10">
      <c r="A10" t="inlineStr">
        <is>
          <t>power</t>
        </is>
      </c>
      <c r="B10" s="24" t="n">
        <v>0</v>
      </c>
      <c r="C10" s="24" t="n">
        <v>0.05</v>
      </c>
      <c r="D10" s="24" t="n">
        <v>0.18</v>
      </c>
      <c r="E10" s="24" t="n">
        <v>0.28</v>
      </c>
      <c r="F10" s="24" t="n">
        <v>0.34</v>
      </c>
    </row>
    <row r="11">
      <c r="A11" t="inlineStr">
        <is>
          <t>mature</t>
        </is>
      </c>
      <c r="B11" s="24" t="n">
        <v>0</v>
      </c>
      <c r="C11" s="24" t="n">
        <v>0</v>
      </c>
      <c r="D11" s="24" t="n">
        <v>0.1</v>
      </c>
      <c r="E11" s="24" t="n">
        <v>0.25</v>
      </c>
      <c r="F11" s="24" t="n">
        <v>0.32</v>
      </c>
    </row>
    <row r="12">
      <c r="A12" t="inlineStr">
        <is>
          <t>maturing</t>
        </is>
      </c>
      <c r="B12" s="24" t="n">
        <v>0</v>
      </c>
      <c r="C12" s="24" t="n">
        <v>0.15</v>
      </c>
      <c r="D12" s="24" t="n">
        <v>0.3</v>
      </c>
      <c r="E12" s="24" t="n">
        <v>0.25</v>
      </c>
      <c r="F12" s="24" t="n">
        <v>0.18</v>
      </c>
    </row>
    <row r="13">
      <c r="A13" t="inlineStr">
        <is>
          <t>new</t>
        </is>
      </c>
      <c r="B13" s="24" t="n">
        <v>0</v>
      </c>
      <c r="C13" s="24" t="n">
        <v>0.35</v>
      </c>
      <c r="D13" s="24" t="n">
        <v>0.2</v>
      </c>
      <c r="E13" s="24" t="n">
        <v>0.1</v>
      </c>
      <c r="F13" s="24" t="n">
        <v>0.08</v>
      </c>
    </row>
    <row r="14">
      <c r="A14" s="5" t="inlineStr">
        <is>
          <t>Sum check</t>
        </is>
      </c>
      <c r="B14" s="25">
        <f>SUM(B9:B13)</f>
        <v/>
      </c>
      <c r="C14" s="25">
        <f>SUM(C9:C13)</f>
        <v/>
      </c>
      <c r="D14" s="25">
        <f>SUM(D9:D13)</f>
        <v/>
      </c>
      <c r="E14" s="25">
        <f>SUM(E9:E13)</f>
        <v/>
      </c>
      <c r="F14" s="25">
        <f>SUM(F9:F13)</f>
        <v/>
      </c>
    </row>
    <row r="16">
      <c r="A16" s="5" t="inlineStr">
        <is>
          <t>Commission walk</t>
        </is>
      </c>
    </row>
    <row r="17">
      <c r="A17" t="inlineStr">
        <is>
          <t>Gross commission (11% × GBV)</t>
        </is>
      </c>
      <c r="B17" s="26">
        <f>B6*Inputs!$B$10</f>
        <v/>
      </c>
      <c r="C17" s="26">
        <f>C6*Inputs!$B$10</f>
        <v/>
      </c>
      <c r="D17" s="26">
        <f>D6*Inputs!$B$10</f>
        <v/>
      </c>
      <c r="E17" s="26">
        <f>E6*Inputs!$B$10</f>
        <v/>
      </c>
      <c r="F17" s="26">
        <f>F6*Inputs!$B$10</f>
        <v/>
      </c>
    </row>
    <row r="18">
      <c r="A18" t="inlineStr">
        <is>
          <t>Less: Stripe variable (2.9% × GBV)</t>
        </is>
      </c>
      <c r="B18" s="26">
        <f>-B6*Inputs!$B$11</f>
        <v/>
      </c>
      <c r="C18" s="26">
        <f>-C6*Inputs!$B$11</f>
        <v/>
      </c>
      <c r="D18" s="26">
        <f>-D6*Inputs!$B$11</f>
        <v/>
      </c>
      <c r="E18" s="26">
        <f>-E6*Inputs!$B$11</f>
        <v/>
      </c>
      <c r="F18" s="26">
        <f>-F6*Inputs!$B$11</f>
        <v/>
      </c>
    </row>
    <row r="19">
      <c r="A19" t="inlineStr">
        <is>
          <t>Less: Stripe fixed (£0.20 × txns)</t>
        </is>
      </c>
      <c r="B19" s="26">
        <f>-(B6/Inputs!$B$4)*Inputs!$B$12</f>
        <v/>
      </c>
      <c r="C19" s="26">
        <f>-(C6/Inputs!$B$4)*Inputs!$B$12</f>
        <v/>
      </c>
      <c r="D19" s="26">
        <f>-(D6/Inputs!$B$4)*Inputs!$B$12</f>
        <v/>
      </c>
      <c r="E19" s="26">
        <f>-(E6/Inputs!$B$4)*Inputs!$B$12</f>
        <v/>
      </c>
      <c r="F19" s="26">
        <f>-(F6/Inputs!$B$4)*Inputs!$B$12</f>
        <v/>
      </c>
    </row>
    <row r="20">
      <c r="A20" s="5" t="inlineStr">
        <is>
          <t>Net pool (post-Stripe)</t>
        </is>
      </c>
      <c r="B20" s="23">
        <f>SUM(B17:B19)</f>
        <v/>
      </c>
      <c r="C20" s="23">
        <f>SUM(C17:C19)</f>
        <v/>
      </c>
      <c r="D20" s="23">
        <f>SUM(D17:D19)</f>
        <v/>
      </c>
      <c r="E20" s="23">
        <f>SUM(E17:E19)</f>
        <v/>
      </c>
      <c r="F20" s="23">
        <f>SUM(F17:F19)</f>
        <v/>
      </c>
    </row>
    <row r="21">
      <c r="A21" t="inlineStr">
        <is>
          <t>Travidz keep % of net pool</t>
        </is>
      </c>
      <c r="B21" s="27">
        <f>B9*0.5+B10*0.5+B13*0.5+B12*0.6+B11*0.7</f>
        <v/>
      </c>
      <c r="C21" s="27">
        <f>C9*0.5+C10*0.5+C13*0.5+C12*0.6+C11*0.7</f>
        <v/>
      </c>
      <c r="D21" s="27">
        <f>D9*0.5+D10*0.5+D13*0.5+D12*0.6+D11*0.7</f>
        <v/>
      </c>
      <c r="E21" s="27">
        <f>E9*0.5+E10*0.5+E13*0.5+E12*0.6+E11*0.7</f>
        <v/>
      </c>
      <c r="F21" s="27">
        <f>F9*0.5+F10*0.5+F13*0.5+F12*0.6+F11*0.7</f>
        <v/>
      </c>
    </row>
    <row r="22">
      <c r="A22" s="5" t="inlineStr">
        <is>
          <t>Travidz net revenue (£)</t>
        </is>
      </c>
      <c r="B22" s="23">
        <f>B20*B21</f>
        <v/>
      </c>
      <c r="C22" s="23">
        <f>C20*C21</f>
        <v/>
      </c>
      <c r="D22" s="23">
        <f>D20*D21</f>
        <v/>
      </c>
      <c r="E22" s="23">
        <f>E20*E21</f>
        <v/>
      </c>
      <c r="F22" s="23">
        <f>F20*F21</f>
        <v/>
      </c>
    </row>
    <row r="23">
      <c r="A23" s="5" t="inlineStr">
        <is>
          <t>Blended take rate (Net / GBV)</t>
        </is>
      </c>
      <c r="B23" s="28">
        <f>B22/B6</f>
        <v/>
      </c>
      <c r="C23" s="28">
        <f>C22/C6</f>
        <v/>
      </c>
      <c r="D23" s="28">
        <f>D22/D6</f>
        <v/>
      </c>
      <c r="E23" s="28">
        <f>E22/E6</f>
        <v/>
      </c>
      <c r="F23" s="28">
        <f>F22/F6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SOM — Global Viral upside</t>
        </is>
      </c>
      <c r="B1" s="2" t="n"/>
      <c r="C1" s="2" t="n"/>
      <c r="D1" s="2" t="n"/>
      <c r="E1" s="2" t="n"/>
      <c r="F1" s="2" t="n"/>
      <c r="G1" s="2" t="n"/>
    </row>
    <row r="3">
      <c r="A3" s="5" t="inlineStr">
        <is>
          <t>Metric</t>
        </is>
      </c>
      <c r="B3" s="5" t="inlineStr">
        <is>
          <t>Y1</t>
        </is>
      </c>
      <c r="C3" s="5" t="inlineStr">
        <is>
          <t>Y2</t>
        </is>
      </c>
      <c r="D3" s="5" t="inlineStr">
        <is>
          <t>Y3</t>
        </is>
      </c>
      <c r="E3" s="5" t="inlineStr">
        <is>
          <t>Y4</t>
        </is>
      </c>
      <c r="F3" s="5" t="inlineStr">
        <is>
          <t>Y5</t>
        </is>
      </c>
    </row>
    <row r="4">
      <c r="A4" s="5" t="inlineStr">
        <is>
          <t>Active creators (EOY)</t>
        </is>
      </c>
      <c r="B4" s="6" t="n">
        <v>1500</v>
      </c>
      <c r="C4" s="6" t="n">
        <v>9000</v>
      </c>
      <c r="D4" s="6" t="n">
        <v>32000</v>
      </c>
      <c r="E4" s="6" t="n">
        <v>70000</v>
      </c>
      <c r="F4" s="6" t="n">
        <v>120000</v>
      </c>
    </row>
    <row r="5">
      <c r="A5" t="inlineStr">
        <is>
          <t>GBV / creator (£) — global blend</t>
        </is>
      </c>
      <c r="B5" s="8" t="n">
        <v>11000</v>
      </c>
      <c r="C5" s="8" t="n">
        <v>11000</v>
      </c>
      <c r="D5" s="8" t="n">
        <v>11000</v>
      </c>
      <c r="E5" s="8" t="n">
        <v>11000</v>
      </c>
      <c r="F5" s="8" t="n">
        <v>11000</v>
      </c>
    </row>
    <row r="6">
      <c r="A6" s="5" t="inlineStr">
        <is>
          <t>GBV (£)</t>
        </is>
      </c>
      <c r="B6" s="23">
        <f>B4*B5</f>
        <v/>
      </c>
      <c r="C6" s="23">
        <f>C4*C5</f>
        <v/>
      </c>
      <c r="D6" s="23">
        <f>D4*D5</f>
        <v/>
      </c>
      <c r="E6" s="23">
        <f>E4*E5</f>
        <v/>
      </c>
      <c r="F6" s="23">
        <f>F4*F5</f>
        <v/>
      </c>
    </row>
    <row r="7">
      <c r="A7" s="5" t="inlineStr">
        <is>
          <t>Travidz net (≈4.68% blended take)</t>
        </is>
      </c>
      <c r="B7" s="23">
        <f>B6*0.0468</f>
        <v/>
      </c>
      <c r="C7" s="23">
        <f>C6*0.0468</f>
        <v/>
      </c>
      <c r="D7" s="23">
        <f>D6*0.0468</f>
        <v/>
      </c>
      <c r="E7" s="23">
        <f>E6*0.0468</f>
        <v/>
      </c>
      <c r="F7" s="23">
        <f>F6*0.0468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Scenarios — Bear / Base / Bull (mirrors v6 model)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Scenario</t>
        </is>
      </c>
      <c r="B3" s="5" t="inlineStr">
        <is>
          <t>Y1</t>
        </is>
      </c>
      <c r="C3" s="5" t="inlineStr">
        <is>
          <t>Y2</t>
        </is>
      </c>
      <c r="D3" s="5" t="inlineStr">
        <is>
          <t>Y3</t>
        </is>
      </c>
      <c r="E3" s="5" t="inlineStr">
        <is>
          <t>Y4</t>
        </is>
      </c>
      <c r="F3" s="5" t="inlineStr">
        <is>
          <t>Y5</t>
        </is>
      </c>
      <c r="G3" s="5" t="inlineStr">
        <is>
          <t>GBV/creator (£)</t>
        </is>
      </c>
      <c r="H3" s="5" t="inlineStr">
        <is>
          <t>ABV (£)</t>
        </is>
      </c>
    </row>
    <row r="4">
      <c r="A4" s="5" t="inlineStr">
        <is>
          <t>Bear</t>
        </is>
      </c>
      <c r="B4" s="29" t="n">
        <v>300</v>
      </c>
      <c r="C4" s="29" t="n">
        <v>1200</v>
      </c>
      <c r="D4" s="29" t="n">
        <v>3200</v>
      </c>
      <c r="E4" s="29" t="n">
        <v>6500</v>
      </c>
      <c r="F4" s="29" t="n">
        <v>11000</v>
      </c>
      <c r="G4" s="30" t="n">
        <v>14000</v>
      </c>
      <c r="H4" s="30" t="n">
        <v>490</v>
      </c>
    </row>
    <row r="5">
      <c r="A5" s="5" t="inlineStr">
        <is>
          <t>Base</t>
        </is>
      </c>
      <c r="B5" s="29" t="n">
        <v>500</v>
      </c>
      <c r="C5" s="29" t="n">
        <v>2400</v>
      </c>
      <c r="D5" s="29" t="n">
        <v>6800</v>
      </c>
      <c r="E5" s="29" t="n">
        <v>14000</v>
      </c>
      <c r="F5" s="29" t="n">
        <v>24000</v>
      </c>
      <c r="G5" s="30" t="n">
        <v>18500</v>
      </c>
      <c r="H5" s="30" t="n">
        <v>490</v>
      </c>
    </row>
    <row r="6">
      <c r="A6" s="5" t="inlineStr">
        <is>
          <t>Bull</t>
        </is>
      </c>
      <c r="B6" s="29" t="n">
        <v>700</v>
      </c>
      <c r="C6" s="29" t="n">
        <v>3400</v>
      </c>
      <c r="D6" s="29" t="n">
        <v>9800</v>
      </c>
      <c r="E6" s="29" t="n">
        <v>20000</v>
      </c>
      <c r="F6" s="29" t="n">
        <v>34000</v>
      </c>
      <c r="G6" s="30" t="n">
        <v>22500</v>
      </c>
      <c r="H6" s="30" t="n">
        <v>560</v>
      </c>
    </row>
    <row r="7">
      <c r="B7" s="5" t="inlineStr">
        <is>
          <t>Bear</t>
        </is>
      </c>
      <c r="C7" s="5" t="inlineStr">
        <is>
          <t>Base</t>
        </is>
      </c>
      <c r="D7" s="5" t="inlineStr">
        <is>
          <t>Bull</t>
        </is>
      </c>
    </row>
    <row r="8">
      <c r="A8" s="5" t="inlineStr">
        <is>
          <t>Y5 GBV (£) — calc</t>
        </is>
      </c>
      <c r="B8" s="26">
        <f>F4*G4</f>
        <v/>
      </c>
      <c r="C8" s="26">
        <f>F5*G5</f>
        <v/>
      </c>
      <c r="D8" s="26">
        <f>F6*G6</f>
        <v/>
      </c>
    </row>
    <row r="9">
      <c r="A9" s="5" t="inlineStr">
        <is>
          <t>Y5 Net rev (£) — at 4.68% blended</t>
        </is>
      </c>
      <c r="B9" s="26">
        <f>B8*0.0468</f>
        <v/>
      </c>
      <c r="C9" s="26">
        <f>C8*0.0468</f>
        <v/>
      </c>
      <c r="D9" s="26">
        <f>D8*0.0468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Executive Summary — v6-aligned</t>
        </is>
      </c>
      <c r="B1" s="2" t="n"/>
      <c r="C1" s="2" t="n"/>
      <c r="D1" s="2" t="n"/>
    </row>
    <row r="3">
      <c r="A3" s="5" t="inlineStr">
        <is>
          <t>Layer</t>
        </is>
      </c>
      <c r="B3" s="5" t="inlineStr">
        <is>
          <t>UK</t>
        </is>
      </c>
      <c r="C3" s="5" t="inlineStr">
        <is>
          <t>UK + EU-5</t>
        </is>
      </c>
      <c r="D3" s="5" t="inlineStr">
        <is>
          <t>Global</t>
        </is>
      </c>
    </row>
    <row r="4">
      <c r="A4" s="5" t="inlineStr">
        <is>
          <t>TAM (£)</t>
        </is>
      </c>
      <c r="B4" s="21">
        <f>TAM!B6</f>
        <v/>
      </c>
      <c r="C4" s="21">
        <f>TAM!B9</f>
        <v/>
      </c>
      <c r="D4" s="21">
        <f>TAM!B10</f>
        <v/>
      </c>
    </row>
    <row r="5">
      <c r="A5" s="5" t="inlineStr">
        <is>
          <t>SAM (£)</t>
        </is>
      </c>
      <c r="B5" s="21">
        <f>SAM!B5</f>
        <v/>
      </c>
      <c r="C5" s="21">
        <f>SAM!B8</f>
        <v/>
      </c>
      <c r="D5" s="21">
        <f>SAM!B11</f>
        <v/>
      </c>
    </row>
    <row r="7">
      <c r="A7" s="5" t="inlineStr">
        <is>
          <t>Y5 SOM — UK Base GBV</t>
        </is>
      </c>
      <c r="B7" s="31">
        <f>SOM_UK_Base!F6</f>
        <v/>
      </c>
    </row>
    <row r="8">
      <c r="A8" s="5" t="inlineStr">
        <is>
          <t>Y5 SOM — UK Base Net Revenue</t>
        </is>
      </c>
      <c r="B8" s="31">
        <f>SOM_UK_Base!F22</f>
        <v/>
      </c>
    </row>
    <row r="9">
      <c r="A9" s="5" t="inlineStr">
        <is>
          <t>Y5 SOM — Global Viral GBV</t>
        </is>
      </c>
      <c r="B9" s="31">
        <f>SOM_Global_Viral!F6</f>
        <v/>
      </c>
    </row>
    <row r="10">
      <c r="A10" s="5" t="inlineStr">
        <is>
          <t>Y5 SOM — Global Viral Net Revenue</t>
        </is>
      </c>
      <c r="B10" s="31">
        <f>SOM_Global_Viral!F7</f>
        <v/>
      </c>
    </row>
    <row r="11">
      <c r="A11" s="5" t="inlineStr">
        <is>
          <t>Y5 blended take rate (UK Base)</t>
        </is>
      </c>
      <c r="B11" s="22">
        <f>SOM_UK_Base!F23</f>
        <v/>
      </c>
    </row>
    <row r="13">
      <c r="A13" s="3" t="inlineStr">
        <is>
          <t>TOP 5 PITCH-READY STATS</t>
        </is>
      </c>
    </row>
    <row r="14">
      <c r="A14" t="inlineStr">
        <is>
          <t>£675B Global TAM · £342B UK+EU-5 · £87.6B UK leisure travel (ONS, VisitBritain, Eurostat, UNWTO, WTTC)</t>
        </is>
      </c>
    </row>
    <row r="15">
      <c r="A15" t="inlineStr">
        <is>
          <t>78% of Gen Z/M start travel planning on social media — Expedia Path-to-Purchase 2023</t>
        </is>
      </c>
    </row>
    <row r="16">
      <c r="A16" t="inlineStr">
        <is>
          <t>Creator-influenced travel spend $1.3T globally by 2027 — Skift Megatrends 2024</t>
        </is>
      </c>
    </row>
    <row r="17">
      <c r="A17" t="inlineStr">
        <is>
          <t>11% gross commission · ~4.65% Y5 blended net take after Stripe + tiered creator split</t>
        </is>
      </c>
    </row>
    <row r="18">
      <c r="A18" t="inlineStr">
        <is>
          <t>Y5 SOM range £444M (UK Base) → £1.32B (Global Viral) — both &lt;1% of Global SAM</t>
        </is>
      </c>
    </row>
    <row r="20">
      <c r="A20" s="3" t="inlineStr">
        <is>
          <t>FUNDING &amp; RUNWAY</t>
        </is>
      </c>
    </row>
    <row r="21">
      <c r="A21" s="5" t="inlineStr">
        <is>
          <t>Round</t>
        </is>
      </c>
      <c r="B21" s="5" t="inlineStr">
        <is>
          <t>Amount</t>
        </is>
      </c>
      <c r="C21" s="5" t="inlineStr">
        <is>
          <t>Trigger</t>
        </is>
      </c>
      <c r="D21" s="5" t="inlineStr">
        <is>
          <t>Use</t>
        </is>
      </c>
    </row>
    <row r="22">
      <c r="A22" t="inlineStr">
        <is>
          <t>Seed (SAFE)</t>
        </is>
      </c>
      <c r="B22" s="32" t="n">
        <v>2500000</v>
      </c>
      <c r="C22" t="inlineStr">
        <is>
          <t>Now</t>
        </is>
      </c>
      <c r="D22" t="inlineStr">
        <is>
          <t>UK eng &amp; growth, founding-5,000 incentives, 18-mo runway</t>
        </is>
      </c>
    </row>
    <row r="23">
      <c r="A23" t="inlineStr">
        <is>
          <t>Series A</t>
        </is>
      </c>
      <c r="B23" s="32" t="n">
        <v>18000000</v>
      </c>
      <c r="C23" t="inlineStr">
        <is>
          <t>At £18M ARR run-rate</t>
        </is>
      </c>
      <c r="D23" t="inlineStr">
        <is>
          <t>EU-5 expansion, paid UA scale, supply ops</t>
        </is>
      </c>
    </row>
    <row r="24">
      <c r="A24" t="inlineStr">
        <is>
          <t>Series B</t>
        </is>
      </c>
      <c r="B24" s="32" t="n">
        <v>40000000</v>
      </c>
      <c r="C24" t="inlineStr">
        <is>
          <t>M44+</t>
        </is>
      </c>
      <c r="D24" t="inlineStr">
        <is>
          <t>US entry, partnerships, supply-side ops</t>
        </is>
      </c>
    </row>
  </sheetData>
  <mergeCells count="5">
    <mergeCell ref="A17:D17"/>
    <mergeCell ref="A18:D18"/>
    <mergeCell ref="A15:D15"/>
    <mergeCell ref="A16:D16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Reconciliation — Workbook vs v6 Financial Model</t>
        </is>
      </c>
      <c r="B1" s="2" t="n"/>
      <c r="C1" s="2" t="n"/>
      <c r="D1" s="2" t="n"/>
    </row>
    <row r="3">
      <c r="A3" s="5" t="inlineStr">
        <is>
          <t>Metric</t>
        </is>
      </c>
      <c r="B3" s="5" t="inlineStr">
        <is>
          <t>Workbook</t>
        </is>
      </c>
      <c r="C3" s="5" t="inlineStr">
        <is>
          <t>v6 Model</t>
        </is>
      </c>
      <c r="D3" s="5" t="inlineStr">
        <is>
          <t>Delta</t>
        </is>
      </c>
    </row>
    <row r="4">
      <c r="A4" t="inlineStr">
        <is>
          <t>UK TAM (£)</t>
        </is>
      </c>
      <c r="B4" s="21">
        <f>TAM!B6</f>
        <v/>
      </c>
      <c r="C4" s="33" t="n">
        <v>87563000000</v>
      </c>
      <c r="D4" s="26">
        <f>B4-C4</f>
        <v/>
      </c>
    </row>
    <row r="5">
      <c r="A5" t="inlineStr">
        <is>
          <t>UK+EU-5 TAM (£)</t>
        </is>
      </c>
      <c r="B5" s="21">
        <f>TAM!B9</f>
        <v/>
      </c>
      <c r="C5" s="33" t="n">
        <v>342371330000</v>
      </c>
      <c r="D5" s="26">
        <f>B5-C5</f>
        <v/>
      </c>
    </row>
    <row r="6">
      <c r="A6" t="inlineStr">
        <is>
          <t>UK SAM (£)</t>
        </is>
      </c>
      <c r="B6" s="21">
        <f>SAM!B5</f>
        <v/>
      </c>
      <c r="C6" s="33" t="n">
        <v>25218144000</v>
      </c>
      <c r="D6" s="26">
        <f>B6-C6</f>
        <v/>
      </c>
    </row>
    <row r="7">
      <c r="A7" t="inlineStr">
        <is>
          <t>UK+EU-5 SAM (£)</t>
        </is>
      </c>
      <c r="B7" s="21">
        <f>SAM!B8</f>
        <v/>
      </c>
      <c r="C7" s="33" t="n">
        <v>98602943040</v>
      </c>
      <c r="D7" s="26">
        <f>B7-C7</f>
        <v/>
      </c>
    </row>
    <row r="8">
      <c r="A8" t="inlineStr">
        <is>
          <t>Y5 UK GBV (£)</t>
        </is>
      </c>
      <c r="B8" s="21">
        <f>SOM_UK_Base!F6</f>
        <v/>
      </c>
      <c r="C8" s="33" t="n">
        <v>444000000</v>
      </c>
      <c r="D8" s="26">
        <f>B8-C8</f>
        <v/>
      </c>
    </row>
    <row r="9">
      <c r="A9" t="inlineStr">
        <is>
          <t>Y5 Global Viral GBV (£)</t>
        </is>
      </c>
      <c r="B9" s="21">
        <f>SOM_Global_Viral!F6</f>
        <v/>
      </c>
      <c r="C9" s="33" t="n">
        <v>1322400000</v>
      </c>
      <c r="D9" s="26">
        <f>B9-C9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Sources</t>
        </is>
      </c>
      <c r="B1" s="2" t="n"/>
    </row>
    <row r="3">
      <c r="A3" s="5" t="inlineStr">
        <is>
          <t>S1</t>
        </is>
      </c>
      <c r="B3" t="inlineStr">
        <is>
          <t>ONS Travel Trends 2023 — UK outbound leisure trips</t>
        </is>
      </c>
    </row>
    <row r="4">
      <c r="A4" s="5" t="inlineStr">
        <is>
          <t>S2</t>
        </is>
      </c>
      <c r="B4" t="inlineStr">
        <is>
          <t>VisitBritain GB Tourist 2023 — UK domestic leisure trips</t>
        </is>
      </c>
    </row>
    <row r="5">
      <c r="A5" s="5" t="inlineStr">
        <is>
          <t>S3</t>
        </is>
      </c>
      <c r="B5" t="inlineStr">
        <is>
          <t>Eurostat Tourism Statistics 2023 — EU-5 outbound + domestic</t>
        </is>
      </c>
    </row>
    <row r="6">
      <c r="A6" s="5" t="inlineStr">
        <is>
          <t>S4</t>
        </is>
      </c>
      <c r="B6" t="inlineStr">
        <is>
          <t>UNWTO World Tourism Barometer 2024 — Global international arrivals &amp; receipts</t>
        </is>
      </c>
    </row>
    <row r="7">
      <c r="A7" s="5" t="inlineStr">
        <is>
          <t>S5</t>
        </is>
      </c>
      <c r="B7" t="inlineStr">
        <is>
          <t>WTTC Economic Impact Report 2024 — Leisure travel spend</t>
        </is>
      </c>
    </row>
    <row r="8">
      <c r="A8" s="5" t="inlineStr">
        <is>
          <t>S6</t>
        </is>
      </c>
      <c r="B8" t="inlineStr">
        <is>
          <t>GWI Travel 2024 — 36% of travellers cite social/creators as primary trip inspiration</t>
        </is>
      </c>
    </row>
    <row r="9">
      <c r="A9" s="5" t="inlineStr">
        <is>
          <t>S9</t>
        </is>
      </c>
      <c r="B9" t="inlineStr">
        <is>
          <t>Phocuswright Global Online Travel Overview 2024 — Bookable mix, blended ABV</t>
        </is>
      </c>
    </row>
    <row r="10">
      <c r="A10" s="5" t="inlineStr">
        <is>
          <t>S-Stripe</t>
        </is>
      </c>
      <c r="B10" t="inlineStr">
        <is>
          <t>Stripe UK pricing — 2.9% + £0.20 per card transaction</t>
        </is>
      </c>
    </row>
    <row r="11">
      <c r="A11" s="5" t="inlineStr">
        <is>
          <t>S21</t>
        </is>
      </c>
      <c r="B11" t="inlineStr">
        <is>
          <t>Bank of England average exchange rates 2024-25</t>
        </is>
      </c>
    </row>
    <row r="12">
      <c r="A12" s="5" t="inlineStr">
        <is>
          <t>S22</t>
        </is>
      </c>
      <c r="B12" t="inlineStr">
        <is>
          <t>ONS CPI Inflation 2024-25</t>
        </is>
      </c>
    </row>
    <row r="13">
      <c r="A13" s="5" t="inlineStr">
        <is>
          <t>Skift</t>
        </is>
      </c>
      <c r="B13" t="inlineStr">
        <is>
          <t>Skift Megatrends 2024 — Creator-influenced travel $1.3T by 2027</t>
        </is>
      </c>
    </row>
    <row r="14">
      <c r="A14" s="5" t="inlineStr">
        <is>
          <t>Expedia</t>
        </is>
      </c>
      <c r="B14" t="inlineStr">
        <is>
          <t>Expedia Group Path-to-Purchase 2023 — Social discovery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2026-05-28T10:16:07Z</dcterms:created>
  <dcterms:modified xmlns:dcterms="http://purl.org/dc/terms/" xmlns:xsi="http://www.w3.org/2001/XMLSchema-instance" xsi:type="dcterms:W3CDTF">2026-05-28T10:16:07Z</dcterms:modified>
</cp:coreProperties>
</file>