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6"/>
  </bookViews>
  <sheets>
    <sheet name="summary_dashboard" sheetId="1" state="visible" r:id="rId3"/>
    <sheet name="global_viral_summary" sheetId="2" state="visible" r:id="rId4"/>
    <sheet name="regions" sheetId="3" state="visible" r:id="rId5"/>
    <sheet name="assumptions" sheetId="4" state="visible" r:id="rId6"/>
    <sheet name="channel_cac" sheetId="5" state="visible" r:id="rId7"/>
    <sheet name="headcount_uk" sheetId="6" state="visible" r:id="rId8"/>
    <sheet name="creator_cohorts" sheetId="7" state="visible" r:id="rId9"/>
    <sheet name="operator_supply" sheetId="8" state="visible" r:id="rId10"/>
    <sheet name="combined_pnl_cash" sheetId="9" state="visible" r:id="rId11"/>
  </sheets>
  <definedNames>
    <definedName function="false" hidden="false" name="scenario_idx" vbProcedure="false">MATCH(summary_dashboard!$B$2,{"Base","Bear","Bull","Global Viral"},0)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<sst xmlns="http://schemas.openxmlformats.org/spreadsheetml/2006/main" count="707" uniqueCount="457">
  <si>
    <t xml:space="preserve">Travidz — Financial Model v1 (60 months)</t>
  </si>
  <si>
    <t xml:space="preserve">Scenario:</t>
  </si>
  <si>
    <t xml:space="preserve">Base</t>
  </si>
  <si>
    <t xml:space="preserve">(Base / Bear / Bull)</t>
  </si>
  <si>
    <t xml:space="preserve">KEY METRICS</t>
  </si>
  <si>
    <t xml:space="preserve">Metric</t>
  </si>
  <si>
    <t xml:space="preserve">M12 (Y1)</t>
  </si>
  <si>
    <t xml:space="preserve">M24 (Y2)</t>
  </si>
  <si>
    <t xml:space="preserve">M36 (Y3)</t>
  </si>
  <si>
    <t xml:space="preserve">M48 (Y4)</t>
  </si>
  <si>
    <t xml:space="preserve">M60 (Y5)</t>
  </si>
  <si>
    <t xml:space="preserve">Active creators (EOY)</t>
  </si>
  <si>
    <t xml:space="preserve">Active operators (EOY)</t>
  </si>
  <si>
    <t xml:space="preserve">Active FTE (EOY)</t>
  </si>
  <si>
    <t xml:space="preserve">Annual GBV</t>
  </si>
  <si>
    <t xml:space="preserve">Annual Travidz net revenue</t>
  </si>
  <si>
    <t xml:space="preserve">Blended take-rate</t>
  </si>
  <si>
    <t xml:space="preserve">Annual EBITDA</t>
  </si>
  <si>
    <t xml:space="preserve">EBITDA margin</t>
  </si>
  <si>
    <t xml:space="preserve">Closing cash (EOY)</t>
  </si>
  <si>
    <t xml:space="preserve">Peak cash deficit</t>
  </si>
  <si>
    <t xml:space="preserve">SUMMARY KPIs</t>
  </si>
  <si>
    <t xml:space="preserve">Peak monthly burn (£)</t>
  </si>
  <si>
    <t xml:space="preserve">Month of peak burn</t>
  </si>
  <si>
    <t xml:space="preserve">Months to EBITDA breakeven</t>
  </si>
  <si>
    <t xml:space="preserve">Peak cash deficit (£)</t>
  </si>
  <si>
    <t xml:space="preserve">Required seed (peak burn × -1 + 25% buffer)</t>
  </si>
  <si>
    <t xml:space="preserve">Y5 ARR-equivalent (Travidz net × 12 at M60)</t>
  </si>
  <si>
    <t xml:space="preserve">Y5 Annual GBV</t>
  </si>
  <si>
    <t xml:space="preserve">Y5 Travidz net revenue</t>
  </si>
  <si>
    <t xml:space="preserve">Y5 Active creators</t>
  </si>
  <si>
    <t xml:space="preserve">Y5 Active FTE</t>
  </si>
  <si>
    <t xml:space="preserve">Y5 Blended take-rate</t>
  </si>
  <si>
    <t xml:space="preserve">v6 TS-MODEL CROSS-CHECK (target — should match Base)</t>
  </si>
  <si>
    <t xml:space="preserve">Target (v6)</t>
  </si>
  <si>
    <t xml:space="preserve">Model Y5</t>
  </si>
  <si>
    <t xml:space="preserve">Delta</t>
  </si>
  <si>
    <t xml:space="preserve">Y5 Travidz net</t>
  </si>
  <si>
    <t xml:space="preserve">Y5 Take-rate</t>
  </si>
  <si>
    <t xml:space="preserve">Charts inserted to the right →</t>
  </si>
  <si>
    <t xml:space="preserve">Travidz — Global Viral Scenario (Y1–Y5)</t>
  </si>
  <si>
    <t xml:space="preserve">Pre-launch model. UK Base remains the funded plan. Global Viral assumes one breakout region per year (US, AUS/NZ, LATAM, MENA, SEA, India) and a TikTok-style creator loop.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</si>
  <si>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</si>
  <si>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</si>
  <si>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</si>
  <si>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</si>
  <si>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</si>
  <si>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vs UK Base Y5</t>
  </si>
  <si>
    <t xml:space="preserve">5.0x</t>
  </si>
  <si>
    <t xml:space="preserve">Annual GBV (£)</t>
  </si>
  <si>
    <t xml:space="preserve">3.8x</t>
  </si>
  <si>
    <t xml:space="preserve">Gross commission (£)</t>
  </si>
  <si>
    <t xml:space="preserve">Creator payout (£)</t>
  </si>
  <si>
    <t xml:space="preserve">Travidz net revenue (£)</t>
  </si>
  <si>
    <t xml:space="preserve">1.0x</t>
  </si>
  <si>
    <t xml:space="preserve">Y5 SIDE-BY-SIDE</t>
  </si>
  <si>
    <t xml:space="preserve">UK Base</t>
  </si>
  <si>
    <t xml:space="preserve">Global Viral</t>
  </si>
  <si>
    <t xml:space="preserve">Multiplier</t>
  </si>
  <si>
    <t xml:space="preserve">Active creators</t>
  </si>
  <si>
    <t xml:space="preserve">Travidz — Regional Build (Y5, Global Viral)</t>
  </si>
  <si>
    <t xml:space="preserve">Bottom-up Y5 split across launch regions. Sum of creators and GBV ties back to global_viral_summary Y5.</t>
  </si>
  <si>
    <t xml:space="preserve">Region</t>
  </si>
  <si>
    <t xml:space="preserve">Reachable travellers (M)</t>
  </si>
  <si>
    <t xml:space="preserve">Active creators @ Y5</t>
  </si>
  <si>
    <t xml:space="preserve">ABV (£)</t>
  </si>
  <si>
    <t xml:space="preserve">Travidz net (£)</t>
  </si>
  <si>
    <t xml:space="preserve">United Kingdom</t>
  </si>
  <si>
    <t xml:space="preserve">EU-5 (FR/DE/ES/IT/NL)</t>
  </si>
  <si>
    <t xml:space="preserve">USA</t>
  </si>
  <si>
    <t xml:space="preserve">Australia / NZ</t>
  </si>
  <si>
    <t xml:space="preserve">LATAM (Brazil-led)</t>
  </si>
  <si>
    <t xml:space="preserve">MENA</t>
  </si>
  <si>
    <t xml:space="preserve">Africa</t>
  </si>
  <si>
    <t xml:space="preserve">India</t>
  </si>
  <si>
    <t xml:space="preserve">SEA</t>
  </si>
  <si>
    <t xml:space="preserve">Greater China</t>
  </si>
  <si>
    <t xml:space="preserve">TOTAL</t>
  </si>
  <si>
    <t xml:space="preserve">Travidz — Assumptions (60 months)</t>
  </si>
  <si>
    <t xml:space="preserve">Blue = input. Edit Base / Bear / Bull. Active column drives all sheets via scenario_idx on summary_dashboard.</t>
  </si>
  <si>
    <t xml:space="preserve">Parameter</t>
  </si>
  <si>
    <t xml:space="preserve">Bear</t>
  </si>
  <si>
    <t xml:space="preserve">Bull</t>
  </si>
  <si>
    <t xml:space="preserve">Notes</t>
  </si>
  <si>
    <t xml:space="preserve">Active</t>
  </si>
  <si>
    <t xml:space="preserve">Default note</t>
  </si>
  <si>
    <t xml:space="preserve">MARKET &amp; COMMISSION (v6 base case)</t>
  </si>
  <si>
    <t xml:space="preserve">TAM travellers (#)</t>
  </si>
  <si>
    <t xml:space="preserve">Reachable UK + key EU traveller pool</t>
  </si>
  <si>
    <t xml:space="preserve">Average booking value (£)</t>
  </si>
  <si>
    <t xml:space="preserve">Avg per booking</t>
  </si>
  <si>
    <t xml:space="preserve">Bookings per traveller / yr</t>
  </si>
  <si>
    <t xml:space="preserve">Attach rate</t>
  </si>
  <si>
    <t xml:space="preserve">SAM % of TAM</t>
  </si>
  <si>
    <t xml:space="preserve">Creator-led discoverable inventory</t>
  </si>
  <si>
    <t xml:space="preserve">Gross commission %</t>
  </si>
  <si>
    <t xml:space="preserve">8% headline to operators</t>
  </si>
  <si>
    <t xml:space="preserve">Creator share — Founding</t>
  </si>
  <si>
    <t xml:space="preserve">First 500, lifetime</t>
  </si>
  <si>
    <t xml:space="preserve">Creator share — Power</t>
  </si>
  <si>
    <t xml:space="preserve">&gt;£25k rolling 12mo</t>
  </si>
  <si>
    <t xml:space="preserve">Creator share — New (0–6mo)</t>
  </si>
  <si>
    <t xml:space="preserve">Creator share — Maturing (7–18mo)</t>
  </si>
  <si>
    <t xml:space="preserve">Creator share — Mature (19mo+)</t>
  </si>
  <si>
    <t xml:space="preserve">CREATOR FUNNEL — Active creators (year-end anchors)</t>
  </si>
  <si>
    <t xml:space="preserve">Active creators @ M0</t>
  </si>
  <si>
    <t xml:space="preserve">Active creators @ M12</t>
  </si>
  <si>
    <t xml:space="preserve">v6 Y1</t>
  </si>
  <si>
    <t xml:space="preserve">Active creators @ M24</t>
  </si>
  <si>
    <t xml:space="preserve">v6 Y2</t>
  </si>
  <si>
    <t xml:space="preserve">Active creators @ M36</t>
  </si>
  <si>
    <t xml:space="preserve">v6 Y3</t>
  </si>
  <si>
    <t xml:space="preserve">Active creators @ M48</t>
  </si>
  <si>
    <t xml:space="preserve">v6 Y4</t>
  </si>
  <si>
    <t xml:space="preserve">Active creators @ M60</t>
  </si>
  <si>
    <t xml:space="preserve">v6 Y5</t>
  </si>
  <si>
    <t xml:space="preserve">Monthly creator churn %</t>
  </si>
  <si>
    <t xml:space="preserve">Logo churn</t>
  </si>
  <si>
    <t xml:space="preserve">CREATOR GBV/active (monthly £, year-end anchors)</t>
  </si>
  <si>
    <t xml:space="preserve">GBV/active/mo @ M12 (£)</t>
  </si>
  <si>
    <t xml:space="preserve">Ramp anchor</t>
  </si>
  <si>
    <t xml:space="preserve">GBV/active/mo @ M24 (£)</t>
  </si>
  <si>
    <t xml:space="preserve">GBV/active/mo @ M36 (£)</t>
  </si>
  <si>
    <t xml:space="preserve">GBV/active/mo @ M48 (£)</t>
  </si>
  <si>
    <t xml:space="preserve">GBV/active/mo @ M60 (£)</t>
  </si>
  <si>
    <t xml:space="preserve">v6 implied £18.5k/yr</t>
  </si>
  <si>
    <t xml:space="preserve">CREATOR TIER MIX (year-end shares)</t>
  </si>
  <si>
    <t xml:space="preserve">Mix — Founding Y1</t>
  </si>
  <si>
    <t xml:space="preserve">Mix — Founding Y2</t>
  </si>
  <si>
    <t xml:space="preserve">Mix — Founding Y3</t>
  </si>
  <si>
    <t xml:space="preserve">Mix — Founding Y4</t>
  </si>
  <si>
    <t xml:space="preserve">Mix — Founding Y5</t>
  </si>
  <si>
    <t xml:space="preserve">Mix — Power Y1</t>
  </si>
  <si>
    <t xml:space="preserve">Mix — Power Y2</t>
  </si>
  <si>
    <t xml:space="preserve">Mix — Power Y3</t>
  </si>
  <si>
    <t xml:space="preserve">Mix — Power Y4</t>
  </si>
  <si>
    <t xml:space="preserve">Mix — Power Y5</t>
  </si>
  <si>
    <t xml:space="preserve">Mix — New Y1</t>
  </si>
  <si>
    <t xml:space="preserve">Mix — New Y2</t>
  </si>
  <si>
    <t xml:space="preserve">Mix — New Y3</t>
  </si>
  <si>
    <t xml:space="preserve">Mix — New Y4</t>
  </si>
  <si>
    <t xml:space="preserve">Mix — New Y5</t>
  </si>
  <si>
    <t xml:space="preserve">Mix — Maturing Y1</t>
  </si>
  <si>
    <t xml:space="preserve">Mix — Maturing Y2</t>
  </si>
  <si>
    <t xml:space="preserve">Mix — Maturing Y3</t>
  </si>
  <si>
    <t xml:space="preserve">Mix — Maturing Y4</t>
  </si>
  <si>
    <t xml:space="preserve">Mix — Maturing Y5</t>
  </si>
  <si>
    <t xml:space="preserve">Mix — Mature Y1</t>
  </si>
  <si>
    <t xml:space="preserve">Mix — Mature Y2</t>
  </si>
  <si>
    <t xml:space="preserve">Mix — Mature Y3</t>
  </si>
  <si>
    <t xml:space="preserve">Mix — Mature Y4</t>
  </si>
  <si>
    <t xml:space="preserve">Mix — Mature Y5</t>
  </si>
  <si>
    <t xml:space="preserve">OPERATOR SUPPLY</t>
  </si>
  <si>
    <t xml:space="preserve">Starting operators @ M0</t>
  </si>
  <si>
    <t xml:space="preserve">Verified hotel/experience partners</t>
  </si>
  <si>
    <t xml:space="preserve">New operators / month</t>
  </si>
  <si>
    <t xml:space="preserve">Net add</t>
  </si>
  <si>
    <t xml:space="preserve">Monthly operator churn %</t>
  </si>
  <si>
    <t xml:space="preserve">Partner success £/operator/mo</t>
  </si>
  <si>
    <t xml:space="preserve">Account mgmt</t>
  </si>
  <si>
    <t xml:space="preserve">UNIT COSTS</t>
  </si>
  <si>
    <t xml:space="preserve">Payment processing % of GBV</t>
  </si>
  <si>
    <t xml:space="preserve">Stripe blended</t>
  </si>
  <si>
    <t xml:space="preserve">Payment processing fixed £ / booking</t>
  </si>
  <si>
    <t xml:space="preserve">Cloud hosting £/active creator/mo</t>
  </si>
  <si>
    <t xml:space="preserve">Supabase + CF</t>
  </si>
  <si>
    <t xml:space="preserve">Video CDN £/1k plays</t>
  </si>
  <si>
    <t xml:space="preserve">Bunny.net-class</t>
  </si>
  <si>
    <t xml:space="preserve">Avg video plays / active creator / mo</t>
  </si>
  <si>
    <t xml:space="preserve">AI / Lovable Cloud £/mo @ M1</t>
  </si>
  <si>
    <t xml:space="preserve">AI cost monthly growth %</t>
  </si>
  <si>
    <t xml:space="preserve">Compounded</t>
  </si>
  <si>
    <t xml:space="preserve">Creator support £/active/mo</t>
  </si>
  <si>
    <t xml:space="preserve">Tier-1</t>
  </si>
  <si>
    <t xml:space="preserve">UK PAYROLL ON-COSTS</t>
  </si>
  <si>
    <t xml:space="preserve">Employer NIC %</t>
  </si>
  <si>
    <t xml:space="preserve">Flat applied to base</t>
  </si>
  <si>
    <t xml:space="preserve">Employer pension %</t>
  </si>
  <si>
    <t xml:space="preserve">Auto-enrol minimum</t>
  </si>
  <si>
    <t xml:space="preserve">Apprenticeship Levy %</t>
  </si>
  <si>
    <t xml:space="preserve">If paybill &gt; £3M</t>
  </si>
  <si>
    <t xml:space="preserve">Apprenticeship Levy from month</t>
  </si>
  <si>
    <t xml:space="preserve">Benefits £/FTE/yr</t>
  </si>
  <si>
    <t xml:space="preserve">Health, equipment</t>
  </si>
  <si>
    <t xml:space="preserve">Recruitment fee % of base</t>
  </si>
  <si>
    <t xml:space="preserve">One-off in hire month</t>
  </si>
  <si>
    <t xml:space="preserve">Annual salary inflation %</t>
  </si>
  <si>
    <t xml:space="preserve">Applied at M13/25/37/49</t>
  </si>
  <si>
    <t xml:space="preserve">NON-PAYROLL OPEX (£/month by band)</t>
  </si>
  <si>
    <t xml:space="preserve">Co-working / office — M1-6</t>
  </si>
  <si>
    <t xml:space="preserve">Co-working / office — M7-12</t>
  </si>
  <si>
    <t xml:space="preserve">Co-working / office — M13-24</t>
  </si>
  <si>
    <t xml:space="preserve">Co-working / office — M25-36</t>
  </si>
  <si>
    <t xml:space="preserve">Co-working / office — M37-60</t>
  </si>
  <si>
    <t xml:space="preserve">Legal &amp; company sec — M1-6</t>
  </si>
  <si>
    <t xml:space="preserve">Legal &amp; company sec — M7-12</t>
  </si>
  <si>
    <t xml:space="preserve">Legal &amp; company sec — M13-24</t>
  </si>
  <si>
    <t xml:space="preserve">Legal &amp; company sec — M25-36</t>
  </si>
  <si>
    <t xml:space="preserve">Legal &amp; company sec — M37-60</t>
  </si>
  <si>
    <t xml:space="preserve">Accounting / R&amp;D tax — M1-6</t>
  </si>
  <si>
    <t xml:space="preserve">Accounting / R&amp;D tax — M7-12</t>
  </si>
  <si>
    <t xml:space="preserve">Accounting / R&amp;D tax — M13-24</t>
  </si>
  <si>
    <t xml:space="preserve">Accounting / R&amp;D tax — M25-36</t>
  </si>
  <si>
    <t xml:space="preserve">Accounting / R&amp;D tax — M37-60</t>
  </si>
  <si>
    <t xml:space="preserve">Insurance — M1-6</t>
  </si>
  <si>
    <t xml:space="preserve">Insurance — M7-12</t>
  </si>
  <si>
    <t xml:space="preserve">Insurance — M13-24</t>
  </si>
  <si>
    <t xml:space="preserve">Insurance — M25-36</t>
  </si>
  <si>
    <t xml:space="preserve">Insurance — M37-60</t>
  </si>
  <si>
    <t xml:space="preserve">SaaS tooling — M1-6</t>
  </si>
  <si>
    <t xml:space="preserve">SaaS tooling — M7-12</t>
  </si>
  <si>
    <t xml:space="preserve">SaaS tooling — M13-24</t>
  </si>
  <si>
    <t xml:space="preserve">SaaS tooling — M25-36</t>
  </si>
  <si>
    <t xml:space="preserve">SaaS tooling — M37-60</t>
  </si>
  <si>
    <t xml:space="preserve">Performance marketing — M1-6</t>
  </si>
  <si>
    <t xml:space="preserve">Performance marketing — M7-12</t>
  </si>
  <si>
    <t xml:space="preserve">Performance marketing — M13-24</t>
  </si>
  <si>
    <t xml:space="preserve">Performance marketing — M25-36</t>
  </si>
  <si>
    <t xml:space="preserve">Performance marketing — M37-60</t>
  </si>
  <si>
    <t xml:space="preserve">Travel / events — M1-6</t>
  </si>
  <si>
    <t xml:space="preserve">Travel / events — M7-12</t>
  </si>
  <si>
    <t xml:space="preserve">Travel / events — M13-24</t>
  </si>
  <si>
    <t xml:space="preserve">Travel / events — M25-36</t>
  </si>
  <si>
    <t xml:space="preserve">Travel / events — M37-60</t>
  </si>
  <si>
    <t xml:space="preserve">Contingency % of non-payroll opex</t>
  </si>
  <si>
    <t xml:space="preserve">Applied to sum of above</t>
  </si>
  <si>
    <t xml:space="preserve">CREATOR ACQUISITION SPEND (channel total £/month)</t>
  </si>
  <si>
    <t xml:space="preserve">Creator acq — M1-6 (£/mo)</t>
  </si>
  <si>
    <t xml:space="preserve">Founding-500 seed + events</t>
  </si>
  <si>
    <t xml:space="preserve">Creator acq — M7-12</t>
  </si>
  <si>
    <t xml:space="preserve">Creator acq — M13-24</t>
  </si>
  <si>
    <t xml:space="preserve">Creator acq — M25-36</t>
  </si>
  <si>
    <t xml:space="preserve">Creator acq — M37-60</t>
  </si>
  <si>
    <t xml:space="preserve">Operator GTM £/mo</t>
  </si>
  <si>
    <t xml:space="preserve">Outbound + events</t>
  </si>
  <si>
    <t xml:space="preserve">FUNDING — multi-tranche</t>
  </si>
  <si>
    <t xml:space="preserve">Starting cash @ M0 (£)</t>
  </si>
  <si>
    <t xml:space="preserve">Pre-seed</t>
  </si>
  <si>
    <t xml:space="preserve">Seed raise (£)</t>
  </si>
  <si>
    <t xml:space="preserve">Seed close month</t>
  </si>
  <si>
    <t xml:space="preserve">Series A raise (£)</t>
  </si>
  <si>
    <t xml:space="preserve">Series A close month</t>
  </si>
  <si>
    <t xml:space="preserve">Series B raise (£)</t>
  </si>
  <si>
    <t xml:space="preserve">Series B close month</t>
  </si>
  <si>
    <t xml:space="preserve">Channel CAC — Creator &amp; Operator acquisition</t>
  </si>
  <si>
    <t xml:space="preserve">Channel split shown for CAC discipline. Monthly £ totals on assumptions drive cash.</t>
  </si>
  <si>
    <t xml:space="preserve">CREATOR ACQUISITION</t>
  </si>
  <si>
    <t xml:space="preserve">Channel</t>
  </si>
  <si>
    <t xml:space="preserve">Spend share</t>
  </si>
  <si>
    <t xml:space="preserve">CPL £</t>
  </si>
  <si>
    <t xml:space="preserve">Conv %</t>
  </si>
  <si>
    <t xml:space="preserve">CAC £</t>
  </si>
  <si>
    <t xml:space="preserve">New creators/mo @ M12</t>
  </si>
  <si>
    <t xml:space="preserve">CAC @ M36</t>
  </si>
  <si>
    <t xml:space="preserve">New /mo @ M36</t>
  </si>
  <si>
    <t xml:space="preserve">Paid Social (TikTok/IG)</t>
  </si>
  <si>
    <t xml:space="preserve">Creator Referral</t>
  </si>
  <si>
    <t xml:space="preserve">Founding-500 Programme</t>
  </si>
  <si>
    <t xml:space="preserve">SEO / Content</t>
  </si>
  <si>
    <t xml:space="preserve">Events / meetups</t>
  </si>
  <si>
    <t xml:space="preserve">Direct outreach</t>
  </si>
  <si>
    <t xml:space="preserve">Total</t>
  </si>
  <si>
    <t xml:space="preserve">OPERATOR ACQUISITION</t>
  </si>
  <si>
    <t xml:space="preserve">New ops/mo @ M12</t>
  </si>
  <si>
    <t xml:space="preserve">New ops/mo @ M36</t>
  </si>
  <si>
    <t xml:space="preserve">Outbound sales</t>
  </si>
  <si>
    <t xml:space="preserve">Inbound demo</t>
  </si>
  <si>
    <t xml:space="preserve">Partner referral</t>
  </si>
  <si>
    <t xml:space="preserve">Events/trade show</t>
  </si>
  <si>
    <t xml:space="preserve">UK Headcount Plan (60 months) — loaded cost incl. NIC, pension, benefits, recruitment</t>
  </si>
  <si>
    <t xml:space="preserve">#</t>
  </si>
  <si>
    <t xml:space="preserve">Role</t>
  </si>
  <si>
    <t xml:space="preserve">Team</t>
  </si>
  <si>
    <t xml:space="preserve">Base £/yr</t>
  </si>
  <si>
    <t xml:space="preserve">Start M</t>
  </si>
  <si>
    <t xml:space="preserve">End M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</si>
  <si>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</si>
  <si>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</si>
  <si>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</si>
  <si>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</si>
  <si>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</si>
  <si>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</si>
  <si>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</si>
  <si>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</si>
  <si>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</si>
  <si>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</si>
  <si>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</si>
  <si>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</si>
  <si>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</si>
  <si>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</si>
  <si>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</si>
  <si>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</si>
  <si>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</si>
  <si>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</si>
  <si>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</si>
  <si>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</si>
  <si>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</si>
  <si>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</si>
  <si>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</si>
  <si>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</si>
  <si>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</si>
  <si>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</si>
  <si>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</si>
  <si>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</si>
  <si>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</si>
  <si>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</si>
  <si>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</si>
  <si>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</si>
  <si>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</si>
  <si>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</si>
  <si>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</si>
  <si>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</si>
  <si>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</si>
  <si>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</si>
  <si>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</si>
  <si>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</si>
  <si>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</si>
  <si>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</si>
  <si>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</si>
  <si>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</si>
  <si>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</si>
  <si>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</si>
  <si>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</si>
  <si>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</si>
  <si>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</si>
  <si>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</si>
  <si>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</si>
  <si>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</si>
  <si>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</si>
  <si>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</si>
  <si>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</si>
  <si>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</si>
  <si>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</si>
  <si>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</si>
  <si>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</si>
  <si>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</si>
  <si>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CEO / Founder</t>
  </si>
  <si>
    <t xml:space="preserve">exec</t>
  </si>
  <si>
    <t xml:space="preserve">CTO / Co-founder</t>
  </si>
  <si>
    <t xml:space="preserve">Founding engineer</t>
  </si>
  <si>
    <t xml:space="preserve">eng</t>
  </si>
  <si>
    <t xml:space="preserve">Head of Creator Growth</t>
  </si>
  <si>
    <t xml:space="preserve">growth</t>
  </si>
  <si>
    <t xml:space="preserve">Senior full-stack engineer</t>
  </si>
  <si>
    <t xml:space="preserve">Product designer</t>
  </si>
  <si>
    <t xml:space="preserve">design</t>
  </si>
  <si>
    <t xml:space="preserve">Senior mobile engineer (RN)</t>
  </si>
  <si>
    <t xml:space="preserve">Creator partnerships manager</t>
  </si>
  <si>
    <t xml:space="preserve">Head of Operator Supply</t>
  </si>
  <si>
    <t xml:space="preserve">supply</t>
  </si>
  <si>
    <t xml:space="preserve">Data / ML engineer</t>
  </si>
  <si>
    <t xml:space="preserve">Backend engineer</t>
  </si>
  <si>
    <t xml:space="preserve">Growth marketer</t>
  </si>
  <si>
    <t xml:space="preserve">Ops / finance lead</t>
  </si>
  <si>
    <t xml:space="preserve">ga</t>
  </si>
  <si>
    <t xml:space="preserve">Senior engineer #2</t>
  </si>
  <si>
    <t xml:space="preserve">Creator partnerships #2</t>
  </si>
  <si>
    <t xml:space="preserve">Customer support lead</t>
  </si>
  <si>
    <t xml:space="preserve">ops</t>
  </si>
  <si>
    <t xml:space="preserve">Senior product manager</t>
  </si>
  <si>
    <t xml:space="preserve">product</t>
  </si>
  <si>
    <t xml:space="preserve">Compliance / legal ops</t>
  </si>
  <si>
    <t xml:space="preserve">Senior engineer #3</t>
  </si>
  <si>
    <t xml:space="preserve">Designer #2</t>
  </si>
  <si>
    <t xml:space="preserve">Head of Marketing</t>
  </si>
  <si>
    <t xml:space="preserve">Engineering manager</t>
  </si>
  <si>
    <t xml:space="preserve">Data analyst</t>
  </si>
  <si>
    <t xml:space="preserve">Operator partnerships manager</t>
  </si>
  <si>
    <t xml:space="preserve">Finance manager</t>
  </si>
  <si>
    <t xml:space="preserve">Senior backend eng #4</t>
  </si>
  <si>
    <t xml:space="preserve">International expansion lead</t>
  </si>
  <si>
    <t xml:space="preserve">Senior designer #3</t>
  </si>
  <si>
    <t xml:space="preserve">ML / recommendations engineer</t>
  </si>
  <si>
    <t xml:space="preserve">VP Engineering</t>
  </si>
  <si>
    <t xml:space="preserve">Head of Finance</t>
  </si>
  <si>
    <t xml:space="preserve">Senior PM #2</t>
  </si>
  <si>
    <t xml:space="preserve">Creator success #3</t>
  </si>
  <si>
    <t xml:space="preserve">Senior engineer #5</t>
  </si>
  <si>
    <t xml:space="preserve">People &amp; Talent lead</t>
  </si>
  <si>
    <t xml:space="preserve">Senior engineer #6</t>
  </si>
  <si>
    <t xml:space="preserve">Trust &amp; Safety lead</t>
  </si>
  <si>
    <t xml:space="preserve">Senior PM #3</t>
  </si>
  <si>
    <t xml:space="preserve">Head of International</t>
  </si>
  <si>
    <t xml:space="preserve">Total loaded payroll</t>
  </si>
  <si>
    <t xml:space="preserve">Active FTE</t>
  </si>
  <si>
    <t xml:space="preserve">FTE by team</t>
  </si>
  <si>
    <t xml:space="preserve">Exec</t>
  </si>
  <si>
    <t xml:space="preserve">Eng</t>
  </si>
  <si>
    <t xml:space="preserve">Product</t>
  </si>
  <si>
    <t xml:space="preserve">Design</t>
  </si>
  <si>
    <t xml:space="preserve">Growth</t>
  </si>
  <si>
    <t xml:space="preserve">Supply</t>
  </si>
  <si>
    <t xml:space="preserve">Ops</t>
  </si>
  <si>
    <t xml:space="preserve">Ga</t>
  </si>
  <si>
    <t xml:space="preserve">Creator Cohorts — 60-month funnel &amp; revenue</t>
  </si>
  <si>
    <t xml:space="preserve">FUNNEL</t>
  </si>
  <si>
    <t xml:space="preserve">Active creators (EOM)</t>
  </si>
  <si>
    <t xml:space="preserve">Churned creators (mo)</t>
  </si>
  <si>
    <t xml:space="preserve">Net new creators (mo)</t>
  </si>
  <si>
    <t xml:space="preserve">GBV</t>
  </si>
  <si>
    <t xml:space="preserve">GBV/active/mo (£)</t>
  </si>
  <si>
    <t xml:space="preserve">Monthly GBV (£)</t>
  </si>
  <si>
    <t xml:space="preserve">Gross commission @ 8% (£)</t>
  </si>
  <si>
    <t xml:space="preserve">TIER MIX (interpolated)</t>
  </si>
  <si>
    <t xml:space="preserve">Mix — Founding</t>
  </si>
  <si>
    <t xml:space="preserve">Mix — Power</t>
  </si>
  <si>
    <t xml:space="preserve">Mix — New</t>
  </si>
  <si>
    <t xml:space="preserve">Mix — Maturing</t>
  </si>
  <si>
    <t xml:space="preserve">Mix — Mature</t>
  </si>
  <si>
    <t xml:space="preserve">Blended creator share %</t>
  </si>
  <si>
    <t xml:space="preserve">Blended take-rate (Travidz net / GBV)</t>
  </si>
  <si>
    <t xml:space="preserve">Estimated bookings (GBV / ABV)</t>
  </si>
  <si>
    <t xml:space="preserve">ANNUAL ROLL-UP</t>
  </si>
  <si>
    <t xml:space="preserve">Year</t>
  </si>
  <si>
    <t xml:space="preserve">Active creators EOY</t>
  </si>
  <si>
    <t xml:space="preserve">Gross commission</t>
  </si>
  <si>
    <t xml:space="preserve">Travidz net</t>
  </si>
  <si>
    <t xml:space="preserve">Active operators EOY (see operator_supply)</t>
  </si>
  <si>
    <t xml:space="preserve">Operator supply (60 months)</t>
  </si>
  <si>
    <t xml:space="preserve">Active operators (EOM)</t>
  </si>
  <si>
    <t xml:space="preserve">Churned (mo)</t>
  </si>
  <si>
    <t xml:space="preserve">Partner success cost (£/mo)</t>
  </si>
  <si>
    <t xml:space="preserve">Combined P&amp;L and Cash flow (60 months)</t>
  </si>
  <si>
    <t xml:space="preserve">P&amp;L (consolidated)</t>
  </si>
  <si>
    <t xml:space="preserve">Revenue (Travidz net)</t>
  </si>
  <si>
    <t xml:space="preserve">Payment processing</t>
  </si>
  <si>
    <t xml:space="preserve">Cloud hosting</t>
  </si>
  <si>
    <t xml:space="preserve">Video CDN</t>
  </si>
  <si>
    <t xml:space="preserve">AI / Lovable Cloud</t>
  </si>
  <si>
    <t xml:space="preserve">Creator support</t>
  </si>
  <si>
    <t xml:space="preserve">Partner success (operators)</t>
  </si>
  <si>
    <t xml:space="preserve">Total COGS</t>
  </si>
  <si>
    <t xml:space="preserve">Gross profit</t>
  </si>
  <si>
    <t xml:space="preserve">Gross margin %</t>
  </si>
  <si>
    <t xml:space="preserve">OpEx</t>
  </si>
  <si>
    <t xml:space="preserve">Payroll (loaded, UK)</t>
  </si>
  <si>
    <t xml:space="preserve">Office</t>
  </si>
  <si>
    <t xml:space="preserve">Legal</t>
  </si>
  <si>
    <t xml:space="preserve">Accounting</t>
  </si>
  <si>
    <t xml:space="preserve">Insurance</t>
  </si>
  <si>
    <t xml:space="preserve">SaaS tooling</t>
  </si>
  <si>
    <t xml:space="preserve">Performance marketing</t>
  </si>
  <si>
    <t xml:space="preserve">Travel &amp; events</t>
  </si>
  <si>
    <t xml:space="preserve">Creator acquisition spend</t>
  </si>
  <si>
    <t xml:space="preserve">Operator GTM</t>
  </si>
  <si>
    <t xml:space="preserve">Contingency</t>
  </si>
  <si>
    <t xml:space="preserve">Total OpEx</t>
  </si>
  <si>
    <t xml:space="preserve">Profitability</t>
  </si>
  <si>
    <t xml:space="preserve">EBITDA</t>
  </si>
  <si>
    <t xml:space="preserve">EBITDA margin %</t>
  </si>
  <si>
    <t xml:space="preserve">Cumulative EBITDA</t>
  </si>
  <si>
    <t xml:space="preserve">Cash flow</t>
  </si>
  <si>
    <t xml:space="preserve">Equity raise (in-month)</t>
  </si>
  <si>
    <t xml:space="preserve">Opening cash</t>
  </si>
  <si>
    <t xml:space="preserve">Net cash change</t>
  </si>
  <si>
    <t xml:space="preserve">Closing cash</t>
  </si>
  <si>
    <t xml:space="preserve">Min cash so far (peak deficit)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</si>
</sst>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£#,##0;&quot;(£&quot;#,##0\);\-"/>
    <numFmt numFmtId="167" formatCode="0.00%"/>
    <numFmt numFmtId="168" formatCode="0.0%"/>
    <numFmt numFmtId="169" formatCode="@"/>
    <numFmt numFmtId="170" formatCode="0"/>
    <numFmt numFmtId="171" formatCode="\£#,##0"/>
    <numFmt numFmtId="172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7C3AED"/>
      <name val="Cambria"/>
      <family val="0"/>
      <charset val="1"/>
    </font>
    <font>
      <sz val="11"/>
      <color rgb="FF0000FF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rgb="FFE2EFDA"/>
        <bgColor rgb="FFEDE9FE"/>
      </patternFill>
    </fill>
    <fill>
      <patternFill patternType="solid">
        <fgColor rgb="FF7C3AED"/>
        <bgColor rgb="FF7030A0"/>
      </patternFill>
    </fill>
    <fill>
      <patternFill patternType="solid">
        <fgColor rgb="FFEDE9FE"/>
        <bgColor rgb="FFD9E1F2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B7280"/>
      <rgbColor rgb="FF70AD47"/>
      <rgbColor rgb="FF1F3864"/>
      <rgbColor rgb="FF4A7EBB"/>
      <rgbColor rgb="FF003300"/>
      <rgbColor rgb="FF333300"/>
      <rgbColor rgb="FF993300"/>
      <rgbColor rgb="FF7C3AED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Monthly GBV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creator_cohorts!$B$3:$BI$3</c:f>
              <c:strCache>
                <c:ptCount val="6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  <c:pt idx="48">
                  <c:v>M49</c:v>
                </c:pt>
                <c:pt idx="49">
                  <c:v>M50</c:v>
                </c:pt>
                <c:pt idx="50">
                  <c:v>M51</c:v>
                </c:pt>
                <c:pt idx="51">
                  <c:v>M52</c:v>
                </c:pt>
                <c:pt idx="52">
                  <c:v>M53</c:v>
                </c:pt>
                <c:pt idx="53">
                  <c:v>M54</c:v>
                </c:pt>
                <c:pt idx="54">
                  <c:v>M55</c:v>
                </c:pt>
                <c:pt idx="55">
                  <c:v>M56</c:v>
                </c:pt>
                <c:pt idx="56">
                  <c:v>M57</c:v>
                </c:pt>
                <c:pt idx="57">
                  <c:v>M58</c:v>
                </c:pt>
                <c:pt idx="58">
                  <c:v>M59</c:v>
                </c:pt>
                <c:pt idx="59">
                  <c:v>M60</c:v>
                </c:pt>
              </c:strCache>
            </c:strRef>
          </c:cat>
          <c:val>
            <c:numRef>
              <c:f>creator_cohorts!$B$11:$BI$11</c:f>
              <c:numCache>
                <c:formatCode>\£#,##0;"(£"#,##0\);\-</c:formatCode>
                <c:ptCount val="60"/>
                <c:pt idx="0">
                  <c:v>21000</c:v>
                </c:pt>
                <c:pt idx="1">
                  <c:v>45272.7272727273</c:v>
                </c:pt>
                <c:pt idx="2">
                  <c:v>73863.6363636364</c:v>
                </c:pt>
                <c:pt idx="3">
                  <c:v>106272.727272727</c:v>
                </c:pt>
                <c:pt idx="4">
                  <c:v>141818.181818182</c:v>
                </c:pt>
                <c:pt idx="5">
                  <c:v>181818.181818182</c:v>
                </c:pt>
                <c:pt idx="6">
                  <c:v>225636.363636364</c:v>
                </c:pt>
                <c:pt idx="7">
                  <c:v>272454.545454545</c:v>
                </c:pt>
                <c:pt idx="8">
                  <c:v>323863.636363636</c:v>
                </c:pt>
                <c:pt idx="9">
                  <c:v>379090.909090909</c:v>
                </c:pt>
                <c:pt idx="10">
                  <c:v>437181.818181818</c:v>
                </c:pt>
                <c:pt idx="11">
                  <c:v>500000</c:v>
                </c:pt>
                <c:pt idx="12">
                  <c:v>668966.666666667</c:v>
                </c:pt>
                <c:pt idx="13">
                  <c:v>844233.333333333</c:v>
                </c:pt>
                <c:pt idx="14">
                  <c:v>1023750</c:v>
                </c:pt>
                <c:pt idx="15">
                  <c:v>1208533.33333333</c:v>
                </c:pt>
                <c:pt idx="16">
                  <c:v>1399666.66666667</c:v>
                </c:pt>
                <c:pt idx="17">
                  <c:v>1595000</c:v>
                </c:pt>
                <c:pt idx="18">
                  <c:v>1795600</c:v>
                </c:pt>
                <c:pt idx="19">
                  <c:v>2002600</c:v>
                </c:pt>
                <c:pt idx="20">
                  <c:v>2213750</c:v>
                </c:pt>
                <c:pt idx="21">
                  <c:v>2430166.66666667</c:v>
                </c:pt>
                <c:pt idx="22">
                  <c:v>2653033.33333333</c:v>
                </c:pt>
                <c:pt idx="23">
                  <c:v>2880000</c:v>
                </c:pt>
                <c:pt idx="24">
                  <c:v>3354987.5</c:v>
                </c:pt>
                <c:pt idx="25">
                  <c:v>3837925</c:v>
                </c:pt>
                <c:pt idx="26">
                  <c:v>4331250</c:v>
                </c:pt>
                <c:pt idx="27">
                  <c:v>4833750</c:v>
                </c:pt>
                <c:pt idx="28">
                  <c:v>5344162.5</c:v>
                </c:pt>
                <c:pt idx="29">
                  <c:v>5865000</c:v>
                </c:pt>
                <c:pt idx="30">
                  <c:v>6395012.5</c:v>
                </c:pt>
                <c:pt idx="31">
                  <c:v>6932900</c:v>
                </c:pt>
                <c:pt idx="32">
                  <c:v>7481250</c:v>
                </c:pt>
                <c:pt idx="33">
                  <c:v>8038775</c:v>
                </c:pt>
                <c:pt idx="34">
                  <c:v>8604137.5</c:v>
                </c:pt>
                <c:pt idx="35">
                  <c:v>9180000</c:v>
                </c:pt>
                <c:pt idx="36">
                  <c:v>10051666.6666667</c:v>
                </c:pt>
                <c:pt idx="37">
                  <c:v>10933333.3333333</c:v>
                </c:pt>
                <c:pt idx="38">
                  <c:v>11825000</c:v>
                </c:pt>
                <c:pt idx="39">
                  <c:v>12726666.6666667</c:v>
                </c:pt>
                <c:pt idx="40">
                  <c:v>13638333.3333333</c:v>
                </c:pt>
                <c:pt idx="41">
                  <c:v>14560000</c:v>
                </c:pt>
                <c:pt idx="42">
                  <c:v>15491666.6666667</c:v>
                </c:pt>
                <c:pt idx="43">
                  <c:v>16433333.3333333</c:v>
                </c:pt>
                <c:pt idx="44">
                  <c:v>17385000</c:v>
                </c:pt>
                <c:pt idx="45">
                  <c:v>18346666.6666667</c:v>
                </c:pt>
                <c:pt idx="46">
                  <c:v>19318333.3333333</c:v>
                </c:pt>
                <c:pt idx="47">
                  <c:v>20300000</c:v>
                </c:pt>
                <c:pt idx="48">
                  <c:v>21619097.5</c:v>
                </c:pt>
                <c:pt idx="49">
                  <c:v>22952155</c:v>
                </c:pt>
                <c:pt idx="50">
                  <c:v>24296250</c:v>
                </c:pt>
                <c:pt idx="51">
                  <c:v>25652840</c:v>
                </c:pt>
                <c:pt idx="52">
                  <c:v>27023412.5</c:v>
                </c:pt>
                <c:pt idx="53">
                  <c:v>28405000</c:v>
                </c:pt>
                <c:pt idx="54">
                  <c:v>29799082.5</c:v>
                </c:pt>
                <c:pt idx="55">
                  <c:v>31207170</c:v>
                </c:pt>
                <c:pt idx="56">
                  <c:v>32626250</c:v>
                </c:pt>
                <c:pt idx="57">
                  <c:v>34057825</c:v>
                </c:pt>
                <c:pt idx="58">
                  <c:v>35503427.5</c:v>
                </c:pt>
                <c:pt idx="59">
                  <c:v>36960000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178729"/>
        <c:axId val="38120687"/>
      </c:lineChart>
      <c:catAx>
        <c:axId val="3717872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20687"/>
        <c:auto val="1"/>
        <c:lblAlgn val="ctr"/>
        <c:lblOffset val="100"/>
        <c:noMultiLvlLbl val="0"/>
      </c:catAx>
      <c:valAx>
        <c:axId val="38120687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GBV 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178729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Closing cash balance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creator_cohorts!$B$3:$BI$3</c:f>
              <c:strCache>
                <c:ptCount val="6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  <c:pt idx="48">
                  <c:v>M49</c:v>
                </c:pt>
                <c:pt idx="49">
                  <c:v>M50</c:v>
                </c:pt>
                <c:pt idx="50">
                  <c:v>M51</c:v>
                </c:pt>
                <c:pt idx="51">
                  <c:v>M52</c:v>
                </c:pt>
                <c:pt idx="52">
                  <c:v>M53</c:v>
                </c:pt>
                <c:pt idx="53">
                  <c:v>M54</c:v>
                </c:pt>
                <c:pt idx="54">
                  <c:v>M55</c:v>
                </c:pt>
                <c:pt idx="55">
                  <c:v>M56</c:v>
                </c:pt>
                <c:pt idx="56">
                  <c:v>M57</c:v>
                </c:pt>
                <c:pt idx="57">
                  <c:v>M58</c:v>
                </c:pt>
                <c:pt idx="58">
                  <c:v>M59</c:v>
                </c:pt>
                <c:pt idx="59">
                  <c:v>M60</c:v>
                </c:pt>
              </c:strCache>
            </c:strRef>
          </c:cat>
          <c:val>
            <c:numRef>
              <c:f>combined_pnl_cash!$B$39:$BI$39</c:f>
              <c:numCache>
                <c:formatCode>\£#,##0;"(£"#,##0\);\-</c:formatCode>
                <c:ptCount val="60"/>
                <c:pt idx="0">
                  <c:v>2442292.11666667</c:v>
                </c:pt>
                <c:pt idx="1">
                  <c:v>2342037.53787879</c:v>
                </c:pt>
                <c:pt idx="2">
                  <c:v>2266748.76893939</c:v>
                </c:pt>
                <c:pt idx="3">
                  <c:v>2154098.36098485</c:v>
                </c:pt>
                <c:pt idx="4">
                  <c:v>2064364.43816288</c:v>
                </c:pt>
                <c:pt idx="5">
                  <c:v>1932505.99435133</c:v>
                </c:pt>
                <c:pt idx="6">
                  <c:v>1800912.04047041</c:v>
                </c:pt>
                <c:pt idx="7">
                  <c:v>1670007.13116817</c:v>
                </c:pt>
                <c:pt idx="8">
                  <c:v>1488296.71784022</c:v>
                </c:pt>
                <c:pt idx="9">
                  <c:v>1338226.23858071</c:v>
                </c:pt>
                <c:pt idx="10">
                  <c:v>1189116.64429763</c:v>
                </c:pt>
                <c:pt idx="11">
                  <c:v>994423.141285233</c:v>
                </c:pt>
                <c:pt idx="12">
                  <c:v>795396.340344445</c:v>
                </c:pt>
                <c:pt idx="13">
                  <c:v>600053.631884394</c:v>
                </c:pt>
                <c:pt idx="14">
                  <c:v>371508.111918008</c:v>
                </c:pt>
                <c:pt idx="15">
                  <c:v>168702.772272747</c:v>
                </c:pt>
                <c:pt idx="16">
                  <c:v>-29921.0261325556</c:v>
                </c:pt>
                <c:pt idx="17">
                  <c:v>-224219.485291456</c:v>
                </c:pt>
                <c:pt idx="18">
                  <c:v>-414023.108241635</c:v>
                </c:pt>
                <c:pt idx="19">
                  <c:v>-623301.120005989</c:v>
                </c:pt>
                <c:pt idx="20">
                  <c:v>-813490.439691895</c:v>
                </c:pt>
                <c:pt idx="21">
                  <c:v>6982190.74290179</c:v>
                </c:pt>
                <c:pt idx="22">
                  <c:v>6794367.65198628</c:v>
                </c:pt>
                <c:pt idx="23">
                  <c:v>6587075.29010832</c:v>
                </c:pt>
                <c:pt idx="24">
                  <c:v>6336698.02759479</c:v>
                </c:pt>
                <c:pt idx="25">
                  <c:v>6070121.77337435</c:v>
                </c:pt>
                <c:pt idx="26">
                  <c:v>5832770.46653037</c:v>
                </c:pt>
                <c:pt idx="27">
                  <c:v>5591693.0018692</c:v>
                </c:pt>
                <c:pt idx="28">
                  <c:v>5374007.29267497</c:v>
                </c:pt>
                <c:pt idx="29">
                  <c:v>5153555.63487728</c:v>
                </c:pt>
                <c:pt idx="30">
                  <c:v>4957499.94973137</c:v>
                </c:pt>
                <c:pt idx="31">
                  <c:v>4758351.72698442</c:v>
                </c:pt>
                <c:pt idx="32">
                  <c:v>4585346.75575012</c:v>
                </c:pt>
                <c:pt idx="33">
                  <c:v>4405207.85456243</c:v>
                </c:pt>
                <c:pt idx="34">
                  <c:v>4255229.21470287</c:v>
                </c:pt>
                <c:pt idx="35">
                  <c:v>4099150.76701907</c:v>
                </c:pt>
                <c:pt idx="36">
                  <c:v>3877643.81801775</c:v>
                </c:pt>
                <c:pt idx="37">
                  <c:v>3659085.99874192</c:v>
                </c:pt>
                <c:pt idx="38">
                  <c:v>3479201.00540363</c:v>
                </c:pt>
                <c:pt idx="39">
                  <c:v>3298225.63558643</c:v>
                </c:pt>
                <c:pt idx="40">
                  <c:v>3160091.95254593</c:v>
                </c:pt>
                <c:pt idx="41">
                  <c:v>3012947.53372539</c:v>
                </c:pt>
                <c:pt idx="42">
                  <c:v>2915082.06520117</c:v>
                </c:pt>
                <c:pt idx="43">
                  <c:v>22814601.3744903</c:v>
                </c:pt>
                <c:pt idx="44">
                  <c:v>22761605.1365505</c:v>
                </c:pt>
                <c:pt idx="45">
                  <c:v>22715036.8954804</c:v>
                </c:pt>
                <c:pt idx="46">
                  <c:v>22712706.6681044</c:v>
                </c:pt>
                <c:pt idx="47">
                  <c:v>22727135.3953049</c:v>
                </c:pt>
                <c:pt idx="48">
                  <c:v>22776855.3648297</c:v>
                </c:pt>
                <c:pt idx="49">
                  <c:v>22840592.7553521</c:v>
                </c:pt>
                <c:pt idx="50">
                  <c:v>22958464.0918296</c:v>
                </c:pt>
                <c:pt idx="51">
                  <c:v>23096589.1170445</c:v>
                </c:pt>
                <c:pt idx="52">
                  <c:v>23286885.1314233</c:v>
                </c:pt>
                <c:pt idx="53">
                  <c:v>23493143.7646678</c:v>
                </c:pt>
                <c:pt idx="54">
                  <c:v>23755527.9809369</c:v>
                </c:pt>
                <c:pt idx="55">
                  <c:v>24041527.6918316</c:v>
                </c:pt>
                <c:pt idx="56">
                  <c:v>24380904.8568199</c:v>
                </c:pt>
                <c:pt idx="57">
                  <c:v>24739569.7678985</c:v>
                </c:pt>
                <c:pt idx="58">
                  <c:v>25155662.4686416</c:v>
                </c:pt>
                <c:pt idx="59">
                  <c:v>25586762.8504206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849712"/>
        <c:axId val="80041553"/>
      </c:lineChart>
      <c:catAx>
        <c:axId val="5084971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041553"/>
        <c:auto val="1"/>
        <c:lblAlgn val="ctr"/>
        <c:lblOffset val="100"/>
        <c:noMultiLvlLbl val="0"/>
      </c:catAx>
      <c:valAx>
        <c:axId val="80041553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849712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Active FTE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headcount_uk!$G$3:$BN$3</c:f>
              <c:strCache>
                <c:ptCount val="6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  <c:pt idx="48">
                  <c:v>M49</c:v>
                </c:pt>
                <c:pt idx="49">
                  <c:v>M50</c:v>
                </c:pt>
                <c:pt idx="50">
                  <c:v>M51</c:v>
                </c:pt>
                <c:pt idx="51">
                  <c:v>M52</c:v>
                </c:pt>
                <c:pt idx="52">
                  <c:v>M53</c:v>
                </c:pt>
                <c:pt idx="53">
                  <c:v>M54</c:v>
                </c:pt>
                <c:pt idx="54">
                  <c:v>M55</c:v>
                </c:pt>
                <c:pt idx="55">
                  <c:v>M56</c:v>
                </c:pt>
                <c:pt idx="56">
                  <c:v>M57</c:v>
                </c:pt>
                <c:pt idx="57">
                  <c:v>M58</c:v>
                </c:pt>
                <c:pt idx="58">
                  <c:v>M59</c:v>
                </c:pt>
                <c:pt idx="59">
                  <c:v>M60</c:v>
                </c:pt>
              </c:strCache>
            </c:strRef>
          </c:cat>
          <c:val>
            <c:numRef>
              <c:f>headcount_uk!$G$45:$BN$45</c:f>
              <c:numCache>
                <c:formatCode>#,##0;\(#,##0\);\-</c:formatCode>
                <c:ptCount val="60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20</c:v>
                </c:pt>
                <c:pt idx="23">
                  <c:v>21</c:v>
                </c:pt>
                <c:pt idx="24">
                  <c:v>21</c:v>
                </c:pt>
                <c:pt idx="25">
                  <c:v>22</c:v>
                </c:pt>
                <c:pt idx="26">
                  <c:v>22</c:v>
                </c:pt>
                <c:pt idx="27">
                  <c:v>23</c:v>
                </c:pt>
                <c:pt idx="28">
                  <c:v>23</c:v>
                </c:pt>
                <c:pt idx="29">
                  <c:v>24</c:v>
                </c:pt>
                <c:pt idx="30">
                  <c:v>24</c:v>
                </c:pt>
                <c:pt idx="31">
                  <c:v>25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31</c:v>
                </c:pt>
                <c:pt idx="44">
                  <c:v>31</c:v>
                </c:pt>
                <c:pt idx="45">
                  <c:v>32</c:v>
                </c:pt>
                <c:pt idx="46">
                  <c:v>32</c:v>
                </c:pt>
                <c:pt idx="47">
                  <c:v>33</c:v>
                </c:pt>
                <c:pt idx="48">
                  <c:v>33</c:v>
                </c:pt>
                <c:pt idx="49">
                  <c:v>34</c:v>
                </c:pt>
                <c:pt idx="50">
                  <c:v>34</c:v>
                </c:pt>
                <c:pt idx="51">
                  <c:v>35</c:v>
                </c:pt>
                <c:pt idx="52">
                  <c:v>35</c:v>
                </c:pt>
                <c:pt idx="53">
                  <c:v>36</c:v>
                </c:pt>
                <c:pt idx="54">
                  <c:v>36</c:v>
                </c:pt>
                <c:pt idx="55">
                  <c:v>37</c:v>
                </c:pt>
                <c:pt idx="56">
                  <c:v>37</c:v>
                </c:pt>
                <c:pt idx="57">
                  <c:v>38</c:v>
                </c:pt>
                <c:pt idx="58">
                  <c:v>38</c:v>
                </c:pt>
                <c:pt idx="59">
                  <c:v>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03135"/>
        <c:axId val="79555080"/>
      </c:lineChart>
      <c:catAx>
        <c:axId val="8230313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555080"/>
        <c:auto val="1"/>
        <c:lblAlgn val="ctr"/>
        <c:lblOffset val="100"/>
        <c:noMultiLvlLbl val="0"/>
      </c:catAx>
      <c:valAx>
        <c:axId val="79555080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303135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16</xdr:col>
      <xdr:colOff>447840</xdr:colOff>
      <xdr:row>18</xdr:row>
      <xdr:rowOff>164880</xdr:rowOff>
    </xdr:to>
    <xdr:graphicFrame>
      <xdr:nvGraphicFramePr>
        <xdr:cNvPr id="0" name="Chart 1"/>
        <xdr:cNvGraphicFramePr/>
      </xdr:nvGraphicFramePr>
      <xdr:xfrm>
        <a:off x="13916160" y="6667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16</xdr:col>
      <xdr:colOff>447840</xdr:colOff>
      <xdr:row>36</xdr:row>
      <xdr:rowOff>165240</xdr:rowOff>
    </xdr:to>
    <xdr:graphicFrame>
      <xdr:nvGraphicFramePr>
        <xdr:cNvPr id="1" name="Chart 2"/>
        <xdr:cNvGraphicFramePr/>
      </xdr:nvGraphicFramePr>
      <xdr:xfrm>
        <a:off x="13916160" y="39243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0</xdr:rowOff>
    </xdr:from>
    <xdr:to>
      <xdr:col>16</xdr:col>
      <xdr:colOff>447840</xdr:colOff>
      <xdr:row>54</xdr:row>
      <xdr:rowOff>165240</xdr:rowOff>
    </xdr:to>
    <xdr:graphicFrame>
      <xdr:nvGraphicFramePr>
        <xdr:cNvPr id="2" name="Chart 3"/>
        <xdr:cNvGraphicFramePr/>
      </xdr:nvGraphicFramePr>
      <xdr:xfrm>
        <a:off x="13916160" y="7182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T13" activeCellId="0" sqref="T1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25" hidden="false" customHeight="false" outlineLevel="0" collapsed="false">
      <c r="A2" s="2" t="s">
        <v>1</v>
      </c>
      <c r="B2" s="3" t="s">
        <v>2</v>
      </c>
      <c r="C2" s="4" t="s">
        <v>3</v>
      </c>
    </row>
    <row r="4" customFormat="false" ht="14.25" hidden="false" customHeight="false" outlineLevel="0" collapsed="false">
      <c r="A4" s="5" t="s">
        <v>4</v>
      </c>
      <c r="B4" s="5"/>
      <c r="C4" s="5"/>
      <c r="D4" s="5"/>
      <c r="E4" s="5"/>
      <c r="F4" s="5"/>
      <c r="G4" s="5"/>
      <c r="H4" s="5"/>
    </row>
    <row r="5" customFormat="false" ht="14.25" hidden="false" customHeight="fals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customFormat="false" ht="14.25" hidden="false" customHeight="false" outlineLevel="0" collapsed="false">
      <c r="A6" s="7" t="s">
        <v>11</v>
      </c>
      <c r="B6" s="8" t="n">
        <f aca="false">creator_cohorts!M5</f>
        <v>500</v>
      </c>
      <c r="C6" s="8" t="n">
        <f aca="false">creator_cohorts!Y5</f>
        <v>2400</v>
      </c>
      <c r="D6" s="8" t="n">
        <f aca="false">creator_cohorts!AK5</f>
        <v>6800</v>
      </c>
      <c r="E6" s="8" t="n">
        <f aca="false">creator_cohorts!AW5</f>
        <v>14000</v>
      </c>
      <c r="F6" s="8" t="n">
        <f aca="false">creator_cohorts!BI5</f>
        <v>24000</v>
      </c>
    </row>
    <row r="7" customFormat="false" ht="14.25" hidden="false" customHeight="false" outlineLevel="0" collapsed="false">
      <c r="A7" s="7" t="s">
        <v>12</v>
      </c>
      <c r="B7" s="8" t="n">
        <f aca="false">operator_supply!M5</f>
        <v>155</v>
      </c>
      <c r="C7" s="8" t="n">
        <f aca="false">operator_supply!Y5</f>
        <v>273</v>
      </c>
      <c r="D7" s="8" t="n">
        <f aca="false">operator_supply!AK5</f>
        <v>378</v>
      </c>
      <c r="E7" s="8" t="n">
        <f aca="false">operator_supply!AW5</f>
        <v>471</v>
      </c>
      <c r="F7" s="8" t="n">
        <f aca="false">operator_supply!BI5</f>
        <v>555</v>
      </c>
    </row>
    <row r="8" customFormat="false" ht="14.25" hidden="false" customHeight="false" outlineLevel="0" collapsed="false">
      <c r="A8" s="7" t="s">
        <v>13</v>
      </c>
      <c r="B8" s="8" t="n">
        <f aca="false">headcount_uk!R45</f>
        <v>16</v>
      </c>
      <c r="C8" s="8" t="n">
        <f aca="false">headcount_uk!AD45</f>
        <v>21</v>
      </c>
      <c r="D8" s="8" t="n">
        <f aca="false">headcount_uk!AP45</f>
        <v>27</v>
      </c>
      <c r="E8" s="8" t="n">
        <f aca="false">headcount_uk!BB45</f>
        <v>33</v>
      </c>
      <c r="F8" s="8" t="n">
        <f aca="false">headcount_uk!BN45</f>
        <v>39</v>
      </c>
    </row>
    <row r="9" customFormat="false" ht="14.25" hidden="false" customHeight="false" outlineLevel="0" collapsed="false">
      <c r="A9" s="7" t="s">
        <v>14</v>
      </c>
      <c r="B9" s="9" t="n">
        <f aca="false">SUM(creator_cohorts!B11:M11)</f>
        <v>2708272.72727273</v>
      </c>
      <c r="C9" s="9" t="n">
        <f aca="false">SUM(creator_cohorts!N11:Y11)</f>
        <v>20715300</v>
      </c>
      <c r="D9" s="9" t="n">
        <f aca="false">SUM(creator_cohorts!Z11:AK11)</f>
        <v>74199150</v>
      </c>
      <c r="E9" s="9" t="n">
        <f aca="false">SUM(creator_cohorts!AL11:AW11)</f>
        <v>181010000</v>
      </c>
      <c r="F9" s="9" t="n">
        <f aca="false">SUM(creator_cohorts!AX11:BI11)</f>
        <v>350102510</v>
      </c>
    </row>
    <row r="10" customFormat="false" ht="14.25" hidden="false" customHeight="false" outlineLevel="0" collapsed="false">
      <c r="A10" s="7" t="s">
        <v>15</v>
      </c>
      <c r="B10" s="9" t="n">
        <f aca="false">SUM(creator_cohorts!B22:M22)</f>
        <v>108330.909090909</v>
      </c>
      <c r="C10" s="9" t="n">
        <f aca="false">SUM(creator_cohorts!N22:Y22)</f>
        <v>844950.993333333</v>
      </c>
      <c r="D10" s="9" t="n">
        <f aca="false">SUM(creator_cohorts!Z22:AK22)</f>
        <v>3187210.39333333</v>
      </c>
      <c r="E10" s="9" t="n">
        <f aca="false">SUM(creator_cohorts!AL22:AW22)</f>
        <v>8182738.88888889</v>
      </c>
      <c r="F10" s="9" t="n">
        <f aca="false">SUM(creator_cohorts!AX22:BI22)</f>
        <v>16220219.8336</v>
      </c>
    </row>
    <row r="11" customFormat="false" ht="14.25" hidden="false" customHeight="false" outlineLevel="0" collapsed="false">
      <c r="A11" s="7" t="s">
        <v>16</v>
      </c>
      <c r="B11" s="10" t="n">
        <f aca="false">SUM(creator_cohorts!B22:M22)/SUM(creator_cohorts!B11:M11)</f>
        <v>0.04</v>
      </c>
      <c r="C11" s="10" t="n">
        <f aca="false">SUM(creator_cohorts!N22:Y22)/SUM(creator_cohorts!N11:Y11)</f>
        <v>0.0407887403674257</v>
      </c>
      <c r="D11" s="10" t="n">
        <f aca="false">SUM(creator_cohorts!Z22:AK22)/SUM(creator_cohorts!Z11:AK11)</f>
        <v>0.0429548100393783</v>
      </c>
      <c r="E11" s="10" t="n">
        <f aca="false">SUM(creator_cohorts!AL22:AW22)/SUM(creator_cohorts!AL11:AW11)</f>
        <v>0.0452060045792436</v>
      </c>
      <c r="F11" s="10" t="n">
        <f aca="false">SUM(creator_cohorts!AX22:BI22)/SUM(creator_cohorts!AX11:BI11)</f>
        <v>0.0463299158683552</v>
      </c>
    </row>
    <row r="12" customFormat="false" ht="14.25" hidden="false" customHeight="false" outlineLevel="0" collapsed="false">
      <c r="A12" s="7" t="s">
        <v>17</v>
      </c>
      <c r="B12" s="9" t="n">
        <f aca="false">SUM(combined_pnl_cash!B31:M31)</f>
        <v>-1555576.85871477</v>
      </c>
      <c r="C12" s="9" t="n">
        <f aca="false">SUM(combined_pnl_cash!N31:Y31)</f>
        <v>-2407347.85117692</v>
      </c>
      <c r="D12" s="9" t="n">
        <f aca="false">SUM(combined_pnl_cash!Z31:AK31)</f>
        <v>-2487924.52308925</v>
      </c>
      <c r="E12" s="9" t="n">
        <f aca="false">SUM(combined_pnl_cash!AL31:AW31)</f>
        <v>-1372015.37171415</v>
      </c>
      <c r="F12" s="9" t="n">
        <f aca="false">SUM(combined_pnl_cash!AX31:BI31)</f>
        <v>2859627.45511566</v>
      </c>
    </row>
    <row r="13" customFormat="false" ht="14.25" hidden="false" customHeight="false" outlineLevel="0" collapsed="false">
      <c r="A13" s="7" t="s">
        <v>18</v>
      </c>
      <c r="B13" s="11" t="n">
        <f aca="false">SUM(combined_pnl_cash!B31:M31)/SUM(creator_cohorts!B22:M22)</f>
        <v>-14.3594923348179</v>
      </c>
      <c r="C13" s="11" t="n">
        <f aca="false">SUM(combined_pnl_cash!N31:Y31)/SUM(creator_cohorts!N22:Y22)</f>
        <v>-2.84909760467873</v>
      </c>
      <c r="D13" s="11" t="n">
        <f aca="false">SUM(combined_pnl_cash!Z31:AK31)/SUM(creator_cohorts!Z22:AK22)</f>
        <v>-0.780596263206603</v>
      </c>
      <c r="E13" s="11" t="n">
        <f aca="false">SUM(combined_pnl_cash!AL31:AW31)/SUM(creator_cohorts!AL22:AW22)</f>
        <v>-0.167671899390211</v>
      </c>
      <c r="F13" s="11" t="n">
        <f aca="false">SUM(combined_pnl_cash!AX31:BI31)/SUM(creator_cohorts!AX22:BI22)</f>
        <v>0.176300166363465</v>
      </c>
    </row>
    <row r="14" customFormat="false" ht="14.25" hidden="false" customHeight="false" outlineLevel="0" collapsed="false">
      <c r="A14" s="7" t="s">
        <v>19</v>
      </c>
      <c r="B14" s="9" t="n">
        <f aca="false">combined_pnl_cash!M39</f>
        <v>994423.141285233</v>
      </c>
      <c r="C14" s="9" t="n">
        <f aca="false">combined_pnl_cash!Y39</f>
        <v>6587075.29010832</v>
      </c>
      <c r="D14" s="9" t="n">
        <f aca="false">combined_pnl_cash!AK39</f>
        <v>4099150.76701907</v>
      </c>
      <c r="E14" s="9" t="n">
        <f aca="false">combined_pnl_cash!AW39</f>
        <v>22727135.3953049</v>
      </c>
      <c r="F14" s="9" t="n">
        <f aca="false">combined_pnl_cash!BI39</f>
        <v>25586762.8504206</v>
      </c>
    </row>
    <row r="15" customFormat="false" ht="14.25" hidden="false" customHeight="false" outlineLevel="0" collapsed="false">
      <c r="A15" s="7" t="s">
        <v>20</v>
      </c>
      <c r="B15" s="9" t="n">
        <f aca="false">combined_pnl_cash!M40</f>
        <v>994423.141285233</v>
      </c>
      <c r="C15" s="9" t="n">
        <f aca="false">combined_pnl_cash!Y40</f>
        <v>-813490.439691895</v>
      </c>
      <c r="D15" s="9" t="n">
        <f aca="false">combined_pnl_cash!AK40</f>
        <v>-813490.439691895</v>
      </c>
      <c r="E15" s="9" t="n">
        <f aca="false">combined_pnl_cash!AW40</f>
        <v>-813490.439691895</v>
      </c>
      <c r="F15" s="9" t="n">
        <f aca="false">combined_pnl_cash!BI40</f>
        <v>-813490.439691895</v>
      </c>
    </row>
    <row r="17" customFormat="false" ht="14.25" hidden="false" customHeight="false" outlineLevel="0" collapsed="false">
      <c r="A17" s="5" t="s">
        <v>21</v>
      </c>
      <c r="B17" s="5"/>
      <c r="C17" s="5"/>
      <c r="D17" s="5"/>
      <c r="E17" s="5"/>
      <c r="F17" s="5"/>
      <c r="G17" s="5"/>
      <c r="H17" s="5"/>
    </row>
    <row r="18" customFormat="false" ht="14.25" hidden="false" customHeight="false" outlineLevel="0" collapsed="false">
      <c r="A18" s="7" t="s">
        <v>22</v>
      </c>
      <c r="B18" s="9" t="n">
        <f aca="false">-MIN(combined_pnl_cash!B31:BI31)</f>
        <v>266576.25422045</v>
      </c>
    </row>
    <row r="19" customFormat="false" ht="14.25" hidden="false" customHeight="false" outlineLevel="0" collapsed="false">
      <c r="A19" s="7" t="s">
        <v>23</v>
      </c>
      <c r="B19" s="12" t="str">
        <f aca="false">"M"&amp;MATCH(MIN(combined_pnl_cash!B31:BI31),combined_pnl_cash!B31:BI31,0)</f>
        <v>M26</v>
      </c>
    </row>
    <row r="20" customFormat="false" ht="14.25" hidden="false" customHeight="false" outlineLevel="0" collapsed="false">
      <c r="A20" s="7" t="s">
        <v>24</v>
      </c>
      <c r="B20" s="12" t="n">
        <f aca="false">IFERROR(MATCH(TRUE(),INDEX(combined_pnl_cash!B31:BI31&gt;0,0),0),"not in 60mo")</f>
        <v>48</v>
      </c>
    </row>
    <row r="21" customFormat="false" ht="14.25" hidden="false" customHeight="false" outlineLevel="0" collapsed="false">
      <c r="A21" s="7" t="s">
        <v>25</v>
      </c>
      <c r="B21" s="9" t="n">
        <f aca="false">MIN(combined_pnl_cash!B40:BI40)</f>
        <v>-813490.439691895</v>
      </c>
    </row>
    <row r="22" customFormat="false" ht="14.25" hidden="false" customHeight="false" outlineLevel="0" collapsed="false">
      <c r="A22" s="7" t="s">
        <v>26</v>
      </c>
      <c r="B22" s="9" t="n">
        <f aca="false">-MIN(combined_pnl_cash!B40:BI40)*1.25-assumptions!$G$125-assumptions!$G$127</f>
        <v>-26983136.9503851</v>
      </c>
    </row>
    <row r="23" customFormat="false" ht="14.25" hidden="false" customHeight="false" outlineLevel="0" collapsed="false">
      <c r="A23" s="7" t="s">
        <v>27</v>
      </c>
      <c r="B23" s="9" t="n">
        <f aca="false">combined_pnl_cash!BI5*12</f>
        <v>20650291.2</v>
      </c>
    </row>
    <row r="24" customFormat="false" ht="14.25" hidden="false" customHeight="false" outlineLevel="0" collapsed="false">
      <c r="A24" s="7" t="s">
        <v>28</v>
      </c>
      <c r="B24" s="9" t="n">
        <f aca="false">SUM(creator_cohorts!AX11:BI11)</f>
        <v>350102510</v>
      </c>
    </row>
    <row r="25" customFormat="false" ht="14.25" hidden="false" customHeight="false" outlineLevel="0" collapsed="false">
      <c r="A25" s="7" t="s">
        <v>29</v>
      </c>
      <c r="B25" s="9" t="n">
        <f aca="false">SUM(creator_cohorts!AX22:BI22)</f>
        <v>16220219.8336</v>
      </c>
    </row>
    <row r="26" customFormat="false" ht="14.25" hidden="false" customHeight="false" outlineLevel="0" collapsed="false">
      <c r="A26" s="7" t="s">
        <v>30</v>
      </c>
      <c r="B26" s="8" t="n">
        <f aca="false">creator_cohorts!BI5</f>
        <v>24000</v>
      </c>
    </row>
    <row r="27" customFormat="false" ht="14.25" hidden="false" customHeight="false" outlineLevel="0" collapsed="false">
      <c r="A27" s="7" t="s">
        <v>31</v>
      </c>
      <c r="B27" s="8" t="n">
        <f aca="false">headcount_uk!BN45</f>
        <v>39</v>
      </c>
    </row>
    <row r="28" customFormat="false" ht="14.25" hidden="false" customHeight="false" outlineLevel="0" collapsed="false">
      <c r="A28" s="7" t="s">
        <v>32</v>
      </c>
      <c r="B28" s="10" t="n">
        <f aca="false">SUM(creator_cohorts!AX22:BI22)/SUM(creator_cohorts!AX11:BI11)</f>
        <v>0.0463299158683552</v>
      </c>
    </row>
    <row r="31" customFormat="false" ht="14.25" hidden="false" customHeight="false" outlineLevel="0" collapsed="false">
      <c r="A31" s="5" t="s">
        <v>33</v>
      </c>
      <c r="B31" s="5"/>
      <c r="C31" s="5"/>
      <c r="D31" s="5"/>
      <c r="E31" s="5"/>
      <c r="F31" s="5"/>
      <c r="G31" s="5"/>
      <c r="H31" s="5"/>
    </row>
    <row r="32" customFormat="false" ht="14.25" hidden="false" customHeight="false" outlineLevel="0" collapsed="false">
      <c r="A32" s="13" t="s">
        <v>5</v>
      </c>
      <c r="B32" s="13" t="s">
        <v>34</v>
      </c>
      <c r="C32" s="13" t="s">
        <v>35</v>
      </c>
      <c r="D32" s="13" t="s">
        <v>36</v>
      </c>
    </row>
    <row r="33" customFormat="false" ht="14.25" hidden="false" customHeight="false" outlineLevel="0" collapsed="false">
      <c r="A33" s="7" t="s">
        <v>30</v>
      </c>
      <c r="B33" s="14" t="n">
        <v>24000</v>
      </c>
      <c r="C33" s="15" t="n">
        <f aca="false">creator_cohorts!BI5</f>
        <v>24000</v>
      </c>
      <c r="D33" s="16" t="n">
        <f aca="false">C33-B33</f>
        <v>0</v>
      </c>
    </row>
    <row r="34" customFormat="false" ht="14.25" hidden="false" customHeight="false" outlineLevel="0" collapsed="false">
      <c r="A34" s="7" t="s">
        <v>28</v>
      </c>
      <c r="B34" s="17" t="n">
        <v>444000000</v>
      </c>
      <c r="C34" s="18" t="n">
        <f aca="false">SUM(creator_cohorts!AX11:BI11)</f>
        <v>350102510</v>
      </c>
      <c r="D34" s="19" t="n">
        <f aca="false">C34-B34</f>
        <v>-93897490</v>
      </c>
    </row>
    <row r="35" customFormat="false" ht="14.25" hidden="false" customHeight="false" outlineLevel="0" collapsed="false">
      <c r="A35" s="7" t="s">
        <v>37</v>
      </c>
      <c r="B35" s="17" t="n">
        <v>20672640</v>
      </c>
      <c r="C35" s="18" t="n">
        <f aca="false">SUM(creator_cohorts!AX22:BI22)</f>
        <v>16220219.8336</v>
      </c>
      <c r="D35" s="19" t="n">
        <f aca="false">C35-B35</f>
        <v>-4452420.1664</v>
      </c>
    </row>
    <row r="36" customFormat="false" ht="14.25" hidden="false" customHeight="false" outlineLevel="0" collapsed="false">
      <c r="A36" s="7" t="s">
        <v>38</v>
      </c>
      <c r="B36" s="20" t="n">
        <v>0.04656</v>
      </c>
      <c r="C36" s="21" t="n">
        <f aca="false">SUM(creator_cohorts!AX22:BI22)/SUM(creator_cohorts!AX11:BI11)</f>
        <v>0.0463299158683552</v>
      </c>
      <c r="D36" s="22" t="n">
        <f aca="false">C36-B36</f>
        <v>-0.000230084131644756</v>
      </c>
    </row>
    <row r="39" customFormat="false" ht="14.25" hidden="false" customHeight="false" outlineLevel="0" collapsed="false">
      <c r="A39" s="4" t="s">
        <v>39</v>
      </c>
    </row>
  </sheetData>
  <mergeCells count="4">
    <mergeCell ref="A1:H1"/>
    <mergeCell ref="A4:H4"/>
    <mergeCell ref="A17:H17"/>
    <mergeCell ref="A31:H31"/>
  </mergeCells>
  <dataValidations count="1">
    <dataValidation allowBlank="false" errorStyle="stop" operator="between" showDropDown="false" showErrorMessage="false" showInputMessage="false" sqref="B2" type="list">
      <formula1>"Base,Bear,Bull,Global Viral"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23" t="s">
        <v>40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4" t="s">
        <v>41</v>
      </c>
      <c r="B2" s="24"/>
      <c r="C2" s="24"/>
      <c r="D2" s="24"/>
      <c r="E2" s="24"/>
      <c r="F2" s="24"/>
      <c r="G2" s="24"/>
    </row>
    <row r="4" customFormat="false" ht="15" hidden="false" customHeight="false" outlineLevel="0" collapsed="false">
      <c r="A4" s="25" t="s">
        <v>5</v>
      </c>
      <c r="B4" s="25" t="s">
        <v>42</v>
      </c>
      <c r="C4" s="25" t="s">
        <v>43</v>
      </c>
      <c r="D4" s="25" t="s">
        <v>44</v>
      </c>
      <c r="E4" s="25" t="s">
        <v>45</v>
      </c>
      <c r="F4" s="25" t="s">
        <v>46</v>
      </c>
      <c r="G4" s="25" t="s">
        <v>47</v>
      </c>
    </row>
    <row r="5" customFormat="false" ht="15" hidden="false" customHeight="false" outlineLevel="0" collapsed="false">
      <c r="A5" s="26" t="s">
        <v>11</v>
      </c>
      <c r="B5" s="27" t="n">
        <v>1500</v>
      </c>
      <c r="C5" s="27" t="n">
        <v>9000</v>
      </c>
      <c r="D5" s="27" t="n">
        <v>32000</v>
      </c>
      <c r="E5" s="27" t="n">
        <v>70000</v>
      </c>
      <c r="F5" s="27" t="n">
        <v>120000</v>
      </c>
      <c r="G5" s="28" t="s">
        <v>48</v>
      </c>
    </row>
    <row r="6" customFormat="false" ht="15" hidden="false" customHeight="false" outlineLevel="0" collapsed="false">
      <c r="A6" s="26" t="s">
        <v>49</v>
      </c>
      <c r="B6" s="29" t="n">
        <v>4050000</v>
      </c>
      <c r="C6" s="29" t="n">
        <v>59850000</v>
      </c>
      <c r="D6" s="29" t="n">
        <v>255840000</v>
      </c>
      <c r="E6" s="29" t="n">
        <v>679320000</v>
      </c>
      <c r="F6" s="29" t="n">
        <v>1322400000</v>
      </c>
      <c r="G6" s="28" t="s">
        <v>50</v>
      </c>
    </row>
    <row r="7" customFormat="false" ht="15" hidden="false" customHeight="false" outlineLevel="0" collapsed="false">
      <c r="A7" s="26" t="s">
        <v>51</v>
      </c>
      <c r="B7" s="29" t="n">
        <v>324000</v>
      </c>
      <c r="C7" s="29" t="n">
        <v>4788000</v>
      </c>
      <c r="D7" s="29" t="n">
        <v>20467200</v>
      </c>
      <c r="E7" s="29" t="n">
        <v>54345600</v>
      </c>
      <c r="F7" s="29" t="n">
        <v>105792000</v>
      </c>
      <c r="G7" s="28" t="s">
        <v>50</v>
      </c>
    </row>
    <row r="8" customFormat="false" ht="15" hidden="false" customHeight="false" outlineLevel="0" collapsed="false">
      <c r="A8" s="26" t="s">
        <v>52</v>
      </c>
      <c r="B8" s="29" t="n">
        <v>162000</v>
      </c>
      <c r="C8" s="29" t="n">
        <v>2322180</v>
      </c>
      <c r="D8" s="29" t="n">
        <v>9210240</v>
      </c>
      <c r="E8" s="29" t="n">
        <v>23096880</v>
      </c>
      <c r="F8" s="29" t="n">
        <v>44221056</v>
      </c>
    </row>
    <row r="9" customFormat="false" ht="15" hidden="false" customHeight="false" outlineLevel="0" collapsed="false">
      <c r="A9" s="26" t="s">
        <v>53</v>
      </c>
      <c r="B9" s="29" t="n">
        <v>162000</v>
      </c>
      <c r="C9" s="29" t="n">
        <v>2465820</v>
      </c>
      <c r="D9" s="29" t="n">
        <v>11256960</v>
      </c>
      <c r="E9" s="29" t="n">
        <v>31248720</v>
      </c>
      <c r="F9" s="29" t="n">
        <v>61570944</v>
      </c>
      <c r="G9" s="28" t="s">
        <v>50</v>
      </c>
    </row>
    <row r="10" customFormat="false" ht="15" hidden="false" customHeight="false" outlineLevel="0" collapsed="false">
      <c r="A10" s="26" t="s">
        <v>16</v>
      </c>
      <c r="B10" s="30" t="n">
        <v>0.04</v>
      </c>
      <c r="C10" s="30" t="n">
        <v>0.0412</v>
      </c>
      <c r="D10" s="30" t="n">
        <v>0.044</v>
      </c>
      <c r="E10" s="30" t="n">
        <v>0.046</v>
      </c>
      <c r="F10" s="30" t="n">
        <v>0.04656</v>
      </c>
      <c r="G10" s="28" t="s">
        <v>54</v>
      </c>
    </row>
    <row r="13" customFormat="false" ht="15" hidden="false" customHeight="false" outlineLevel="0" collapsed="false">
      <c r="A13" s="31" t="s">
        <v>55</v>
      </c>
      <c r="B13" s="31"/>
      <c r="C13" s="31"/>
      <c r="D13" s="31"/>
      <c r="E13" s="31"/>
      <c r="F13" s="31"/>
      <c r="G13" s="31"/>
    </row>
    <row r="14" customFormat="false" ht="15" hidden="false" customHeight="false" outlineLevel="0" collapsed="false">
      <c r="A14" s="32" t="s">
        <v>5</v>
      </c>
      <c r="B14" s="32" t="s">
        <v>56</v>
      </c>
      <c r="C14" s="32" t="s">
        <v>57</v>
      </c>
      <c r="D14" s="32" t="s">
        <v>58</v>
      </c>
    </row>
    <row r="15" customFormat="false" ht="15" hidden="false" customHeight="false" outlineLevel="0" collapsed="false">
      <c r="A15" s="0" t="s">
        <v>59</v>
      </c>
      <c r="B15" s="27" t="n">
        <v>24000</v>
      </c>
      <c r="C15" s="27" t="n">
        <v>120000</v>
      </c>
      <c r="D15" s="28" t="s">
        <v>48</v>
      </c>
    </row>
    <row r="16" customFormat="false" ht="15" hidden="false" customHeight="false" outlineLevel="0" collapsed="false">
      <c r="A16" s="0" t="s">
        <v>49</v>
      </c>
      <c r="B16" s="29" t="n">
        <v>350102510</v>
      </c>
      <c r="C16" s="29" t="n">
        <v>1322400000</v>
      </c>
      <c r="D16" s="28" t="s">
        <v>50</v>
      </c>
    </row>
    <row r="17" customFormat="false" ht="15" hidden="false" customHeight="false" outlineLevel="0" collapsed="false">
      <c r="A17" s="0" t="s">
        <v>53</v>
      </c>
      <c r="B17" s="29" t="n">
        <v>16220220</v>
      </c>
      <c r="C17" s="29" t="n">
        <v>61570944</v>
      </c>
      <c r="D17" s="28" t="s">
        <v>50</v>
      </c>
    </row>
    <row r="18" customFormat="false" ht="15" hidden="false" customHeight="false" outlineLevel="0" collapsed="false">
      <c r="A18" s="0" t="s">
        <v>16</v>
      </c>
      <c r="B18" s="30" t="n">
        <v>0.04633</v>
      </c>
      <c r="C18" s="30" t="n">
        <v>0.04656</v>
      </c>
      <c r="D18" s="28" t="s">
        <v>54</v>
      </c>
    </row>
  </sheetData>
  <mergeCells count="3">
    <mergeCell ref="A1:G1"/>
    <mergeCell ref="A2:G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23" t="s">
        <v>60</v>
      </c>
      <c r="B1" s="23"/>
      <c r="C1" s="23"/>
      <c r="D1" s="23"/>
      <c r="E1" s="23"/>
      <c r="F1" s="23"/>
    </row>
    <row r="2" customFormat="false" ht="15" hidden="false" customHeight="false" outlineLevel="0" collapsed="false">
      <c r="A2" s="24" t="s">
        <v>61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5" t="s">
        <v>62</v>
      </c>
      <c r="B4" s="25" t="s">
        <v>63</v>
      </c>
      <c r="C4" s="25" t="s">
        <v>64</v>
      </c>
      <c r="D4" s="25" t="s">
        <v>65</v>
      </c>
      <c r="E4" s="25" t="s">
        <v>49</v>
      </c>
      <c r="F4" s="25" t="s">
        <v>66</v>
      </c>
    </row>
    <row r="5" customFormat="false" ht="15" hidden="false" customHeight="false" outlineLevel="0" collapsed="false">
      <c r="A5" s="0" t="s">
        <v>67</v>
      </c>
      <c r="B5" s="0" t="n">
        <v>25</v>
      </c>
      <c r="C5" s="0" t="n">
        <v>6000</v>
      </c>
      <c r="D5" s="29" t="n">
        <v>480</v>
      </c>
      <c r="E5" s="29" t="n">
        <v>84558436.9449378</v>
      </c>
      <c r="F5" s="29" t="n">
        <v>3937040.82415631</v>
      </c>
    </row>
    <row r="6" customFormat="false" ht="15" hidden="false" customHeight="false" outlineLevel="0" collapsed="false">
      <c r="A6" s="0" t="s">
        <v>68</v>
      </c>
      <c r="B6" s="0" t="n">
        <v>150</v>
      </c>
      <c r="C6" s="0" t="n">
        <v>14000</v>
      </c>
      <c r="D6" s="29" t="n">
        <v>460</v>
      </c>
      <c r="E6" s="29" t="n">
        <v>189082060.390764</v>
      </c>
      <c r="F6" s="29" t="n">
        <v>8803660.73179396</v>
      </c>
    </row>
    <row r="7" customFormat="false" ht="15" hidden="false" customHeight="false" outlineLevel="0" collapsed="false">
      <c r="A7" s="0" t="s">
        <v>69</v>
      </c>
      <c r="B7" s="0" t="n">
        <v>180</v>
      </c>
      <c r="C7" s="0" t="n">
        <v>22000</v>
      </c>
      <c r="D7" s="29" t="n">
        <v>540</v>
      </c>
      <c r="E7" s="29" t="n">
        <v>348803552.397869</v>
      </c>
      <c r="F7" s="29" t="n">
        <v>16240293.3996448</v>
      </c>
    </row>
    <row r="8" customFormat="false" ht="15" hidden="false" customHeight="false" outlineLevel="0" collapsed="false">
      <c r="A8" s="0" t="s">
        <v>70</v>
      </c>
      <c r="B8" s="0" t="n">
        <v>18</v>
      </c>
      <c r="C8" s="0" t="n">
        <v>6000</v>
      </c>
      <c r="D8" s="29" t="n">
        <v>580</v>
      </c>
      <c r="E8" s="29" t="n">
        <v>102174777.975133</v>
      </c>
      <c r="F8" s="29" t="n">
        <v>4757257.6625222</v>
      </c>
    </row>
    <row r="9" customFormat="false" ht="15" hidden="false" customHeight="false" outlineLevel="0" collapsed="false">
      <c r="A9" s="0" t="s">
        <v>71</v>
      </c>
      <c r="B9" s="0" t="n">
        <v>110</v>
      </c>
      <c r="C9" s="0" t="n">
        <v>14000</v>
      </c>
      <c r="D9" s="29" t="n">
        <v>280</v>
      </c>
      <c r="E9" s="29" t="n">
        <v>115093428.063943</v>
      </c>
      <c r="F9" s="29" t="n">
        <v>5358750.01065719</v>
      </c>
    </row>
    <row r="10" customFormat="false" ht="15" hidden="false" customHeight="false" outlineLevel="0" collapsed="false">
      <c r="A10" s="0" t="s">
        <v>72</v>
      </c>
      <c r="B10" s="0" t="n">
        <v>70</v>
      </c>
      <c r="C10" s="0" t="n">
        <v>8000</v>
      </c>
      <c r="D10" s="29" t="n">
        <v>380</v>
      </c>
      <c r="E10" s="29" t="n">
        <v>89256127.8863233</v>
      </c>
      <c r="F10" s="29" t="n">
        <v>4155765.31438721</v>
      </c>
    </row>
    <row r="11" customFormat="false" ht="15" hidden="false" customHeight="false" outlineLevel="0" collapsed="false">
      <c r="A11" s="0" t="s">
        <v>73</v>
      </c>
      <c r="B11" s="0" t="n">
        <v>90</v>
      </c>
      <c r="C11" s="0" t="n">
        <v>6000</v>
      </c>
      <c r="D11" s="29" t="n">
        <v>220</v>
      </c>
      <c r="E11" s="29" t="n">
        <v>38755950.2664298</v>
      </c>
      <c r="F11" s="29" t="n">
        <v>1804477.04440497</v>
      </c>
    </row>
    <row r="12" customFormat="false" ht="15" hidden="false" customHeight="false" outlineLevel="0" collapsed="false">
      <c r="A12" s="0" t="s">
        <v>74</v>
      </c>
      <c r="B12" s="0" t="n">
        <v>140</v>
      </c>
      <c r="C12" s="0" t="n">
        <v>16000</v>
      </c>
      <c r="D12" s="29" t="n">
        <v>200</v>
      </c>
      <c r="E12" s="29" t="n">
        <v>93953818.8277087</v>
      </c>
      <c r="F12" s="29" t="n">
        <v>4374489.80461812</v>
      </c>
    </row>
    <row r="13" customFormat="false" ht="15" hidden="false" customHeight="false" outlineLevel="0" collapsed="false">
      <c r="A13" s="0" t="s">
        <v>75</v>
      </c>
      <c r="B13" s="0" t="n">
        <v>160</v>
      </c>
      <c r="C13" s="0" t="n">
        <v>16000</v>
      </c>
      <c r="D13" s="29" t="n">
        <v>240</v>
      </c>
      <c r="E13" s="29" t="n">
        <v>112744582.593251</v>
      </c>
      <c r="F13" s="29" t="n">
        <v>5249387.76554174</v>
      </c>
    </row>
    <row r="14" customFormat="false" ht="15" hidden="false" customHeight="false" outlineLevel="0" collapsed="false">
      <c r="A14" s="0" t="s">
        <v>76</v>
      </c>
      <c r="B14" s="0" t="n">
        <v>280</v>
      </c>
      <c r="C14" s="0" t="n">
        <v>12000</v>
      </c>
      <c r="D14" s="29" t="n">
        <v>420</v>
      </c>
      <c r="E14" s="29" t="n">
        <v>147977264.653641</v>
      </c>
      <c r="F14" s="29" t="n">
        <v>6889821.44227353</v>
      </c>
    </row>
    <row r="15" customFormat="false" ht="15" hidden="false" customHeight="false" outlineLevel="0" collapsed="false">
      <c r="A15" s="32" t="s">
        <v>77</v>
      </c>
      <c r="B15" s="32" t="n">
        <v>1223</v>
      </c>
      <c r="C15" s="32" t="n">
        <v>120000</v>
      </c>
      <c r="D15" s="33"/>
      <c r="E15" s="34" t="n">
        <v>1322400000</v>
      </c>
      <c r="F15" s="34" t="n">
        <v>61570944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106" activePane="bottomRight" state="frozen"/>
      <selection pane="topLeft" activeCell="A1" activeCellId="0" sqref="A1"/>
      <selection pane="topRight" activeCell="B1" activeCellId="0" sqref="B1"/>
      <selection pane="bottomLeft" activeCell="A106" activeCellId="0" sqref="A106"/>
      <selection pane="bottomRight" activeCell="A107" activeCellId="0" sqref="A107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</row>
    <row r="2" customFormat="false" ht="14.25" hidden="false" customHeight="false" outlineLevel="0" collapsed="false">
      <c r="A2" s="35" t="s">
        <v>79</v>
      </c>
      <c r="B2" s="35"/>
      <c r="C2" s="35"/>
      <c r="D2" s="35"/>
      <c r="E2" s="35"/>
      <c r="F2" s="35"/>
      <c r="G2" s="35"/>
    </row>
    <row r="3" customFormat="false" ht="14.25" hidden="false" customHeight="false" outlineLevel="0" collapsed="false">
      <c r="A3" s="36" t="s">
        <v>80</v>
      </c>
      <c r="B3" s="36" t="s">
        <v>2</v>
      </c>
      <c r="C3" s="36" t="s">
        <v>81</v>
      </c>
      <c r="D3" s="36" t="s">
        <v>82</v>
      </c>
      <c r="E3" s="37" t="s">
        <v>57</v>
      </c>
      <c r="F3" s="36" t="s">
        <v>83</v>
      </c>
      <c r="G3" s="36" t="s">
        <v>84</v>
      </c>
      <c r="H3" s="36" t="s">
        <v>85</v>
      </c>
    </row>
    <row r="4" customFormat="false" ht="14.25" hidden="false" customHeight="false" outlineLevel="0" collapsed="false">
      <c r="A4" s="5" t="s">
        <v>86</v>
      </c>
      <c r="B4" s="5"/>
      <c r="C4" s="5"/>
      <c r="D4" s="5"/>
      <c r="E4" s="5"/>
      <c r="F4" s="5"/>
      <c r="G4" s="5"/>
    </row>
    <row r="5" customFormat="false" ht="23.85" hidden="false" customHeight="false" outlineLevel="0" collapsed="false">
      <c r="A5" s="7" t="s">
        <v>87</v>
      </c>
      <c r="B5" s="14" t="n">
        <v>85000000</v>
      </c>
      <c r="C5" s="14" t="n">
        <v>70000000</v>
      </c>
      <c r="D5" s="14" t="n">
        <v>95000000</v>
      </c>
      <c r="E5" s="38" t="n">
        <v>520000000</v>
      </c>
      <c r="F5" s="39" t="s">
        <v>88</v>
      </c>
      <c r="G5" s="15" t="n">
        <f aca="false">CHOOSE(scenario_idx,B5,C5,D5,E5)</f>
        <v>85000000</v>
      </c>
    </row>
    <row r="6" customFormat="false" ht="14.25" hidden="false" customHeight="false" outlineLevel="0" collapsed="false">
      <c r="A6" s="7" t="s">
        <v>89</v>
      </c>
      <c r="B6" s="17" t="n">
        <v>480</v>
      </c>
      <c r="C6" s="17" t="n">
        <v>420</v>
      </c>
      <c r="D6" s="17" t="n">
        <v>540</v>
      </c>
      <c r="E6" s="38" t="n">
        <v>410</v>
      </c>
      <c r="F6" s="39" t="s">
        <v>90</v>
      </c>
      <c r="G6" s="18" t="n">
        <f aca="false">CHOOSE(scenario_idx,B6,C6,D6,E6)</f>
        <v>480</v>
      </c>
    </row>
    <row r="7" customFormat="false" ht="14.25" hidden="false" customHeight="false" outlineLevel="0" collapsed="false">
      <c r="A7" s="7" t="s">
        <v>91</v>
      </c>
      <c r="B7" s="40" t="n">
        <v>1.6</v>
      </c>
      <c r="C7" s="40" t="n">
        <v>1.4</v>
      </c>
      <c r="D7" s="40" t="n">
        <v>1.8</v>
      </c>
      <c r="E7" s="38" t="n">
        <v>1.5</v>
      </c>
      <c r="F7" s="39" t="s">
        <v>92</v>
      </c>
      <c r="G7" s="41" t="n">
        <f aca="false">CHOOSE(scenario_idx,B7,C7,D7,E7)</f>
        <v>1.6</v>
      </c>
    </row>
    <row r="8" customFormat="false" ht="35.05" hidden="false" customHeight="false" outlineLevel="0" collapsed="false">
      <c r="A8" s="7" t="s">
        <v>93</v>
      </c>
      <c r="B8" s="42" t="n">
        <v>0.28</v>
      </c>
      <c r="C8" s="42" t="n">
        <v>0.22</v>
      </c>
      <c r="D8" s="42" t="n">
        <v>0.35</v>
      </c>
      <c r="E8" s="38" t="n">
        <v>0.26</v>
      </c>
      <c r="F8" s="39" t="s">
        <v>94</v>
      </c>
      <c r="G8" s="43" t="n">
        <f aca="false">CHOOSE(scenario_idx,B8,C8,D8,E8)</f>
        <v>0.28</v>
      </c>
    </row>
    <row r="9" customFormat="false" ht="23.85" hidden="false" customHeight="false" outlineLevel="0" collapsed="false">
      <c r="A9" s="7" t="s">
        <v>95</v>
      </c>
      <c r="B9" s="42" t="n">
        <v>0.08</v>
      </c>
      <c r="C9" s="42" t="n">
        <v>0.08</v>
      </c>
      <c r="D9" s="42" t="n">
        <v>0.08</v>
      </c>
      <c r="E9" s="38" t="n">
        <v>0.08</v>
      </c>
      <c r="F9" s="39" t="s">
        <v>96</v>
      </c>
      <c r="G9" s="43" t="n">
        <f aca="false">CHOOSE(scenario_idx,B9,C9,D9,E9)</f>
        <v>0.08</v>
      </c>
    </row>
    <row r="10" customFormat="false" ht="14.25" hidden="false" customHeight="false" outlineLevel="0" collapsed="false">
      <c r="A10" s="7" t="s">
        <v>97</v>
      </c>
      <c r="B10" s="42" t="n">
        <v>0.5</v>
      </c>
      <c r="C10" s="42" t="n">
        <v>0.5</v>
      </c>
      <c r="D10" s="42" t="n">
        <v>0.5</v>
      </c>
      <c r="E10" s="38" t="n">
        <v>0.5</v>
      </c>
      <c r="F10" s="39" t="s">
        <v>98</v>
      </c>
      <c r="G10" s="43" t="n">
        <f aca="false">CHOOSE(scenario_idx,B10,C10,D10,E10)</f>
        <v>0.5</v>
      </c>
    </row>
    <row r="11" customFormat="false" ht="14.25" hidden="false" customHeight="false" outlineLevel="0" collapsed="false">
      <c r="A11" s="7" t="s">
        <v>99</v>
      </c>
      <c r="B11" s="42" t="n">
        <v>0.5</v>
      </c>
      <c r="C11" s="42" t="n">
        <v>0.5</v>
      </c>
      <c r="D11" s="42" t="n">
        <v>0.5</v>
      </c>
      <c r="E11" s="38" t="n">
        <v>0.5</v>
      </c>
      <c r="F11" s="39" t="s">
        <v>100</v>
      </c>
      <c r="G11" s="43" t="n">
        <f aca="false">CHOOSE(scenario_idx,B11,C11,D11,E11)</f>
        <v>0.5</v>
      </c>
    </row>
    <row r="12" customFormat="false" ht="14.25" hidden="false" customHeight="false" outlineLevel="0" collapsed="false">
      <c r="A12" s="7" t="s">
        <v>101</v>
      </c>
      <c r="B12" s="42" t="n">
        <v>0.5</v>
      </c>
      <c r="C12" s="42" t="n">
        <v>0.5</v>
      </c>
      <c r="D12" s="42" t="n">
        <v>0.5</v>
      </c>
      <c r="E12" s="38" t="n">
        <v>0.5</v>
      </c>
      <c r="F12" s="39"/>
      <c r="G12" s="43" t="n">
        <f aca="false">CHOOSE(scenario_idx,B12,C12,D12,E12)</f>
        <v>0.5</v>
      </c>
    </row>
    <row r="13" customFormat="false" ht="14.25" hidden="false" customHeight="false" outlineLevel="0" collapsed="false">
      <c r="A13" s="7" t="s">
        <v>102</v>
      </c>
      <c r="B13" s="42" t="n">
        <v>0.4</v>
      </c>
      <c r="C13" s="42" t="n">
        <v>0.4</v>
      </c>
      <c r="D13" s="42" t="n">
        <v>0.4</v>
      </c>
      <c r="E13" s="38" t="n">
        <v>0.4</v>
      </c>
      <c r="F13" s="39"/>
      <c r="G13" s="43" t="n">
        <f aca="false">CHOOSE(scenario_idx,B13,C13,D13,E13)</f>
        <v>0.4</v>
      </c>
    </row>
    <row r="14" customFormat="false" ht="14.25" hidden="false" customHeight="false" outlineLevel="0" collapsed="false">
      <c r="A14" s="7" t="s">
        <v>103</v>
      </c>
      <c r="B14" s="42" t="n">
        <v>0.3</v>
      </c>
      <c r="C14" s="42" t="n">
        <v>0.3</v>
      </c>
      <c r="D14" s="42" t="n">
        <v>0.3</v>
      </c>
      <c r="E14" s="38" t="n">
        <v>0.3</v>
      </c>
      <c r="F14" s="39"/>
      <c r="G14" s="43" t="n">
        <f aca="false">CHOOSE(scenario_idx,B14,C14,D14,E14)</f>
        <v>0.3</v>
      </c>
    </row>
    <row r="15" customFormat="false" ht="14.25" hidden="false" customHeight="false" outlineLevel="0" collapsed="false">
      <c r="A15" s="5" t="s">
        <v>104</v>
      </c>
      <c r="B15" s="5"/>
      <c r="C15" s="5"/>
      <c r="D15" s="5"/>
      <c r="E15" s="5"/>
      <c r="F15" s="5"/>
      <c r="G15" s="5"/>
    </row>
    <row r="16" customFormat="false" ht="14.25" hidden="false" customHeight="false" outlineLevel="0" collapsed="false">
      <c r="A16" s="7" t="s">
        <v>105</v>
      </c>
      <c r="B16" s="14" t="n">
        <v>0</v>
      </c>
      <c r="C16" s="14" t="n">
        <v>0</v>
      </c>
      <c r="D16" s="14" t="n">
        <v>0</v>
      </c>
      <c r="E16" s="38" t="n">
        <v>0</v>
      </c>
      <c r="F16" s="39"/>
      <c r="G16" s="15" t="n">
        <f aca="false">CHOOSE(scenario_idx,B16,C16,D16,E16)</f>
        <v>0</v>
      </c>
    </row>
    <row r="17" customFormat="false" ht="14.25" hidden="false" customHeight="false" outlineLevel="0" collapsed="false">
      <c r="A17" s="7" t="s">
        <v>106</v>
      </c>
      <c r="B17" s="14" t="n">
        <v>500</v>
      </c>
      <c r="C17" s="14" t="n">
        <v>350</v>
      </c>
      <c r="D17" s="14" t="n">
        <v>700</v>
      </c>
      <c r="E17" s="38" t="n">
        <v>1500</v>
      </c>
      <c r="F17" s="39" t="s">
        <v>107</v>
      </c>
      <c r="G17" s="15" t="n">
        <f aca="false">CHOOSE(scenario_idx,B17,C17,D17,E17)</f>
        <v>500</v>
      </c>
    </row>
    <row r="18" customFormat="false" ht="14.25" hidden="false" customHeight="false" outlineLevel="0" collapsed="false">
      <c r="A18" s="7" t="s">
        <v>108</v>
      </c>
      <c r="B18" s="14" t="n">
        <v>2400</v>
      </c>
      <c r="C18" s="14" t="n">
        <v>1500</v>
      </c>
      <c r="D18" s="14" t="n">
        <v>3500</v>
      </c>
      <c r="E18" s="38" t="n">
        <v>9000</v>
      </c>
      <c r="F18" s="39" t="s">
        <v>109</v>
      </c>
      <c r="G18" s="15" t="n">
        <f aca="false">CHOOSE(scenario_idx,B18,C18,D18,E18)</f>
        <v>2400</v>
      </c>
    </row>
    <row r="19" customFormat="false" ht="14.25" hidden="false" customHeight="false" outlineLevel="0" collapsed="false">
      <c r="A19" s="7" t="s">
        <v>110</v>
      </c>
      <c r="B19" s="14" t="n">
        <v>6800</v>
      </c>
      <c r="C19" s="14" t="n">
        <v>4200</v>
      </c>
      <c r="D19" s="14" t="n">
        <v>9500</v>
      </c>
      <c r="E19" s="38" t="n">
        <v>32000</v>
      </c>
      <c r="F19" s="39" t="s">
        <v>111</v>
      </c>
      <c r="G19" s="15" t="n">
        <f aca="false">CHOOSE(scenario_idx,B19,C19,D19,E19)</f>
        <v>6800</v>
      </c>
    </row>
    <row r="20" customFormat="false" ht="14.25" hidden="false" customHeight="false" outlineLevel="0" collapsed="false">
      <c r="A20" s="7" t="s">
        <v>112</v>
      </c>
      <c r="B20" s="14" t="n">
        <v>14000</v>
      </c>
      <c r="C20" s="14" t="n">
        <v>9000</v>
      </c>
      <c r="D20" s="14" t="n">
        <v>19000</v>
      </c>
      <c r="E20" s="38" t="n">
        <v>70000</v>
      </c>
      <c r="F20" s="39" t="s">
        <v>113</v>
      </c>
      <c r="G20" s="15" t="n">
        <f aca="false">CHOOSE(scenario_idx,B20,C20,D20,E20)</f>
        <v>14000</v>
      </c>
    </row>
    <row r="21" customFormat="false" ht="14.25" hidden="false" customHeight="false" outlineLevel="0" collapsed="false">
      <c r="A21" s="7" t="s">
        <v>114</v>
      </c>
      <c r="B21" s="14" t="n">
        <v>24000</v>
      </c>
      <c r="C21" s="14" t="n">
        <v>16000</v>
      </c>
      <c r="D21" s="14" t="n">
        <v>32000</v>
      </c>
      <c r="E21" s="38" t="n">
        <v>120000</v>
      </c>
      <c r="F21" s="39" t="s">
        <v>115</v>
      </c>
      <c r="G21" s="15" t="n">
        <f aca="false">CHOOSE(scenario_idx,B21,C21,D21,E21)</f>
        <v>24000</v>
      </c>
    </row>
    <row r="22" customFormat="false" ht="14.25" hidden="false" customHeight="false" outlineLevel="0" collapsed="false">
      <c r="A22" s="7" t="s">
        <v>116</v>
      </c>
      <c r="B22" s="42" t="n">
        <v>0.02</v>
      </c>
      <c r="C22" s="42" t="n">
        <v>0.035</v>
      </c>
      <c r="D22" s="42" t="n">
        <v>0.012</v>
      </c>
      <c r="E22" s="38" t="n">
        <v>0.018</v>
      </c>
      <c r="F22" s="39" t="s">
        <v>117</v>
      </c>
      <c r="G22" s="43" t="n">
        <f aca="false">CHOOSE(scenario_idx,B22,C22,D22,E22)</f>
        <v>0.02</v>
      </c>
    </row>
    <row r="23" customFormat="false" ht="14.25" hidden="false" customHeight="false" outlineLevel="0" collapsed="false">
      <c r="A23" s="5" t="s">
        <v>118</v>
      </c>
      <c r="B23" s="5"/>
      <c r="C23" s="5"/>
      <c r="D23" s="5"/>
      <c r="E23" s="5"/>
      <c r="F23" s="5"/>
      <c r="G23" s="5"/>
    </row>
    <row r="24" customFormat="false" ht="14.25" hidden="false" customHeight="false" outlineLevel="0" collapsed="false">
      <c r="A24" s="7" t="s">
        <v>119</v>
      </c>
      <c r="B24" s="17" t="n">
        <v>1000</v>
      </c>
      <c r="C24" s="17" t="n">
        <v>850</v>
      </c>
      <c r="D24" s="17" t="n">
        <v>1150</v>
      </c>
      <c r="E24" s="38" t="n">
        <v>900</v>
      </c>
      <c r="F24" s="39" t="s">
        <v>120</v>
      </c>
      <c r="G24" s="18" t="n">
        <f aca="false">CHOOSE(scenario_idx,B24,C24,D24,E24)</f>
        <v>1000</v>
      </c>
    </row>
    <row r="25" customFormat="false" ht="14.25" hidden="false" customHeight="false" outlineLevel="0" collapsed="false">
      <c r="A25" s="7" t="s">
        <v>121</v>
      </c>
      <c r="B25" s="17" t="n">
        <v>1200</v>
      </c>
      <c r="C25" s="17" t="n">
        <v>1000</v>
      </c>
      <c r="D25" s="17" t="n">
        <v>1350</v>
      </c>
      <c r="E25" s="38" t="n">
        <v>1000</v>
      </c>
      <c r="F25" s="39"/>
      <c r="G25" s="18" t="n">
        <f aca="false">CHOOSE(scenario_idx,B25,C25,D25,E25)</f>
        <v>1200</v>
      </c>
    </row>
    <row r="26" customFormat="false" ht="14.25" hidden="false" customHeight="false" outlineLevel="0" collapsed="false">
      <c r="A26" s="7" t="s">
        <v>122</v>
      </c>
      <c r="B26" s="17" t="n">
        <v>1350</v>
      </c>
      <c r="C26" s="17" t="n">
        <v>1100</v>
      </c>
      <c r="D26" s="17" t="n">
        <v>1500</v>
      </c>
      <c r="E26" s="38" t="n">
        <v>1080</v>
      </c>
      <c r="F26" s="39"/>
      <c r="G26" s="18" t="n">
        <f aca="false">CHOOSE(scenario_idx,B26,C26,D26,E26)</f>
        <v>1350</v>
      </c>
    </row>
    <row r="27" customFormat="false" ht="14.25" hidden="false" customHeight="false" outlineLevel="0" collapsed="false">
      <c r="A27" s="7" t="s">
        <v>123</v>
      </c>
      <c r="B27" s="17" t="n">
        <v>1450</v>
      </c>
      <c r="C27" s="17" t="n">
        <v>1180</v>
      </c>
      <c r="D27" s="17" t="n">
        <v>1620</v>
      </c>
      <c r="E27" s="38" t="n">
        <v>1140</v>
      </c>
      <c r="F27" s="39"/>
      <c r="G27" s="18" t="n">
        <f aca="false">CHOOSE(scenario_idx,B27,C27,D27,E27)</f>
        <v>1450</v>
      </c>
    </row>
    <row r="28" customFormat="false" ht="14.25" hidden="false" customHeight="false" outlineLevel="0" collapsed="false">
      <c r="A28" s="7" t="s">
        <v>124</v>
      </c>
      <c r="B28" s="17" t="n">
        <v>1540</v>
      </c>
      <c r="C28" s="17" t="n">
        <v>1250</v>
      </c>
      <c r="D28" s="17" t="n">
        <v>1700</v>
      </c>
      <c r="E28" s="38" t="n">
        <v>1180</v>
      </c>
      <c r="F28" s="39" t="s">
        <v>125</v>
      </c>
      <c r="G28" s="18" t="n">
        <f aca="false">CHOOSE(scenario_idx,B28,C28,D28,E28)</f>
        <v>1540</v>
      </c>
    </row>
    <row r="29" customFormat="false" ht="14.25" hidden="false" customHeight="false" outlineLevel="0" collapsed="false">
      <c r="A29" s="5" t="s">
        <v>126</v>
      </c>
      <c r="B29" s="5"/>
      <c r="C29" s="5"/>
      <c r="D29" s="5"/>
      <c r="E29" s="5"/>
      <c r="F29" s="5"/>
      <c r="G29" s="5"/>
    </row>
    <row r="30" customFormat="false" ht="14.25" hidden="false" customHeight="false" outlineLevel="0" collapsed="false">
      <c r="A30" s="7" t="s">
        <v>127</v>
      </c>
      <c r="B30" s="42" t="n">
        <v>1</v>
      </c>
      <c r="C30" s="42" t="n">
        <v>1</v>
      </c>
      <c r="D30" s="42" t="n">
        <v>1</v>
      </c>
      <c r="E30" s="38" t="n">
        <v>1</v>
      </c>
      <c r="F30" s="39"/>
      <c r="G30" s="43" t="n">
        <f aca="false">CHOOSE(scenario_idx,B30,C30,D30,E30)</f>
        <v>1</v>
      </c>
    </row>
    <row r="31" customFormat="false" ht="14.25" hidden="false" customHeight="false" outlineLevel="0" collapsed="false">
      <c r="A31" s="7" t="s">
        <v>128</v>
      </c>
      <c r="B31" s="42" t="n">
        <v>0.45</v>
      </c>
      <c r="C31" s="42" t="n">
        <v>0.45</v>
      </c>
      <c r="D31" s="42" t="n">
        <v>0.45</v>
      </c>
      <c r="E31" s="38" t="n">
        <v>0.45</v>
      </c>
      <c r="F31" s="39"/>
      <c r="G31" s="43" t="n">
        <f aca="false">CHOOSE(scenario_idx,B31,C31,D31,E31)</f>
        <v>0.45</v>
      </c>
    </row>
    <row r="32" customFormat="false" ht="14.25" hidden="false" customHeight="false" outlineLevel="0" collapsed="false">
      <c r="A32" s="7" t="s">
        <v>129</v>
      </c>
      <c r="B32" s="42" t="n">
        <v>0.22</v>
      </c>
      <c r="C32" s="42" t="n">
        <v>0.22</v>
      </c>
      <c r="D32" s="42" t="n">
        <v>0.22</v>
      </c>
      <c r="E32" s="38" t="n">
        <v>0.22</v>
      </c>
      <c r="F32" s="39"/>
      <c r="G32" s="43" t="n">
        <f aca="false">CHOOSE(scenario_idx,B32,C32,D32,E32)</f>
        <v>0.22</v>
      </c>
    </row>
    <row r="33" customFormat="false" ht="14.25" hidden="false" customHeight="false" outlineLevel="0" collapsed="false">
      <c r="A33" s="7" t="s">
        <v>130</v>
      </c>
      <c r="B33" s="42" t="n">
        <v>0.12</v>
      </c>
      <c r="C33" s="42" t="n">
        <v>0.12</v>
      </c>
      <c r="D33" s="42" t="n">
        <v>0.12</v>
      </c>
      <c r="E33" s="38" t="n">
        <v>0.12</v>
      </c>
      <c r="F33" s="39"/>
      <c r="G33" s="43" t="n">
        <f aca="false">CHOOSE(scenario_idx,B33,C33,D33,E33)</f>
        <v>0.12</v>
      </c>
    </row>
    <row r="34" customFormat="false" ht="14.25" hidden="false" customHeight="false" outlineLevel="0" collapsed="false">
      <c r="A34" s="7" t="s">
        <v>131</v>
      </c>
      <c r="B34" s="42" t="n">
        <v>0.08</v>
      </c>
      <c r="C34" s="42" t="n">
        <v>0.08</v>
      </c>
      <c r="D34" s="42" t="n">
        <v>0.08</v>
      </c>
      <c r="E34" s="38" t="n">
        <v>0.08</v>
      </c>
      <c r="F34" s="39"/>
      <c r="G34" s="43" t="n">
        <f aca="false">CHOOSE(scenario_idx,B34,C34,D34,E34)</f>
        <v>0.08</v>
      </c>
    </row>
    <row r="35" customFormat="false" ht="14.25" hidden="false" customHeight="false" outlineLevel="0" collapsed="false">
      <c r="A35" s="7" t="s">
        <v>132</v>
      </c>
      <c r="B35" s="42" t="n">
        <v>0</v>
      </c>
      <c r="C35" s="42" t="n">
        <v>0</v>
      </c>
      <c r="D35" s="42" t="n">
        <v>0</v>
      </c>
      <c r="E35" s="38" t="n">
        <v>0</v>
      </c>
      <c r="F35" s="39"/>
      <c r="G35" s="43" t="n">
        <f aca="false">CHOOSE(scenario_idx,B35,C35,D35,E35)</f>
        <v>0</v>
      </c>
    </row>
    <row r="36" customFormat="false" ht="14.25" hidden="false" customHeight="false" outlineLevel="0" collapsed="false">
      <c r="A36" s="7" t="s">
        <v>133</v>
      </c>
      <c r="B36" s="42" t="n">
        <v>0.05</v>
      </c>
      <c r="C36" s="42" t="n">
        <v>0.05</v>
      </c>
      <c r="D36" s="42" t="n">
        <v>0.05</v>
      </c>
      <c r="E36" s="38" t="n">
        <v>0.05</v>
      </c>
      <c r="F36" s="39"/>
      <c r="G36" s="43" t="n">
        <f aca="false">CHOOSE(scenario_idx,B36,C36,D36,E36)</f>
        <v>0.05</v>
      </c>
    </row>
    <row r="37" customFormat="false" ht="14.25" hidden="false" customHeight="false" outlineLevel="0" collapsed="false">
      <c r="A37" s="7" t="s">
        <v>134</v>
      </c>
      <c r="B37" s="42" t="n">
        <v>0.18</v>
      </c>
      <c r="C37" s="42" t="n">
        <v>0.18</v>
      </c>
      <c r="D37" s="42" t="n">
        <v>0.18</v>
      </c>
      <c r="E37" s="38" t="n">
        <v>0.18</v>
      </c>
      <c r="F37" s="39"/>
      <c r="G37" s="43" t="n">
        <f aca="false">CHOOSE(scenario_idx,B37,C37,D37,E37)</f>
        <v>0.18</v>
      </c>
    </row>
    <row r="38" customFormat="false" ht="14.25" hidden="false" customHeight="false" outlineLevel="0" collapsed="false">
      <c r="A38" s="7" t="s">
        <v>135</v>
      </c>
      <c r="B38" s="42" t="n">
        <v>0.28</v>
      </c>
      <c r="C38" s="42" t="n">
        <v>0.28</v>
      </c>
      <c r="D38" s="42" t="n">
        <v>0.28</v>
      </c>
      <c r="E38" s="38" t="n">
        <v>0.28</v>
      </c>
      <c r="F38" s="39"/>
      <c r="G38" s="43" t="n">
        <f aca="false">CHOOSE(scenario_idx,B38,C38,D38,E38)</f>
        <v>0.28</v>
      </c>
    </row>
    <row r="39" customFormat="false" ht="14.25" hidden="false" customHeight="false" outlineLevel="0" collapsed="false">
      <c r="A39" s="7" t="s">
        <v>136</v>
      </c>
      <c r="B39" s="42" t="n">
        <v>0.34</v>
      </c>
      <c r="C39" s="42" t="n">
        <v>0.34</v>
      </c>
      <c r="D39" s="42" t="n">
        <v>0.34</v>
      </c>
      <c r="E39" s="38" t="n">
        <v>0.34</v>
      </c>
      <c r="F39" s="39"/>
      <c r="G39" s="43" t="n">
        <f aca="false">CHOOSE(scenario_idx,B39,C39,D39,E39)</f>
        <v>0.34</v>
      </c>
    </row>
    <row r="40" customFormat="false" ht="14.25" hidden="false" customHeight="false" outlineLevel="0" collapsed="false">
      <c r="A40" s="7" t="s">
        <v>137</v>
      </c>
      <c r="B40" s="42" t="n">
        <v>0</v>
      </c>
      <c r="C40" s="42" t="n">
        <v>0</v>
      </c>
      <c r="D40" s="42" t="n">
        <v>0</v>
      </c>
      <c r="E40" s="38" t="n">
        <v>0</v>
      </c>
      <c r="F40" s="39"/>
      <c r="G40" s="43" t="n">
        <f aca="false">CHOOSE(scenario_idx,B40,C40,D40,E40)</f>
        <v>0</v>
      </c>
    </row>
    <row r="41" customFormat="false" ht="14.25" hidden="false" customHeight="false" outlineLevel="0" collapsed="false">
      <c r="A41" s="7" t="s">
        <v>138</v>
      </c>
      <c r="B41" s="42" t="n">
        <v>0.35</v>
      </c>
      <c r="C41" s="42" t="n">
        <v>0.35</v>
      </c>
      <c r="D41" s="42" t="n">
        <v>0.35</v>
      </c>
      <c r="E41" s="38" t="n">
        <v>0.35</v>
      </c>
      <c r="F41" s="39"/>
      <c r="G41" s="43" t="n">
        <f aca="false">CHOOSE(scenario_idx,B41,C41,D41,E41)</f>
        <v>0.35</v>
      </c>
    </row>
    <row r="42" customFormat="false" ht="14.25" hidden="false" customHeight="false" outlineLevel="0" collapsed="false">
      <c r="A42" s="7" t="s">
        <v>139</v>
      </c>
      <c r="B42" s="42" t="n">
        <v>0.2</v>
      </c>
      <c r="C42" s="42" t="n">
        <v>0.2</v>
      </c>
      <c r="D42" s="42" t="n">
        <v>0.2</v>
      </c>
      <c r="E42" s="38" t="n">
        <v>0.2</v>
      </c>
      <c r="F42" s="39"/>
      <c r="G42" s="43" t="n">
        <f aca="false">CHOOSE(scenario_idx,B42,C42,D42,E42)</f>
        <v>0.2</v>
      </c>
    </row>
    <row r="43" customFormat="false" ht="14.25" hidden="false" customHeight="false" outlineLevel="0" collapsed="false">
      <c r="A43" s="7" t="s">
        <v>140</v>
      </c>
      <c r="B43" s="42" t="n">
        <v>0.1</v>
      </c>
      <c r="C43" s="42" t="n">
        <v>0.1</v>
      </c>
      <c r="D43" s="42" t="n">
        <v>0.1</v>
      </c>
      <c r="E43" s="38" t="n">
        <v>0.1</v>
      </c>
      <c r="F43" s="39"/>
      <c r="G43" s="43" t="n">
        <f aca="false">CHOOSE(scenario_idx,B43,C43,D43,E43)</f>
        <v>0.1</v>
      </c>
    </row>
    <row r="44" customFormat="false" ht="14.25" hidden="false" customHeight="false" outlineLevel="0" collapsed="false">
      <c r="A44" s="7" t="s">
        <v>141</v>
      </c>
      <c r="B44" s="42" t="n">
        <v>0.08</v>
      </c>
      <c r="C44" s="42" t="n">
        <v>0.08</v>
      </c>
      <c r="D44" s="42" t="n">
        <v>0.08</v>
      </c>
      <c r="E44" s="38" t="n">
        <v>0.08</v>
      </c>
      <c r="F44" s="39"/>
      <c r="G44" s="43" t="n">
        <f aca="false">CHOOSE(scenario_idx,B44,C44,D44,E44)</f>
        <v>0.08</v>
      </c>
    </row>
    <row r="45" customFormat="false" ht="14.25" hidden="false" customHeight="false" outlineLevel="0" collapsed="false">
      <c r="A45" s="7" t="s">
        <v>142</v>
      </c>
      <c r="B45" s="42" t="n">
        <v>0</v>
      </c>
      <c r="C45" s="42" t="n">
        <v>0</v>
      </c>
      <c r="D45" s="42" t="n">
        <v>0</v>
      </c>
      <c r="E45" s="38" t="n">
        <v>0</v>
      </c>
      <c r="F45" s="39"/>
      <c r="G45" s="43" t="n">
        <f aca="false">CHOOSE(scenario_idx,B45,C45,D45,E45)</f>
        <v>0</v>
      </c>
    </row>
    <row r="46" customFormat="false" ht="14.25" hidden="false" customHeight="false" outlineLevel="0" collapsed="false">
      <c r="A46" s="7" t="s">
        <v>143</v>
      </c>
      <c r="B46" s="42" t="n">
        <v>0.15</v>
      </c>
      <c r="C46" s="42" t="n">
        <v>0.15</v>
      </c>
      <c r="D46" s="42" t="n">
        <v>0.15</v>
      </c>
      <c r="E46" s="38" t="n">
        <v>0.15</v>
      </c>
      <c r="F46" s="39"/>
      <c r="G46" s="43" t="n">
        <f aca="false">CHOOSE(scenario_idx,B46,C46,D46,E46)</f>
        <v>0.15</v>
      </c>
    </row>
    <row r="47" customFormat="false" ht="14.25" hidden="false" customHeight="false" outlineLevel="0" collapsed="false">
      <c r="A47" s="7" t="s">
        <v>144</v>
      </c>
      <c r="B47" s="42" t="n">
        <v>0.3</v>
      </c>
      <c r="C47" s="42" t="n">
        <v>0.3</v>
      </c>
      <c r="D47" s="42" t="n">
        <v>0.3</v>
      </c>
      <c r="E47" s="38" t="n">
        <v>0.3</v>
      </c>
      <c r="F47" s="39"/>
      <c r="G47" s="43" t="n">
        <f aca="false">CHOOSE(scenario_idx,B47,C47,D47,E47)</f>
        <v>0.3</v>
      </c>
    </row>
    <row r="48" customFormat="false" ht="14.25" hidden="false" customHeight="false" outlineLevel="0" collapsed="false">
      <c r="A48" s="7" t="s">
        <v>145</v>
      </c>
      <c r="B48" s="42" t="n">
        <v>0.25</v>
      </c>
      <c r="C48" s="42" t="n">
        <v>0.25</v>
      </c>
      <c r="D48" s="42" t="n">
        <v>0.25</v>
      </c>
      <c r="E48" s="38" t="n">
        <v>0.25</v>
      </c>
      <c r="F48" s="39"/>
      <c r="G48" s="43" t="n">
        <f aca="false">CHOOSE(scenario_idx,B48,C48,D48,E48)</f>
        <v>0.25</v>
      </c>
    </row>
    <row r="49" customFormat="false" ht="14.25" hidden="false" customHeight="false" outlineLevel="0" collapsed="false">
      <c r="A49" s="7" t="s">
        <v>146</v>
      </c>
      <c r="B49" s="42" t="n">
        <v>0.18</v>
      </c>
      <c r="C49" s="42" t="n">
        <v>0.18</v>
      </c>
      <c r="D49" s="42" t="n">
        <v>0.18</v>
      </c>
      <c r="E49" s="38" t="n">
        <v>0.18</v>
      </c>
      <c r="F49" s="39"/>
      <c r="G49" s="43" t="n">
        <f aca="false">CHOOSE(scenario_idx,B49,C49,D49,E49)</f>
        <v>0.18</v>
      </c>
    </row>
    <row r="50" customFormat="false" ht="14.25" hidden="false" customHeight="false" outlineLevel="0" collapsed="false">
      <c r="A50" s="7" t="s">
        <v>147</v>
      </c>
      <c r="B50" s="42" t="n">
        <v>0</v>
      </c>
      <c r="C50" s="42" t="n">
        <v>0</v>
      </c>
      <c r="D50" s="42" t="n">
        <v>0</v>
      </c>
      <c r="E50" s="38" t="n">
        <v>0</v>
      </c>
      <c r="F50" s="39"/>
      <c r="G50" s="43" t="n">
        <f aca="false">CHOOSE(scenario_idx,B50,C50,D50,E50)</f>
        <v>0</v>
      </c>
    </row>
    <row r="51" customFormat="false" ht="14.25" hidden="false" customHeight="false" outlineLevel="0" collapsed="false">
      <c r="A51" s="7" t="s">
        <v>148</v>
      </c>
      <c r="B51" s="42" t="n">
        <v>0</v>
      </c>
      <c r="C51" s="42" t="n">
        <v>0</v>
      </c>
      <c r="D51" s="42" t="n">
        <v>0</v>
      </c>
      <c r="E51" s="38" t="n">
        <v>0</v>
      </c>
      <c r="F51" s="39"/>
      <c r="G51" s="43" t="n">
        <f aca="false">CHOOSE(scenario_idx,B51,C51,D51,E51)</f>
        <v>0</v>
      </c>
    </row>
    <row r="52" customFormat="false" ht="14.25" hidden="false" customHeight="false" outlineLevel="0" collapsed="false">
      <c r="A52" s="7" t="s">
        <v>149</v>
      </c>
      <c r="B52" s="42" t="n">
        <v>0.1</v>
      </c>
      <c r="C52" s="42" t="n">
        <v>0.1</v>
      </c>
      <c r="D52" s="42" t="n">
        <v>0.1</v>
      </c>
      <c r="E52" s="38" t="n">
        <v>0.1</v>
      </c>
      <c r="F52" s="39"/>
      <c r="G52" s="43" t="n">
        <f aca="false">CHOOSE(scenario_idx,B52,C52,D52,E52)</f>
        <v>0.1</v>
      </c>
    </row>
    <row r="53" customFormat="false" ht="14.25" hidden="false" customHeight="false" outlineLevel="0" collapsed="false">
      <c r="A53" s="7" t="s">
        <v>150</v>
      </c>
      <c r="B53" s="42" t="n">
        <v>0.25</v>
      </c>
      <c r="C53" s="42" t="n">
        <v>0.25</v>
      </c>
      <c r="D53" s="42" t="n">
        <v>0.25</v>
      </c>
      <c r="E53" s="38" t="n">
        <v>0.25</v>
      </c>
      <c r="F53" s="39"/>
      <c r="G53" s="43" t="n">
        <f aca="false">CHOOSE(scenario_idx,B53,C53,D53,E53)</f>
        <v>0.25</v>
      </c>
    </row>
    <row r="54" customFormat="false" ht="14.25" hidden="false" customHeight="false" outlineLevel="0" collapsed="false">
      <c r="A54" s="7" t="s">
        <v>151</v>
      </c>
      <c r="B54" s="42" t="n">
        <v>0.32</v>
      </c>
      <c r="C54" s="42" t="n">
        <v>0.32</v>
      </c>
      <c r="D54" s="42" t="n">
        <v>0.32</v>
      </c>
      <c r="E54" s="38" t="n">
        <v>0.32</v>
      </c>
      <c r="F54" s="39"/>
      <c r="G54" s="43" t="n">
        <f aca="false">CHOOSE(scenario_idx,B54,C54,D54,E54)</f>
        <v>0.32</v>
      </c>
    </row>
    <row r="55" customFormat="false" ht="14.25" hidden="false" customHeight="false" outlineLevel="0" collapsed="false">
      <c r="A55" s="5" t="s">
        <v>152</v>
      </c>
      <c r="B55" s="5"/>
      <c r="C55" s="5"/>
      <c r="D55" s="5"/>
      <c r="E55" s="5"/>
      <c r="F55" s="5"/>
      <c r="G55" s="5"/>
    </row>
    <row r="56" customFormat="false" ht="35.05" hidden="false" customHeight="false" outlineLevel="0" collapsed="false">
      <c r="A56" s="7" t="s">
        <v>153</v>
      </c>
      <c r="B56" s="14" t="n">
        <v>20</v>
      </c>
      <c r="C56" s="14" t="n">
        <v>10</v>
      </c>
      <c r="D56" s="14" t="n">
        <v>35</v>
      </c>
      <c r="E56" s="38" t="n">
        <v>60</v>
      </c>
      <c r="F56" s="39" t="s">
        <v>154</v>
      </c>
      <c r="G56" s="15" t="n">
        <f aca="false">CHOOSE(scenario_idx,B56,C56,D56,E56)</f>
        <v>20</v>
      </c>
    </row>
    <row r="57" customFormat="false" ht="14.25" hidden="false" customHeight="false" outlineLevel="0" collapsed="false">
      <c r="A57" s="7" t="s">
        <v>155</v>
      </c>
      <c r="B57" s="14" t="n">
        <v>12</v>
      </c>
      <c r="C57" s="14" t="n">
        <v>7</v>
      </c>
      <c r="D57" s="14" t="n">
        <v>18</v>
      </c>
      <c r="E57" s="38" t="n">
        <v>60</v>
      </c>
      <c r="F57" s="39" t="s">
        <v>156</v>
      </c>
      <c r="G57" s="15" t="n">
        <f aca="false">CHOOSE(scenario_idx,B57,C57,D57,E57)</f>
        <v>12</v>
      </c>
    </row>
    <row r="58" customFormat="false" ht="14.25" hidden="false" customHeight="false" outlineLevel="0" collapsed="false">
      <c r="A58" s="7" t="s">
        <v>157</v>
      </c>
      <c r="B58" s="42" t="n">
        <v>0.01</v>
      </c>
      <c r="C58" s="42" t="n">
        <v>0.02</v>
      </c>
      <c r="D58" s="42" t="n">
        <v>0.005</v>
      </c>
      <c r="E58" s="38" t="n">
        <v>0.01</v>
      </c>
      <c r="F58" s="39"/>
      <c r="G58" s="43" t="n">
        <f aca="false">CHOOSE(scenario_idx,B58,C58,D58,E58)</f>
        <v>0.01</v>
      </c>
    </row>
    <row r="59" customFormat="false" ht="14.25" hidden="false" customHeight="false" outlineLevel="0" collapsed="false">
      <c r="A59" s="7" t="s">
        <v>158</v>
      </c>
      <c r="B59" s="17" t="n">
        <v>30</v>
      </c>
      <c r="C59" s="17" t="n">
        <v>30</v>
      </c>
      <c r="D59" s="17" t="n">
        <v>25</v>
      </c>
      <c r="E59" s="38" t="n">
        <v>28</v>
      </c>
      <c r="F59" s="39" t="s">
        <v>159</v>
      </c>
      <c r="G59" s="18" t="n">
        <f aca="false">CHOOSE(scenario_idx,B59,C59,D59,E59)</f>
        <v>30</v>
      </c>
    </row>
    <row r="60" customFormat="false" ht="14.25" hidden="false" customHeight="false" outlineLevel="0" collapsed="false">
      <c r="A60" s="5" t="s">
        <v>160</v>
      </c>
      <c r="B60" s="5"/>
      <c r="C60" s="5"/>
      <c r="D60" s="5"/>
      <c r="E60" s="5"/>
      <c r="F60" s="5"/>
      <c r="G60" s="5"/>
    </row>
    <row r="61" customFormat="false" ht="14.25" hidden="false" customHeight="false" outlineLevel="0" collapsed="false">
      <c r="A61" s="7" t="s">
        <v>161</v>
      </c>
      <c r="B61" s="20" t="n">
        <v>0.015</v>
      </c>
      <c r="C61" s="20" t="n">
        <v>0.018</v>
      </c>
      <c r="D61" s="20" t="n">
        <v>0.014</v>
      </c>
      <c r="E61" s="38" t="n">
        <v>0.015</v>
      </c>
      <c r="F61" s="39" t="s">
        <v>162</v>
      </c>
      <c r="G61" s="21" t="n">
        <f aca="false">CHOOSE(scenario_idx,B61,C61,D61,E61)</f>
        <v>0.015</v>
      </c>
    </row>
    <row r="62" customFormat="false" ht="14.25" hidden="false" customHeight="false" outlineLevel="0" collapsed="false">
      <c r="A62" s="7" t="s">
        <v>163</v>
      </c>
      <c r="B62" s="17" t="n">
        <v>0.2</v>
      </c>
      <c r="C62" s="17" t="n">
        <v>0.2</v>
      </c>
      <c r="D62" s="17" t="n">
        <v>0.2</v>
      </c>
      <c r="E62" s="38" t="n">
        <v>0.2</v>
      </c>
      <c r="F62" s="39"/>
      <c r="G62" s="18" t="n">
        <f aca="false">CHOOSE(scenario_idx,B62,C62,D62,E62)</f>
        <v>0.2</v>
      </c>
    </row>
    <row r="63" customFormat="false" ht="14.25" hidden="false" customHeight="false" outlineLevel="0" collapsed="false">
      <c r="A63" s="7" t="s">
        <v>164</v>
      </c>
      <c r="B63" s="17" t="n">
        <v>0.4</v>
      </c>
      <c r="C63" s="17" t="n">
        <v>0.5</v>
      </c>
      <c r="D63" s="17" t="n">
        <v>0.3</v>
      </c>
      <c r="E63" s="38" t="n">
        <v>0.4</v>
      </c>
      <c r="F63" s="39" t="s">
        <v>165</v>
      </c>
      <c r="G63" s="18" t="n">
        <f aca="false">CHOOSE(scenario_idx,B63,C63,D63,E63)</f>
        <v>0.4</v>
      </c>
    </row>
    <row r="64" customFormat="false" ht="14.25" hidden="false" customHeight="false" outlineLevel="0" collapsed="false">
      <c r="A64" s="7" t="s">
        <v>166</v>
      </c>
      <c r="B64" s="17" t="n">
        <v>0.8</v>
      </c>
      <c r="C64" s="17" t="n">
        <v>1</v>
      </c>
      <c r="D64" s="17" t="n">
        <v>0.6</v>
      </c>
      <c r="E64" s="38" t="n">
        <v>0.8</v>
      </c>
      <c r="F64" s="39" t="s">
        <v>167</v>
      </c>
      <c r="G64" s="18" t="n">
        <f aca="false">CHOOSE(scenario_idx,B64,C64,D64,E64)</f>
        <v>0.8</v>
      </c>
    </row>
    <row r="65" customFormat="false" ht="14.25" hidden="false" customHeight="false" outlineLevel="0" collapsed="false">
      <c r="A65" s="7" t="s">
        <v>168</v>
      </c>
      <c r="B65" s="14" t="n">
        <v>1500</v>
      </c>
      <c r="C65" s="14" t="n">
        <v>1200</v>
      </c>
      <c r="D65" s="14" t="n">
        <v>1800</v>
      </c>
      <c r="E65" s="38" t="n">
        <v>1500</v>
      </c>
      <c r="F65" s="39"/>
      <c r="G65" s="15" t="n">
        <f aca="false">CHOOSE(scenario_idx,B65,C65,D65,E65)</f>
        <v>1500</v>
      </c>
    </row>
    <row r="66" customFormat="false" ht="14.25" hidden="false" customHeight="false" outlineLevel="0" collapsed="false">
      <c r="A66" s="7" t="s">
        <v>169</v>
      </c>
      <c r="B66" s="17" t="n">
        <v>500</v>
      </c>
      <c r="C66" s="17" t="n">
        <v>500</v>
      </c>
      <c r="D66" s="17" t="n">
        <v>500</v>
      </c>
      <c r="E66" s="38" t="n">
        <v>800</v>
      </c>
      <c r="F66" s="39"/>
      <c r="G66" s="18" t="n">
        <f aca="false">CHOOSE(scenario_idx,B66,C66,D66,E66)</f>
        <v>500</v>
      </c>
    </row>
    <row r="67" customFormat="false" ht="14.25" hidden="false" customHeight="false" outlineLevel="0" collapsed="false">
      <c r="A67" s="7" t="s">
        <v>170</v>
      </c>
      <c r="B67" s="42" t="n">
        <v>0.05</v>
      </c>
      <c r="C67" s="42" t="n">
        <v>0.06</v>
      </c>
      <c r="D67" s="42" t="n">
        <v>0.04</v>
      </c>
      <c r="E67" s="38" t="n">
        <v>0.05</v>
      </c>
      <c r="F67" s="39" t="s">
        <v>171</v>
      </c>
      <c r="G67" s="43" t="n">
        <f aca="false">CHOOSE(scenario_idx,B67,C67,D67,E67)</f>
        <v>0.05</v>
      </c>
    </row>
    <row r="68" customFormat="false" ht="14.25" hidden="false" customHeight="false" outlineLevel="0" collapsed="false">
      <c r="A68" s="7" t="s">
        <v>172</v>
      </c>
      <c r="B68" s="17" t="n">
        <v>0.8</v>
      </c>
      <c r="C68" s="17" t="n">
        <v>1</v>
      </c>
      <c r="D68" s="17" t="n">
        <v>0.6</v>
      </c>
      <c r="E68" s="38" t="n">
        <v>0.8</v>
      </c>
      <c r="F68" s="39" t="s">
        <v>173</v>
      </c>
      <c r="G68" s="18" t="n">
        <f aca="false">CHOOSE(scenario_idx,B68,C68,D68,E68)</f>
        <v>0.8</v>
      </c>
    </row>
    <row r="69" customFormat="false" ht="14.25" hidden="false" customHeight="false" outlineLevel="0" collapsed="false">
      <c r="A69" s="5" t="s">
        <v>174</v>
      </c>
      <c r="B69" s="5"/>
      <c r="C69" s="5"/>
      <c r="D69" s="5"/>
      <c r="E69" s="5"/>
      <c r="F69" s="5"/>
      <c r="G69" s="5"/>
    </row>
    <row r="70" customFormat="false" ht="14.25" hidden="false" customHeight="false" outlineLevel="0" collapsed="false">
      <c r="A70" s="7" t="s">
        <v>175</v>
      </c>
      <c r="B70" s="42" t="n">
        <v>0.138</v>
      </c>
      <c r="C70" s="42" t="n">
        <v>0.138</v>
      </c>
      <c r="D70" s="42" t="n">
        <v>0.138</v>
      </c>
      <c r="F70" s="39" t="s">
        <v>176</v>
      </c>
      <c r="G70" s="43" t="n">
        <f aca="false">CHOOSE(scenario_idx,B70,C70,D70,E70)</f>
        <v>0.138</v>
      </c>
    </row>
    <row r="71" customFormat="false" ht="14.25" hidden="false" customHeight="false" outlineLevel="0" collapsed="false">
      <c r="A71" s="7" t="s">
        <v>177</v>
      </c>
      <c r="B71" s="42" t="n">
        <v>0.03</v>
      </c>
      <c r="C71" s="42" t="n">
        <v>0.03</v>
      </c>
      <c r="D71" s="42" t="n">
        <v>0.03</v>
      </c>
      <c r="F71" s="39" t="s">
        <v>178</v>
      </c>
      <c r="G71" s="43" t="n">
        <f aca="false">CHOOSE(scenario_idx,B71,C71,D71,E71)</f>
        <v>0.03</v>
      </c>
    </row>
    <row r="72" customFormat="false" ht="14.25" hidden="false" customHeight="false" outlineLevel="0" collapsed="false">
      <c r="A72" s="7" t="s">
        <v>179</v>
      </c>
      <c r="B72" s="42" t="n">
        <v>0.005</v>
      </c>
      <c r="C72" s="42" t="n">
        <v>0.005</v>
      </c>
      <c r="D72" s="42" t="n">
        <v>0.005</v>
      </c>
      <c r="F72" s="39" t="s">
        <v>180</v>
      </c>
      <c r="G72" s="43" t="n">
        <f aca="false">CHOOSE(scenario_idx,B72,C72,D72,E72)</f>
        <v>0.005</v>
      </c>
    </row>
    <row r="73" customFormat="false" ht="14.25" hidden="false" customHeight="false" outlineLevel="0" collapsed="false">
      <c r="A73" s="7" t="s">
        <v>181</v>
      </c>
      <c r="B73" s="14" t="n">
        <v>24</v>
      </c>
      <c r="C73" s="14" t="n">
        <v>24</v>
      </c>
      <c r="D73" s="14" t="n">
        <v>24</v>
      </c>
      <c r="F73" s="39"/>
      <c r="G73" s="15" t="n">
        <f aca="false">CHOOSE(scenario_idx,B73,C73,D73,E73)</f>
        <v>24</v>
      </c>
    </row>
    <row r="74" customFormat="false" ht="14.25" hidden="false" customHeight="false" outlineLevel="0" collapsed="false">
      <c r="A74" s="7" t="s">
        <v>182</v>
      </c>
      <c r="B74" s="17" t="n">
        <v>3600</v>
      </c>
      <c r="C74" s="17" t="n">
        <v>3000</v>
      </c>
      <c r="D74" s="17" t="n">
        <v>4500</v>
      </c>
      <c r="F74" s="39" t="s">
        <v>183</v>
      </c>
      <c r="G74" s="18" t="n">
        <f aca="false">CHOOSE(scenario_idx,B74,C74,D74,E74)</f>
        <v>3600</v>
      </c>
    </row>
    <row r="75" customFormat="false" ht="14.25" hidden="false" customHeight="false" outlineLevel="0" collapsed="false">
      <c r="A75" s="7" t="s">
        <v>184</v>
      </c>
      <c r="B75" s="42" t="n">
        <v>0.15</v>
      </c>
      <c r="C75" s="42" t="n">
        <v>0.18</v>
      </c>
      <c r="D75" s="42" t="n">
        <v>0.12</v>
      </c>
      <c r="F75" s="39" t="s">
        <v>185</v>
      </c>
      <c r="G75" s="43" t="n">
        <f aca="false">CHOOSE(scenario_idx,B75,C75,D75,E75)</f>
        <v>0.15</v>
      </c>
    </row>
    <row r="76" customFormat="false" ht="23.85" hidden="false" customHeight="false" outlineLevel="0" collapsed="false">
      <c r="A76" s="7" t="s">
        <v>186</v>
      </c>
      <c r="B76" s="42" t="n">
        <v>0.04</v>
      </c>
      <c r="C76" s="42" t="n">
        <v>0.05</v>
      </c>
      <c r="D76" s="42" t="n">
        <v>0.03</v>
      </c>
      <c r="F76" s="39" t="s">
        <v>187</v>
      </c>
      <c r="G76" s="43" t="n">
        <f aca="false">CHOOSE(scenario_idx,B76,C76,D76,E76)</f>
        <v>0.04</v>
      </c>
    </row>
    <row r="77" customFormat="false" ht="14.25" hidden="false" customHeight="false" outlineLevel="0" collapsed="false">
      <c r="A77" s="5" t="s">
        <v>188</v>
      </c>
      <c r="B77" s="5"/>
      <c r="C77" s="5"/>
      <c r="D77" s="5"/>
      <c r="E77" s="5"/>
      <c r="F77" s="5"/>
      <c r="G77" s="5"/>
    </row>
    <row r="78" customFormat="false" ht="14.25" hidden="false" customHeight="false" outlineLevel="0" collapsed="false">
      <c r="A78" s="7" t="s">
        <v>189</v>
      </c>
      <c r="B78" s="17" t="n">
        <v>2000</v>
      </c>
      <c r="C78" s="17" t="n">
        <v>2200</v>
      </c>
      <c r="D78" s="17" t="n">
        <v>1800</v>
      </c>
      <c r="F78" s="39"/>
      <c r="G78" s="18" t="n">
        <f aca="false">CHOOSE(scenario_idx,B78,C78,D78,E78)</f>
        <v>2000</v>
      </c>
    </row>
    <row r="79" customFormat="false" ht="14.25" hidden="false" customHeight="false" outlineLevel="0" collapsed="false">
      <c r="A79" s="7" t="s">
        <v>190</v>
      </c>
      <c r="B79" s="17" t="n">
        <v>4000</v>
      </c>
      <c r="C79" s="17" t="n">
        <v>4400</v>
      </c>
      <c r="D79" s="17" t="n">
        <v>3600</v>
      </c>
      <c r="F79" s="39"/>
      <c r="G79" s="18" t="n">
        <f aca="false">CHOOSE(scenario_idx,B79,C79,D79,E79)</f>
        <v>4000</v>
      </c>
    </row>
    <row r="80" customFormat="false" ht="14.25" hidden="false" customHeight="false" outlineLevel="0" collapsed="false">
      <c r="A80" s="7" t="s">
        <v>191</v>
      </c>
      <c r="B80" s="17" t="n">
        <v>6000</v>
      </c>
      <c r="C80" s="17" t="n">
        <v>6600</v>
      </c>
      <c r="D80" s="17" t="n">
        <v>5400</v>
      </c>
      <c r="F80" s="39"/>
      <c r="G80" s="18" t="n">
        <f aca="false">CHOOSE(scenario_idx,B80,C80,D80,E80)</f>
        <v>6000</v>
      </c>
    </row>
    <row r="81" customFormat="false" ht="14.25" hidden="false" customHeight="false" outlineLevel="0" collapsed="false">
      <c r="A81" s="7" t="s">
        <v>192</v>
      </c>
      <c r="B81" s="17" t="n">
        <v>10000</v>
      </c>
      <c r="C81" s="17" t="n">
        <v>11000</v>
      </c>
      <c r="D81" s="17" t="n">
        <v>9000</v>
      </c>
      <c r="F81" s="39"/>
      <c r="G81" s="18" t="n">
        <f aca="false">CHOOSE(scenario_idx,B81,C81,D81,E81)</f>
        <v>10000</v>
      </c>
    </row>
    <row r="82" customFormat="false" ht="14.25" hidden="false" customHeight="false" outlineLevel="0" collapsed="false">
      <c r="A82" s="7" t="s">
        <v>193</v>
      </c>
      <c r="B82" s="17" t="n">
        <v>18000</v>
      </c>
      <c r="C82" s="17" t="n">
        <v>19800</v>
      </c>
      <c r="D82" s="17" t="n">
        <v>16200</v>
      </c>
      <c r="F82" s="39"/>
      <c r="G82" s="18" t="n">
        <f aca="false">CHOOSE(scenario_idx,B82,C82,D82,E82)</f>
        <v>18000</v>
      </c>
    </row>
    <row r="83" customFormat="false" ht="14.25" hidden="false" customHeight="false" outlineLevel="0" collapsed="false">
      <c r="A83" s="7" t="s">
        <v>194</v>
      </c>
      <c r="B83" s="17" t="n">
        <v>1500</v>
      </c>
      <c r="C83" s="17" t="n">
        <v>1650</v>
      </c>
      <c r="D83" s="17" t="n">
        <v>1350</v>
      </c>
      <c r="F83" s="39"/>
      <c r="G83" s="18" t="n">
        <f aca="false">CHOOSE(scenario_idx,B83,C83,D83,E83)</f>
        <v>1500</v>
      </c>
    </row>
    <row r="84" customFormat="false" ht="14.25" hidden="false" customHeight="false" outlineLevel="0" collapsed="false">
      <c r="A84" s="7" t="s">
        <v>195</v>
      </c>
      <c r="B84" s="17" t="n">
        <v>1500</v>
      </c>
      <c r="C84" s="17" t="n">
        <v>1650</v>
      </c>
      <c r="D84" s="17" t="n">
        <v>1350</v>
      </c>
      <c r="F84" s="39"/>
      <c r="G84" s="18" t="n">
        <f aca="false">CHOOSE(scenario_idx,B84,C84,D84,E84)</f>
        <v>1500</v>
      </c>
    </row>
    <row r="85" customFormat="false" ht="14.25" hidden="false" customHeight="false" outlineLevel="0" collapsed="false">
      <c r="A85" s="7" t="s">
        <v>196</v>
      </c>
      <c r="B85" s="17" t="n">
        <v>2000</v>
      </c>
      <c r="C85" s="17" t="n">
        <v>2200</v>
      </c>
      <c r="D85" s="17" t="n">
        <v>1800</v>
      </c>
      <c r="F85" s="39"/>
      <c r="G85" s="18" t="n">
        <f aca="false">CHOOSE(scenario_idx,B85,C85,D85,E85)</f>
        <v>2000</v>
      </c>
    </row>
    <row r="86" customFormat="false" ht="14.25" hidden="false" customHeight="false" outlineLevel="0" collapsed="false">
      <c r="A86" s="7" t="s">
        <v>197</v>
      </c>
      <c r="B86" s="17" t="n">
        <v>3000</v>
      </c>
      <c r="C86" s="17" t="n">
        <v>3300</v>
      </c>
      <c r="D86" s="17" t="n">
        <v>2700</v>
      </c>
      <c r="F86" s="39"/>
      <c r="G86" s="18" t="n">
        <f aca="false">CHOOSE(scenario_idx,B86,C86,D86,E86)</f>
        <v>3000</v>
      </c>
    </row>
    <row r="87" customFormat="false" ht="14.25" hidden="false" customHeight="false" outlineLevel="0" collapsed="false">
      <c r="A87" s="7" t="s">
        <v>198</v>
      </c>
      <c r="B87" s="17" t="n">
        <v>4500</v>
      </c>
      <c r="C87" s="17" t="n">
        <v>4950</v>
      </c>
      <c r="D87" s="17" t="n">
        <v>4050</v>
      </c>
      <c r="F87" s="39"/>
      <c r="G87" s="18" t="n">
        <f aca="false">CHOOSE(scenario_idx,B87,C87,D87,E87)</f>
        <v>4500</v>
      </c>
    </row>
    <row r="88" customFormat="false" ht="14.25" hidden="false" customHeight="false" outlineLevel="0" collapsed="false">
      <c r="A88" s="7" t="s">
        <v>199</v>
      </c>
      <c r="B88" s="17" t="n">
        <v>1000</v>
      </c>
      <c r="C88" s="17" t="n">
        <v>1100</v>
      </c>
      <c r="D88" s="17" t="n">
        <v>900</v>
      </c>
      <c r="F88" s="39"/>
      <c r="G88" s="18" t="n">
        <f aca="false">CHOOSE(scenario_idx,B88,C88,D88,E88)</f>
        <v>1000</v>
      </c>
    </row>
    <row r="89" customFormat="false" ht="14.25" hidden="false" customHeight="false" outlineLevel="0" collapsed="false">
      <c r="A89" s="7" t="s">
        <v>200</v>
      </c>
      <c r="B89" s="17" t="n">
        <v>1500</v>
      </c>
      <c r="C89" s="17" t="n">
        <v>1650</v>
      </c>
      <c r="D89" s="17" t="n">
        <v>1350</v>
      </c>
      <c r="F89" s="39"/>
      <c r="G89" s="18" t="n">
        <f aca="false">CHOOSE(scenario_idx,B89,C89,D89,E89)</f>
        <v>1500</v>
      </c>
    </row>
    <row r="90" customFormat="false" ht="14.25" hidden="false" customHeight="false" outlineLevel="0" collapsed="false">
      <c r="A90" s="7" t="s">
        <v>201</v>
      </c>
      <c r="B90" s="17" t="n">
        <v>2000</v>
      </c>
      <c r="C90" s="17" t="n">
        <v>2200</v>
      </c>
      <c r="D90" s="17" t="n">
        <v>1800</v>
      </c>
      <c r="F90" s="39"/>
      <c r="G90" s="18" t="n">
        <f aca="false">CHOOSE(scenario_idx,B90,C90,D90,E90)</f>
        <v>2000</v>
      </c>
    </row>
    <row r="91" customFormat="false" ht="14.25" hidden="false" customHeight="false" outlineLevel="0" collapsed="false">
      <c r="A91" s="7" t="s">
        <v>202</v>
      </c>
      <c r="B91" s="17" t="n">
        <v>3000</v>
      </c>
      <c r="C91" s="17" t="n">
        <v>3300</v>
      </c>
      <c r="D91" s="17" t="n">
        <v>2700</v>
      </c>
      <c r="F91" s="39"/>
      <c r="G91" s="18" t="n">
        <f aca="false">CHOOSE(scenario_idx,B91,C91,D91,E91)</f>
        <v>3000</v>
      </c>
    </row>
    <row r="92" customFormat="false" ht="14.25" hidden="false" customHeight="false" outlineLevel="0" collapsed="false">
      <c r="A92" s="7" t="s">
        <v>203</v>
      </c>
      <c r="B92" s="17" t="n">
        <v>4000</v>
      </c>
      <c r="C92" s="17" t="n">
        <v>4400</v>
      </c>
      <c r="D92" s="17" t="n">
        <v>3600</v>
      </c>
      <c r="F92" s="39"/>
      <c r="G92" s="18" t="n">
        <f aca="false">CHOOSE(scenario_idx,B92,C92,D92,E92)</f>
        <v>4000</v>
      </c>
    </row>
    <row r="93" customFormat="false" ht="14.25" hidden="false" customHeight="false" outlineLevel="0" collapsed="false">
      <c r="A93" s="7" t="s">
        <v>204</v>
      </c>
      <c r="B93" s="17" t="n">
        <v>500</v>
      </c>
      <c r="C93" s="17" t="n">
        <v>550</v>
      </c>
      <c r="D93" s="17" t="n">
        <v>450</v>
      </c>
      <c r="F93" s="39"/>
      <c r="G93" s="18" t="n">
        <f aca="false">CHOOSE(scenario_idx,B93,C93,D93,E93)</f>
        <v>500</v>
      </c>
    </row>
    <row r="94" customFormat="false" ht="14.25" hidden="false" customHeight="false" outlineLevel="0" collapsed="false">
      <c r="A94" s="7" t="s">
        <v>205</v>
      </c>
      <c r="B94" s="17" t="n">
        <v>800</v>
      </c>
      <c r="C94" s="17" t="n">
        <v>880</v>
      </c>
      <c r="D94" s="17" t="n">
        <v>720</v>
      </c>
      <c r="F94" s="39"/>
      <c r="G94" s="18" t="n">
        <f aca="false">CHOOSE(scenario_idx,B94,C94,D94,E94)</f>
        <v>800</v>
      </c>
    </row>
    <row r="95" customFormat="false" ht="14.25" hidden="false" customHeight="false" outlineLevel="0" collapsed="false">
      <c r="A95" s="7" t="s">
        <v>206</v>
      </c>
      <c r="B95" s="17" t="n">
        <v>1200</v>
      </c>
      <c r="C95" s="17" t="n">
        <v>1320</v>
      </c>
      <c r="D95" s="17" t="n">
        <v>1080</v>
      </c>
      <c r="F95" s="39"/>
      <c r="G95" s="18" t="n">
        <f aca="false">CHOOSE(scenario_idx,B95,C95,D95,E95)</f>
        <v>1200</v>
      </c>
    </row>
    <row r="96" customFormat="false" ht="14.25" hidden="false" customHeight="false" outlineLevel="0" collapsed="false">
      <c r="A96" s="7" t="s">
        <v>207</v>
      </c>
      <c r="B96" s="17" t="n">
        <v>1800</v>
      </c>
      <c r="C96" s="17" t="n">
        <v>1980</v>
      </c>
      <c r="D96" s="17" t="n">
        <v>1620</v>
      </c>
      <c r="F96" s="39"/>
      <c r="G96" s="18" t="n">
        <f aca="false">CHOOSE(scenario_idx,B96,C96,D96,E96)</f>
        <v>1800</v>
      </c>
    </row>
    <row r="97" customFormat="false" ht="14.25" hidden="false" customHeight="false" outlineLevel="0" collapsed="false">
      <c r="A97" s="7" t="s">
        <v>208</v>
      </c>
      <c r="B97" s="17" t="n">
        <v>2500</v>
      </c>
      <c r="C97" s="17" t="n">
        <v>2750</v>
      </c>
      <c r="D97" s="17" t="n">
        <v>2250</v>
      </c>
      <c r="F97" s="39"/>
      <c r="G97" s="18" t="n">
        <f aca="false">CHOOSE(scenario_idx,B97,C97,D97,E97)</f>
        <v>2500</v>
      </c>
    </row>
    <row r="98" customFormat="false" ht="14.25" hidden="false" customHeight="false" outlineLevel="0" collapsed="false">
      <c r="A98" s="7" t="s">
        <v>209</v>
      </c>
      <c r="B98" s="17" t="n">
        <v>800</v>
      </c>
      <c r="C98" s="17" t="n">
        <v>880</v>
      </c>
      <c r="D98" s="17" t="n">
        <v>720</v>
      </c>
      <c r="F98" s="39"/>
      <c r="G98" s="18" t="n">
        <f aca="false">CHOOSE(scenario_idx,B98,C98,D98,E98)</f>
        <v>800</v>
      </c>
    </row>
    <row r="99" customFormat="false" ht="14.25" hidden="false" customHeight="false" outlineLevel="0" collapsed="false">
      <c r="A99" s="7" t="s">
        <v>210</v>
      </c>
      <c r="B99" s="17" t="n">
        <v>1500</v>
      </c>
      <c r="C99" s="17" t="n">
        <v>1650</v>
      </c>
      <c r="D99" s="17" t="n">
        <v>1350</v>
      </c>
      <c r="F99" s="39"/>
      <c r="G99" s="18" t="n">
        <f aca="false">CHOOSE(scenario_idx,B99,C99,D99,E99)</f>
        <v>1500</v>
      </c>
    </row>
    <row r="100" customFormat="false" ht="14.25" hidden="false" customHeight="false" outlineLevel="0" collapsed="false">
      <c r="A100" s="7" t="s">
        <v>211</v>
      </c>
      <c r="B100" s="17" t="n">
        <v>2200</v>
      </c>
      <c r="C100" s="17" t="n">
        <v>2420</v>
      </c>
      <c r="D100" s="17" t="n">
        <v>1980</v>
      </c>
      <c r="F100" s="39"/>
      <c r="G100" s="18" t="n">
        <f aca="false">CHOOSE(scenario_idx,B100,C100,D100,E100)</f>
        <v>2200</v>
      </c>
    </row>
    <row r="101" customFormat="false" ht="14.25" hidden="false" customHeight="false" outlineLevel="0" collapsed="false">
      <c r="A101" s="7" t="s">
        <v>212</v>
      </c>
      <c r="B101" s="17" t="n">
        <v>3500</v>
      </c>
      <c r="C101" s="17" t="n">
        <v>3850</v>
      </c>
      <c r="D101" s="17" t="n">
        <v>3150</v>
      </c>
      <c r="F101" s="39"/>
      <c r="G101" s="18" t="n">
        <f aca="false">CHOOSE(scenario_idx,B101,C101,D101,E101)</f>
        <v>3500</v>
      </c>
    </row>
    <row r="102" customFormat="false" ht="14.25" hidden="false" customHeight="false" outlineLevel="0" collapsed="false">
      <c r="A102" s="7" t="s">
        <v>213</v>
      </c>
      <c r="B102" s="17" t="n">
        <v>5500</v>
      </c>
      <c r="C102" s="17" t="n">
        <v>6050</v>
      </c>
      <c r="D102" s="17" t="n">
        <v>4950</v>
      </c>
      <c r="F102" s="39"/>
      <c r="G102" s="18" t="n">
        <f aca="false">CHOOSE(scenario_idx,B102,C102,D102,E102)</f>
        <v>5500</v>
      </c>
    </row>
    <row r="103" customFormat="false" ht="14.25" hidden="false" customHeight="false" outlineLevel="0" collapsed="false">
      <c r="A103" s="7" t="s">
        <v>214</v>
      </c>
      <c r="B103" s="17" t="n">
        <v>2000</v>
      </c>
      <c r="C103" s="17" t="n">
        <v>2200</v>
      </c>
      <c r="D103" s="17" t="n">
        <v>1800</v>
      </c>
      <c r="F103" s="39"/>
      <c r="G103" s="18" t="n">
        <f aca="false">CHOOSE(scenario_idx,B103,C103,D103,E103)</f>
        <v>2000</v>
      </c>
    </row>
    <row r="104" customFormat="false" ht="14.25" hidden="false" customHeight="false" outlineLevel="0" collapsed="false">
      <c r="A104" s="7" t="s">
        <v>215</v>
      </c>
      <c r="B104" s="17" t="n">
        <v>8000</v>
      </c>
      <c r="C104" s="17" t="n">
        <v>8800</v>
      </c>
      <c r="D104" s="17" t="n">
        <v>7200</v>
      </c>
      <c r="F104" s="39"/>
      <c r="G104" s="18" t="n">
        <f aca="false">CHOOSE(scenario_idx,B104,C104,D104,E104)</f>
        <v>8000</v>
      </c>
    </row>
    <row r="105" customFormat="false" ht="14.25" hidden="false" customHeight="false" outlineLevel="0" collapsed="false">
      <c r="A105" s="7" t="s">
        <v>216</v>
      </c>
      <c r="B105" s="17" t="n">
        <v>15000</v>
      </c>
      <c r="C105" s="17" t="n">
        <v>16500</v>
      </c>
      <c r="D105" s="17" t="n">
        <v>13500</v>
      </c>
      <c r="F105" s="39"/>
      <c r="G105" s="18" t="n">
        <f aca="false">CHOOSE(scenario_idx,B105,C105,D105,E105)</f>
        <v>15000</v>
      </c>
    </row>
    <row r="106" customFormat="false" ht="14.25" hidden="false" customHeight="false" outlineLevel="0" collapsed="false">
      <c r="A106" s="7" t="s">
        <v>217</v>
      </c>
      <c r="B106" s="17" t="n">
        <v>35000</v>
      </c>
      <c r="C106" s="17" t="n">
        <v>38500</v>
      </c>
      <c r="D106" s="17" t="n">
        <v>31500</v>
      </c>
      <c r="F106" s="39"/>
      <c r="G106" s="18" t="n">
        <f aca="false">CHOOSE(scenario_idx,B106,C106,D106,E106)</f>
        <v>35000</v>
      </c>
    </row>
    <row r="107" customFormat="false" ht="14.25" hidden="false" customHeight="false" outlineLevel="0" collapsed="false">
      <c r="A107" s="7" t="s">
        <v>218</v>
      </c>
      <c r="B107" s="17" t="n">
        <v>70000</v>
      </c>
      <c r="C107" s="17" t="n">
        <v>77000</v>
      </c>
      <c r="D107" s="17" t="n">
        <v>63000</v>
      </c>
      <c r="F107" s="39"/>
      <c r="G107" s="18" t="n">
        <f aca="false">CHOOSE(scenario_idx,B107,C107,D107,E107)</f>
        <v>70000</v>
      </c>
    </row>
    <row r="108" customFormat="false" ht="14.25" hidden="false" customHeight="false" outlineLevel="0" collapsed="false">
      <c r="A108" s="7" t="s">
        <v>219</v>
      </c>
      <c r="B108" s="17" t="n">
        <v>2000</v>
      </c>
      <c r="C108" s="17" t="n">
        <v>2200</v>
      </c>
      <c r="D108" s="17" t="n">
        <v>1800</v>
      </c>
      <c r="F108" s="39"/>
      <c r="G108" s="18" t="n">
        <f aca="false">CHOOSE(scenario_idx,B108,C108,D108,E108)</f>
        <v>2000</v>
      </c>
    </row>
    <row r="109" customFormat="false" ht="14.25" hidden="false" customHeight="false" outlineLevel="0" collapsed="false">
      <c r="A109" s="7" t="s">
        <v>220</v>
      </c>
      <c r="B109" s="17" t="n">
        <v>4000</v>
      </c>
      <c r="C109" s="17" t="n">
        <v>4400</v>
      </c>
      <c r="D109" s="17" t="n">
        <v>3600</v>
      </c>
      <c r="F109" s="39"/>
      <c r="G109" s="18" t="n">
        <f aca="false">CHOOSE(scenario_idx,B109,C109,D109,E109)</f>
        <v>4000</v>
      </c>
    </row>
    <row r="110" customFormat="false" ht="14.25" hidden="false" customHeight="false" outlineLevel="0" collapsed="false">
      <c r="A110" s="7" t="s">
        <v>221</v>
      </c>
      <c r="B110" s="17" t="n">
        <v>6000</v>
      </c>
      <c r="C110" s="17" t="n">
        <v>6600</v>
      </c>
      <c r="D110" s="17" t="n">
        <v>5400</v>
      </c>
      <c r="F110" s="39"/>
      <c r="G110" s="18" t="n">
        <f aca="false">CHOOSE(scenario_idx,B110,C110,D110,E110)</f>
        <v>6000</v>
      </c>
    </row>
    <row r="111" customFormat="false" ht="14.25" hidden="false" customHeight="false" outlineLevel="0" collapsed="false">
      <c r="A111" s="7" t="s">
        <v>222</v>
      </c>
      <c r="B111" s="17" t="n">
        <v>10000</v>
      </c>
      <c r="C111" s="17" t="n">
        <v>11000</v>
      </c>
      <c r="D111" s="17" t="n">
        <v>9000</v>
      </c>
      <c r="F111" s="39"/>
      <c r="G111" s="18" t="n">
        <f aca="false">CHOOSE(scenario_idx,B111,C111,D111,E111)</f>
        <v>10000</v>
      </c>
    </row>
    <row r="112" customFormat="false" ht="14.25" hidden="false" customHeight="false" outlineLevel="0" collapsed="false">
      <c r="A112" s="7" t="s">
        <v>223</v>
      </c>
      <c r="B112" s="17" t="n">
        <v>18000</v>
      </c>
      <c r="C112" s="17" t="n">
        <v>19800</v>
      </c>
      <c r="D112" s="17" t="n">
        <v>16200</v>
      </c>
      <c r="F112" s="39"/>
      <c r="G112" s="18" t="n">
        <f aca="false">CHOOSE(scenario_idx,B112,C112,D112,E112)</f>
        <v>18000</v>
      </c>
    </row>
    <row r="113" customFormat="false" ht="23.85" hidden="false" customHeight="false" outlineLevel="0" collapsed="false">
      <c r="A113" s="7" t="s">
        <v>224</v>
      </c>
      <c r="B113" s="42" t="n">
        <v>0.1</v>
      </c>
      <c r="C113" s="42" t="n">
        <v>0.12</v>
      </c>
      <c r="D113" s="42" t="n">
        <v>0.08</v>
      </c>
      <c r="F113" s="39" t="s">
        <v>225</v>
      </c>
      <c r="G113" s="43" t="n">
        <f aca="false">CHOOSE(scenario_idx,B113,C113,D113,E113)</f>
        <v>0.1</v>
      </c>
    </row>
    <row r="114" customFormat="false" ht="14.25" hidden="false" customHeight="false" outlineLevel="0" collapsed="false">
      <c r="A114" s="5" t="s">
        <v>226</v>
      </c>
      <c r="B114" s="5"/>
      <c r="C114" s="5"/>
      <c r="D114" s="5"/>
      <c r="E114" s="5"/>
      <c r="F114" s="5"/>
      <c r="G114" s="5"/>
    </row>
    <row r="115" customFormat="false" ht="23.85" hidden="false" customHeight="false" outlineLevel="0" collapsed="false">
      <c r="A115" s="7" t="s">
        <v>227</v>
      </c>
      <c r="B115" s="17" t="n">
        <v>8000</v>
      </c>
      <c r="C115" s="17" t="n">
        <v>6000</v>
      </c>
      <c r="D115" s="17" t="n">
        <v>12000</v>
      </c>
      <c r="F115" s="39" t="s">
        <v>228</v>
      </c>
      <c r="G115" s="18" t="n">
        <f aca="false">CHOOSE(scenario_idx,B115,C115,D115,E115)</f>
        <v>8000</v>
      </c>
    </row>
    <row r="116" customFormat="false" ht="14.25" hidden="false" customHeight="false" outlineLevel="0" collapsed="false">
      <c r="A116" s="7" t="s">
        <v>229</v>
      </c>
      <c r="B116" s="17" t="n">
        <v>20000</v>
      </c>
      <c r="C116" s="17" t="n">
        <v>15000</v>
      </c>
      <c r="D116" s="17" t="n">
        <v>30000</v>
      </c>
      <c r="F116" s="39"/>
      <c r="G116" s="18" t="n">
        <f aca="false">CHOOSE(scenario_idx,B116,C116,D116,E116)</f>
        <v>20000</v>
      </c>
    </row>
    <row r="117" customFormat="false" ht="14.25" hidden="false" customHeight="false" outlineLevel="0" collapsed="false">
      <c r="A117" s="7" t="s">
        <v>230</v>
      </c>
      <c r="B117" s="17" t="n">
        <v>35000</v>
      </c>
      <c r="C117" s="17" t="n">
        <v>25000</v>
      </c>
      <c r="D117" s="17" t="n">
        <v>55000</v>
      </c>
      <c r="F117" s="39"/>
      <c r="G117" s="18" t="n">
        <f aca="false">CHOOSE(scenario_idx,B117,C117,D117,E117)</f>
        <v>35000</v>
      </c>
    </row>
    <row r="118" customFormat="false" ht="14.25" hidden="false" customHeight="false" outlineLevel="0" collapsed="false">
      <c r="A118" s="7" t="s">
        <v>231</v>
      </c>
      <c r="B118" s="17" t="n">
        <v>60000</v>
      </c>
      <c r="C118" s="17" t="n">
        <v>45000</v>
      </c>
      <c r="D118" s="17" t="n">
        <v>90000</v>
      </c>
      <c r="F118" s="39"/>
      <c r="G118" s="18" t="n">
        <f aca="false">CHOOSE(scenario_idx,B118,C118,D118,E118)</f>
        <v>60000</v>
      </c>
    </row>
    <row r="119" customFormat="false" ht="14.25" hidden="false" customHeight="false" outlineLevel="0" collapsed="false">
      <c r="A119" s="7" t="s">
        <v>232</v>
      </c>
      <c r="B119" s="17" t="n">
        <v>90000</v>
      </c>
      <c r="C119" s="17" t="n">
        <v>65000</v>
      </c>
      <c r="D119" s="17" t="n">
        <v>140000</v>
      </c>
      <c r="F119" s="39"/>
      <c r="G119" s="18" t="n">
        <f aca="false">CHOOSE(scenario_idx,B119,C119,D119,E119)</f>
        <v>90000</v>
      </c>
    </row>
    <row r="120" customFormat="false" ht="14.25" hidden="false" customHeight="false" outlineLevel="0" collapsed="false">
      <c r="A120" s="7" t="s">
        <v>233</v>
      </c>
      <c r="B120" s="17" t="n">
        <v>5000</v>
      </c>
      <c r="C120" s="17" t="n">
        <v>4000</v>
      </c>
      <c r="D120" s="17" t="n">
        <v>7000</v>
      </c>
      <c r="F120" s="39" t="s">
        <v>234</v>
      </c>
      <c r="G120" s="18" t="n">
        <f aca="false">CHOOSE(scenario_idx,B120,C120,D120,E120)</f>
        <v>5000</v>
      </c>
    </row>
    <row r="121" customFormat="false" ht="14.25" hidden="false" customHeight="false" outlineLevel="0" collapsed="false">
      <c r="A121" s="5" t="s">
        <v>235</v>
      </c>
      <c r="B121" s="5"/>
      <c r="C121" s="5"/>
      <c r="D121" s="5"/>
      <c r="E121" s="5"/>
      <c r="F121" s="5"/>
      <c r="G121" s="5"/>
    </row>
    <row r="122" customFormat="false" ht="14.25" hidden="false" customHeight="false" outlineLevel="0" collapsed="false">
      <c r="A122" s="7" t="s">
        <v>236</v>
      </c>
      <c r="B122" s="17" t="n">
        <v>50000</v>
      </c>
      <c r="C122" s="17" t="n">
        <v>25000</v>
      </c>
      <c r="D122" s="17" t="n">
        <v>100000</v>
      </c>
      <c r="F122" s="39" t="s">
        <v>237</v>
      </c>
      <c r="G122" s="18" t="n">
        <f aca="false">CHOOSE(scenario_idx,B122,C122,D122,E122)</f>
        <v>50000</v>
      </c>
    </row>
    <row r="123" customFormat="false" ht="14.25" hidden="false" customHeight="false" outlineLevel="0" collapsed="false">
      <c r="A123" s="7" t="s">
        <v>238</v>
      </c>
      <c r="B123" s="17" t="n">
        <v>2500000</v>
      </c>
      <c r="C123" s="17" t="n">
        <v>1500000</v>
      </c>
      <c r="D123" s="17" t="n">
        <v>3000000</v>
      </c>
      <c r="F123" s="39"/>
      <c r="G123" s="18" t="n">
        <f aca="false">CHOOSE(scenario_idx,B123,C123,D123,E123)</f>
        <v>2500000</v>
      </c>
    </row>
    <row r="124" customFormat="false" ht="14.25" hidden="false" customHeight="false" outlineLevel="0" collapsed="false">
      <c r="A124" s="7" t="s">
        <v>239</v>
      </c>
      <c r="B124" s="14" t="n">
        <v>1</v>
      </c>
      <c r="C124" s="14" t="n">
        <v>1</v>
      </c>
      <c r="D124" s="14" t="n">
        <v>1</v>
      </c>
      <c r="F124" s="39"/>
      <c r="G124" s="15" t="n">
        <f aca="false">CHOOSE(scenario_idx,B124,C124,D124,E124)</f>
        <v>1</v>
      </c>
    </row>
    <row r="125" customFormat="false" ht="14.25" hidden="false" customHeight="false" outlineLevel="0" collapsed="false">
      <c r="A125" s="7" t="s">
        <v>240</v>
      </c>
      <c r="B125" s="17" t="n">
        <v>8000000</v>
      </c>
      <c r="C125" s="17" t="n">
        <v>5000000</v>
      </c>
      <c r="D125" s="17" t="n">
        <v>12000000</v>
      </c>
      <c r="F125" s="39"/>
      <c r="G125" s="18" t="n">
        <f aca="false">CHOOSE(scenario_idx,B125,C125,D125,E125)</f>
        <v>8000000</v>
      </c>
    </row>
    <row r="126" customFormat="false" ht="14.25" hidden="false" customHeight="false" outlineLevel="0" collapsed="false">
      <c r="A126" s="7" t="s">
        <v>241</v>
      </c>
      <c r="B126" s="14" t="n">
        <v>22</v>
      </c>
      <c r="C126" s="14" t="n">
        <v>26</v>
      </c>
      <c r="D126" s="14" t="n">
        <v>18</v>
      </c>
      <c r="F126" s="39"/>
      <c r="G126" s="15" t="n">
        <f aca="false">CHOOSE(scenario_idx,B126,C126,D126,E126)</f>
        <v>22</v>
      </c>
    </row>
    <row r="127" customFormat="false" ht="14.25" hidden="false" customHeight="false" outlineLevel="0" collapsed="false">
      <c r="A127" s="7" t="s">
        <v>242</v>
      </c>
      <c r="B127" s="17" t="n">
        <v>20000000</v>
      </c>
      <c r="C127" s="17" t="n">
        <v>12000000</v>
      </c>
      <c r="D127" s="17" t="n">
        <v>35000000</v>
      </c>
      <c r="F127" s="39"/>
      <c r="G127" s="18" t="n">
        <f aca="false">CHOOSE(scenario_idx,B127,C127,D127,E127)</f>
        <v>20000000</v>
      </c>
    </row>
    <row r="128" customFormat="false" ht="14.25" hidden="false" customHeight="false" outlineLevel="0" collapsed="false">
      <c r="A128" s="7" t="s">
        <v>243</v>
      </c>
      <c r="B128" s="14" t="n">
        <v>44</v>
      </c>
      <c r="C128" s="14" t="n">
        <v>50</v>
      </c>
      <c r="D128" s="14" t="n">
        <v>38</v>
      </c>
      <c r="F128" s="39"/>
      <c r="G128" s="15" t="n">
        <f aca="false">CHOOSE(scenario_idx,B128,C128,D128,E128)</f>
        <v>44</v>
      </c>
    </row>
  </sheetData>
  <mergeCells count="12">
    <mergeCell ref="A1:G1"/>
    <mergeCell ref="A2:G2"/>
    <mergeCell ref="A4:G4"/>
    <mergeCell ref="A15:G15"/>
    <mergeCell ref="A23:G23"/>
    <mergeCell ref="A29:G29"/>
    <mergeCell ref="A55:G55"/>
    <mergeCell ref="A60:G60"/>
    <mergeCell ref="A69:G69"/>
    <mergeCell ref="A77:G77"/>
    <mergeCell ref="A114:G114"/>
    <mergeCell ref="A121:G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I14" activeCellId="0" sqref="I1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6"/>
  </cols>
  <sheetData>
    <row r="1" customFormat="false" ht="21.75" hidden="false" customHeight="true" outlineLevel="0" collapsed="false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4.25" hidden="false" customHeight="false" outlineLevel="0" collapsed="false">
      <c r="A3" s="35" t="s">
        <v>245</v>
      </c>
      <c r="B3" s="35"/>
      <c r="C3" s="35"/>
      <c r="D3" s="35"/>
      <c r="E3" s="35"/>
      <c r="F3" s="35"/>
      <c r="G3" s="35"/>
      <c r="H3" s="35"/>
      <c r="I3" s="35"/>
      <c r="J3" s="35"/>
    </row>
    <row r="5" customFormat="false" ht="14.25" hidden="false" customHeight="false" outlineLevel="0" collapsed="false">
      <c r="A5" s="5" t="s">
        <v>246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4.25" hidden="false" customHeight="false" outlineLevel="0" collapsed="false">
      <c r="A6" s="6" t="s">
        <v>247</v>
      </c>
      <c r="B6" s="6" t="s">
        <v>248</v>
      </c>
      <c r="C6" s="6" t="s">
        <v>249</v>
      </c>
      <c r="D6" s="6" t="s">
        <v>250</v>
      </c>
      <c r="E6" s="6" t="s">
        <v>251</v>
      </c>
      <c r="F6" s="6" t="s">
        <v>252</v>
      </c>
      <c r="G6" s="6" t="s">
        <v>253</v>
      </c>
      <c r="H6" s="6" t="s">
        <v>254</v>
      </c>
    </row>
    <row r="7" customFormat="false" ht="14.25" hidden="false" customHeight="false" outlineLevel="0" collapsed="false">
      <c r="A7" s="7" t="s">
        <v>255</v>
      </c>
      <c r="B7" s="42" t="n">
        <v>0.4</v>
      </c>
      <c r="C7" s="17" t="n">
        <v>8</v>
      </c>
      <c r="D7" s="42" t="n">
        <v>0.06</v>
      </c>
      <c r="E7" s="19" t="n">
        <f aca="false">IF(D7&gt;0,C7/D7,0)</f>
        <v>133.333333333333</v>
      </c>
      <c r="F7" s="15" t="n">
        <f aca="false">IFERROR(assumptions!$G$116*B7/E7,0)</f>
        <v>60</v>
      </c>
      <c r="G7" s="19" t="n">
        <f aca="false">E7*1.1</f>
        <v>146.666666666667</v>
      </c>
      <c r="H7" s="15" t="n">
        <f aca="false">IFERROR(assumptions!$G$118*B7/G7,0)</f>
        <v>163.636363636364</v>
      </c>
    </row>
    <row r="8" customFormat="false" ht="14.25" hidden="false" customHeight="false" outlineLevel="0" collapsed="false">
      <c r="A8" s="7" t="s">
        <v>256</v>
      </c>
      <c r="B8" s="42" t="n">
        <v>0.2</v>
      </c>
      <c r="C8" s="17" t="n">
        <v>3</v>
      </c>
      <c r="D8" s="42" t="n">
        <v>0.18</v>
      </c>
      <c r="E8" s="19" t="n">
        <f aca="false">IF(D8&gt;0,C8/D8,0)</f>
        <v>16.6666666666667</v>
      </c>
      <c r="F8" s="15" t="n">
        <f aca="false">IFERROR(assumptions!$G$116*B8/E8,0)</f>
        <v>240</v>
      </c>
      <c r="G8" s="19" t="n">
        <f aca="false">E8*1.1</f>
        <v>18.3333333333333</v>
      </c>
      <c r="H8" s="15" t="n">
        <f aca="false">IFERROR(assumptions!$G$118*B8/G8,0)</f>
        <v>654.545454545455</v>
      </c>
    </row>
    <row r="9" customFormat="false" ht="14.25" hidden="false" customHeight="false" outlineLevel="0" collapsed="false">
      <c r="A9" s="7" t="s">
        <v>257</v>
      </c>
      <c r="B9" s="42" t="n">
        <v>0.15</v>
      </c>
      <c r="C9" s="17" t="n">
        <v>0</v>
      </c>
      <c r="D9" s="42" t="n">
        <v>0</v>
      </c>
      <c r="E9" s="17" t="n">
        <v>200</v>
      </c>
      <c r="F9" s="15" t="n">
        <f aca="false">IFERROR(assumptions!$G$116*B9/E9,0)</f>
        <v>15</v>
      </c>
      <c r="G9" s="19" t="n">
        <f aca="false">E9*1.1</f>
        <v>220</v>
      </c>
      <c r="H9" s="15" t="n">
        <f aca="false">IFERROR(assumptions!$G$118*B9/G9,0)</f>
        <v>40.9090909090909</v>
      </c>
    </row>
    <row r="10" customFormat="false" ht="14.25" hidden="false" customHeight="false" outlineLevel="0" collapsed="false">
      <c r="A10" s="7" t="s">
        <v>258</v>
      </c>
      <c r="B10" s="42" t="n">
        <v>0.1</v>
      </c>
      <c r="C10" s="17" t="n">
        <v>4</v>
      </c>
      <c r="D10" s="42" t="n">
        <v>0.05</v>
      </c>
      <c r="E10" s="19" t="n">
        <f aca="false">IF(D10&gt;0,C10/D10,0)</f>
        <v>80</v>
      </c>
      <c r="F10" s="15" t="n">
        <f aca="false">IFERROR(assumptions!$G$116*B10/E10,0)</f>
        <v>25</v>
      </c>
      <c r="G10" s="19" t="n">
        <f aca="false">E10*1.1</f>
        <v>88</v>
      </c>
      <c r="H10" s="15" t="n">
        <f aca="false">IFERROR(assumptions!$G$118*B10/G10,0)</f>
        <v>68.1818181818182</v>
      </c>
    </row>
    <row r="11" customFormat="false" ht="14.25" hidden="false" customHeight="false" outlineLevel="0" collapsed="false">
      <c r="A11" s="7" t="s">
        <v>259</v>
      </c>
      <c r="B11" s="42" t="n">
        <v>0.1</v>
      </c>
      <c r="C11" s="17" t="n">
        <v>25</v>
      </c>
      <c r="D11" s="42" t="n">
        <v>0.1</v>
      </c>
      <c r="E11" s="19" t="n">
        <f aca="false">IF(D11&gt;0,C11/D11,0)</f>
        <v>250</v>
      </c>
      <c r="F11" s="15" t="n">
        <f aca="false">IFERROR(assumptions!$G$116*B11/E11,0)</f>
        <v>8</v>
      </c>
      <c r="G11" s="19" t="n">
        <f aca="false">E11*1.1</f>
        <v>275</v>
      </c>
      <c r="H11" s="15" t="n">
        <f aca="false">IFERROR(assumptions!$G$118*B11/G11,0)</f>
        <v>21.8181818181818</v>
      </c>
    </row>
    <row r="12" customFormat="false" ht="14.25" hidden="false" customHeight="false" outlineLevel="0" collapsed="false">
      <c r="A12" s="7" t="s">
        <v>260</v>
      </c>
      <c r="B12" s="42" t="n">
        <v>0.05</v>
      </c>
      <c r="C12" s="17" t="n">
        <v>12</v>
      </c>
      <c r="D12" s="42" t="n">
        <v>0.08</v>
      </c>
      <c r="E12" s="19" t="n">
        <f aca="false">IF(D12&gt;0,C12/D12,0)</f>
        <v>150</v>
      </c>
      <c r="F12" s="15" t="n">
        <f aca="false">IFERROR(assumptions!$G$116*B12/E12,0)</f>
        <v>6.66666666666667</v>
      </c>
      <c r="G12" s="19" t="n">
        <f aca="false">E12*1.1</f>
        <v>165</v>
      </c>
      <c r="H12" s="15" t="n">
        <f aca="false">IFERROR(assumptions!$G$118*B12/G12,0)</f>
        <v>18.1818181818182</v>
      </c>
    </row>
    <row r="13" customFormat="false" ht="14.25" hidden="false" customHeight="false" outlineLevel="0" collapsed="false">
      <c r="A13" s="44" t="s">
        <v>261</v>
      </c>
      <c r="B13" s="45" t="n">
        <f aca="false">SUM(B7:B12)</f>
        <v>1</v>
      </c>
      <c r="C13" s="46"/>
      <c r="D13" s="46"/>
      <c r="E13" s="47" t="n">
        <f aca="false">SUMPRODUCT(B7:B12,E7:E12)</f>
        <v>127.166666666667</v>
      </c>
      <c r="F13" s="48" t="n">
        <f aca="false">SUM(F7:F12)</f>
        <v>354.666666666667</v>
      </c>
      <c r="G13" s="47" t="n">
        <f aca="false">SUMPRODUCT(B7:B12,G7:G12)</f>
        <v>139.883333333333</v>
      </c>
      <c r="H13" s="48" t="n">
        <f aca="false">SUM(H7:H12)</f>
        <v>967.272727272727</v>
      </c>
    </row>
    <row r="16" customFormat="false" ht="14.25" hidden="false" customHeight="false" outlineLevel="0" collapsed="false">
      <c r="A16" s="5" t="s">
        <v>262</v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4.25" hidden="false" customHeight="false" outlineLevel="0" collapsed="false">
      <c r="A17" s="6" t="s">
        <v>247</v>
      </c>
      <c r="B17" s="6" t="s">
        <v>248</v>
      </c>
      <c r="C17" s="6" t="s">
        <v>249</v>
      </c>
      <c r="D17" s="6" t="s">
        <v>250</v>
      </c>
      <c r="E17" s="6" t="s">
        <v>251</v>
      </c>
      <c r="F17" s="6" t="s">
        <v>263</v>
      </c>
      <c r="G17" s="6" t="s">
        <v>253</v>
      </c>
      <c r="H17" s="6" t="s">
        <v>264</v>
      </c>
    </row>
    <row r="18" customFormat="false" ht="14.25" hidden="false" customHeight="false" outlineLevel="0" collapsed="false">
      <c r="A18" s="7" t="s">
        <v>265</v>
      </c>
      <c r="B18" s="42" t="n">
        <v>0.55</v>
      </c>
      <c r="C18" s="17" t="n">
        <v>0</v>
      </c>
      <c r="D18" s="42" t="n">
        <v>0</v>
      </c>
      <c r="E18" s="17" t="n">
        <v>400</v>
      </c>
      <c r="F18" s="15" t="n">
        <f aca="false">IFERROR(assumptions!$G$120*B18/E18,0)</f>
        <v>6.875</v>
      </c>
      <c r="G18" s="19" t="n">
        <f aca="false">E18*1.1</f>
        <v>440</v>
      </c>
      <c r="H18" s="15" t="n">
        <f aca="false">IFERROR(assumptions!$G$120*B18/G18,0)</f>
        <v>6.25</v>
      </c>
    </row>
    <row r="19" customFormat="false" ht="14.25" hidden="false" customHeight="false" outlineLevel="0" collapsed="false">
      <c r="A19" s="7" t="s">
        <v>266</v>
      </c>
      <c r="B19" s="42" t="n">
        <v>0.2</v>
      </c>
      <c r="C19" s="17" t="n">
        <v>20</v>
      </c>
      <c r="D19" s="42" t="n">
        <v>0.25</v>
      </c>
      <c r="E19" s="19" t="n">
        <f aca="false">IF(D19&gt;0,C19/D19,0)</f>
        <v>80</v>
      </c>
      <c r="F19" s="15" t="n">
        <f aca="false">IFERROR(assumptions!$G$120*B19/E19,0)</f>
        <v>12.5</v>
      </c>
      <c r="G19" s="19" t="n">
        <f aca="false">E19*1.1</f>
        <v>88</v>
      </c>
      <c r="H19" s="15" t="n">
        <f aca="false">IFERROR(assumptions!$G$120*B19/G19,0)</f>
        <v>11.3636363636364</v>
      </c>
    </row>
    <row r="20" customFormat="false" ht="14.25" hidden="false" customHeight="false" outlineLevel="0" collapsed="false">
      <c r="A20" s="7" t="s">
        <v>267</v>
      </c>
      <c r="B20" s="42" t="n">
        <v>0.15</v>
      </c>
      <c r="C20" s="17" t="n">
        <v>10</v>
      </c>
      <c r="D20" s="42" t="n">
        <v>0.4</v>
      </c>
      <c r="E20" s="19" t="n">
        <f aca="false">IF(D20&gt;0,C20/D20,0)</f>
        <v>25</v>
      </c>
      <c r="F20" s="15" t="n">
        <f aca="false">IFERROR(assumptions!$G$120*B20/E20,0)</f>
        <v>30</v>
      </c>
      <c r="G20" s="19" t="n">
        <f aca="false">E20*1.1</f>
        <v>27.5</v>
      </c>
      <c r="H20" s="15" t="n">
        <f aca="false">IFERROR(assumptions!$G$120*B20/G20,0)</f>
        <v>27.2727272727273</v>
      </c>
    </row>
    <row r="21" customFormat="false" ht="14.25" hidden="false" customHeight="false" outlineLevel="0" collapsed="false">
      <c r="A21" s="7" t="s">
        <v>268</v>
      </c>
      <c r="B21" s="42" t="n">
        <v>0.1</v>
      </c>
      <c r="C21" s="17" t="n">
        <v>50</v>
      </c>
      <c r="D21" s="42" t="n">
        <v>0.15</v>
      </c>
      <c r="E21" s="19" t="n">
        <f aca="false">IF(D21&gt;0,C21/D21,0)</f>
        <v>333.333333333333</v>
      </c>
      <c r="F21" s="15" t="n">
        <f aca="false">IFERROR(assumptions!$G$120*B21/E21,0)</f>
        <v>1.5</v>
      </c>
      <c r="G21" s="19" t="n">
        <f aca="false">E21*1.1</f>
        <v>366.666666666667</v>
      </c>
      <c r="H21" s="15" t="n">
        <f aca="false">IFERROR(assumptions!$G$120*B21/G21,0)</f>
        <v>1.36363636363636</v>
      </c>
    </row>
    <row r="22" customFormat="false" ht="14.25" hidden="false" customHeight="false" outlineLevel="0" collapsed="false">
      <c r="A22" s="44" t="s">
        <v>261</v>
      </c>
      <c r="B22" s="46"/>
      <c r="C22" s="46"/>
      <c r="D22" s="46"/>
      <c r="E22" s="47" t="n">
        <f aca="false">SUMPRODUCT(B18:B21,E18:E21)</f>
        <v>273.083333333333</v>
      </c>
      <c r="F22" s="48" t="n">
        <f aca="false">SUM(F18:F21)</f>
        <v>50.875</v>
      </c>
      <c r="G22" s="46"/>
      <c r="H22" s="46"/>
    </row>
  </sheetData>
  <mergeCells count="4">
    <mergeCell ref="A1:J1"/>
    <mergeCell ref="A3:J3"/>
    <mergeCell ref="A5:J5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AF35" activePane="bottomRight" state="frozen"/>
      <selection pane="topLeft" activeCell="A1" activeCellId="0" sqref="A1"/>
      <selection pane="topRight" activeCell="AF1" activeCellId="0" sqref="AF1"/>
      <selection pane="bottomLeft" activeCell="A35" activeCellId="0" sqref="A35"/>
      <selection pane="bottomRight" activeCell="AN32" activeCellId="0" sqref="AN3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6.8"/>
    <col collapsed="false" customWidth="true" hidden="false" outlineLevel="0" max="4" min="4" style="0" width="12"/>
    <col collapsed="false" customWidth="true" hidden="false" outlineLevel="0" max="66" min="5" style="0" width="10"/>
  </cols>
  <sheetData>
    <row r="1" customFormat="false" ht="21.75" hidden="false" customHeight="true" outlineLevel="0" collapsed="false">
      <c r="A1" s="1" t="s">
        <v>269</v>
      </c>
      <c r="B1" s="1"/>
      <c r="C1" s="1"/>
      <c r="D1" s="1"/>
      <c r="E1" s="1"/>
      <c r="F1" s="1"/>
    </row>
    <row r="3" customFormat="false" ht="14.25" hidden="false" customHeight="false" outlineLevel="0" collapsed="false">
      <c r="A3" s="36" t="s">
        <v>270</v>
      </c>
      <c r="B3" s="36" t="s">
        <v>271</v>
      </c>
      <c r="C3" s="36" t="s">
        <v>272</v>
      </c>
      <c r="D3" s="36" t="s">
        <v>273</v>
      </c>
      <c r="E3" s="36" t="s">
        <v>274</v>
      </c>
      <c r="F3" s="36" t="s">
        <v>275</v>
      </c>
      <c r="G3" s="36" t="s">
        <v>276</v>
      </c>
      <c r="H3" s="36" t="s">
        <v>277</v>
      </c>
      <c r="I3" s="36" t="s">
        <v>278</v>
      </c>
      <c r="J3" s="36" t="s">
        <v>279</v>
      </c>
      <c r="K3" s="36" t="s">
        <v>280</v>
      </c>
      <c r="L3" s="36" t="s">
        <v>281</v>
      </c>
      <c r="M3" s="36" t="s">
        <v>282</v>
      </c>
      <c r="N3" s="36" t="s">
        <v>283</v>
      </c>
      <c r="O3" s="36" t="s">
        <v>284</v>
      </c>
      <c r="P3" s="36" t="s">
        <v>285</v>
      </c>
      <c r="Q3" s="36" t="s">
        <v>286</v>
      </c>
      <c r="R3" s="36" t="s">
        <v>287</v>
      </c>
      <c r="S3" s="36" t="s">
        <v>288</v>
      </c>
      <c r="T3" s="36" t="s">
        <v>289</v>
      </c>
      <c r="U3" s="36" t="s">
        <v>290</v>
      </c>
      <c r="V3" s="36" t="s">
        <v>291</v>
      </c>
      <c r="W3" s="36" t="s">
        <v>292</v>
      </c>
      <c r="X3" s="36" t="s">
        <v>293</v>
      </c>
      <c r="Y3" s="36" t="s">
        <v>294</v>
      </c>
      <c r="Z3" s="36" t="s">
        <v>295</v>
      </c>
      <c r="AA3" s="36" t="s">
        <v>296</v>
      </c>
      <c r="AB3" s="36" t="s">
        <v>297</v>
      </c>
      <c r="AC3" s="36" t="s">
        <v>298</v>
      </c>
      <c r="AD3" s="36" t="s">
        <v>299</v>
      </c>
      <c r="AE3" s="36" t="s">
        <v>300</v>
      </c>
      <c r="AF3" s="36" t="s">
        <v>301</v>
      </c>
      <c r="AG3" s="36" t="s">
        <v>302</v>
      </c>
      <c r="AH3" s="36" t="s">
        <v>303</v>
      </c>
      <c r="AI3" s="36" t="s">
        <v>304</v>
      </c>
      <c r="AJ3" s="36" t="s">
        <v>305</v>
      </c>
      <c r="AK3" s="36" t="s">
        <v>306</v>
      </c>
      <c r="AL3" s="36" t="s">
        <v>307</v>
      </c>
      <c r="AM3" s="36" t="s">
        <v>308</v>
      </c>
      <c r="AN3" s="36" t="s">
        <v>309</v>
      </c>
      <c r="AO3" s="36" t="s">
        <v>310</v>
      </c>
      <c r="AP3" s="36" t="s">
        <v>311</v>
      </c>
      <c r="AQ3" s="36" t="s">
        <v>312</v>
      </c>
      <c r="AR3" s="36" t="s">
        <v>313</v>
      </c>
      <c r="AS3" s="36" t="s">
        <v>314</v>
      </c>
      <c r="AT3" s="36" t="s">
        <v>315</v>
      </c>
      <c r="AU3" s="36" t="s">
        <v>316</v>
      </c>
      <c r="AV3" s="36" t="s">
        <v>317</v>
      </c>
      <c r="AW3" s="36" t="s">
        <v>318</v>
      </c>
      <c r="AX3" s="36" t="s">
        <v>319</v>
      </c>
      <c r="AY3" s="36" t="s">
        <v>320</v>
      </c>
      <c r="AZ3" s="36" t="s">
        <v>321</v>
      </c>
      <c r="BA3" s="36" t="s">
        <v>322</v>
      </c>
      <c r="BB3" s="36" t="s">
        <v>323</v>
      </c>
      <c r="BC3" s="36" t="s">
        <v>324</v>
      </c>
      <c r="BD3" s="36" t="s">
        <v>325</v>
      </c>
      <c r="BE3" s="36" t="s">
        <v>326</v>
      </c>
      <c r="BF3" s="36" t="s">
        <v>327</v>
      </c>
      <c r="BG3" s="36" t="s">
        <v>328</v>
      </c>
      <c r="BH3" s="36" t="s">
        <v>329</v>
      </c>
      <c r="BI3" s="36" t="s">
        <v>330</v>
      </c>
      <c r="BJ3" s="36" t="s">
        <v>331</v>
      </c>
      <c r="BK3" s="36" t="s">
        <v>332</v>
      </c>
      <c r="BL3" s="36" t="s">
        <v>333</v>
      </c>
      <c r="BM3" s="36" t="s">
        <v>334</v>
      </c>
      <c r="BN3" s="36" t="s">
        <v>335</v>
      </c>
    </row>
    <row r="4" customFormat="false" ht="14.25" hidden="false" customHeight="false" outlineLevel="0" collapsed="false">
      <c r="A4" s="7" t="n">
        <v>1</v>
      </c>
      <c r="B4" s="7" t="s">
        <v>336</v>
      </c>
      <c r="C4" s="7" t="s">
        <v>337</v>
      </c>
      <c r="D4" s="17" t="n">
        <v>85000</v>
      </c>
      <c r="E4" s="49" t="n">
        <v>1</v>
      </c>
      <c r="F4" s="49"/>
      <c r="G4" s="19" t="n">
        <f aca="false">IF(AND(1&gt;=E4,OR(F4="",1&lt;=F4)),(D4*(1+assumptions!$G$76)^0/12*(1+assumptions!$G$70+assumptions!$G$71+IF(1&gt;=assumptions!$G$73,assumptions!$G$72,0))+assumptions!$G$74/12)+IF(1=E4,D4*assumptions!$G$75,0),0)</f>
        <v>21323.3333333333</v>
      </c>
      <c r="H4" s="19" t="n">
        <f aca="false">IF(AND(2&gt;=E4,OR(F4="",2&lt;=F4)),(D4*(1+assumptions!$G$76)^0/12*(1+assumptions!$G$70+assumptions!$G$71+IF(2&gt;=assumptions!$G$73,assumptions!$G$72,0))+assumptions!$G$74/12)+IF(2=E4,D4*assumptions!$G$75,0),0)</f>
        <v>8573.33333333333</v>
      </c>
      <c r="I4" s="19" t="n">
        <f aca="false">IF(AND(3&gt;=E4,OR(F4="",3&lt;=F4)),(D4*(1+assumptions!$G$76)^0/12*(1+assumptions!$G$70+assumptions!$G$71+IF(3&gt;=assumptions!$G$73,assumptions!$G$72,0))+assumptions!$G$74/12)+IF(3=E4,D4*assumptions!$G$75,0),0)</f>
        <v>8573.33333333333</v>
      </c>
      <c r="J4" s="19" t="n">
        <f aca="false">IF(AND(4&gt;=E4,OR(F4="",4&lt;=F4)),(D4*(1+assumptions!$G$76)^0/12*(1+assumptions!$G$70+assumptions!$G$71+IF(4&gt;=assumptions!$G$73,assumptions!$G$72,0))+assumptions!$G$74/12)+IF(4=E4,D4*assumptions!$G$75,0),0)</f>
        <v>8573.33333333333</v>
      </c>
      <c r="K4" s="19" t="n">
        <f aca="false">IF(AND(5&gt;=E4,OR(F4="",5&lt;=F4)),(D4*(1+assumptions!$G$76)^0/12*(1+assumptions!$G$70+assumptions!$G$71+IF(5&gt;=assumptions!$G$73,assumptions!$G$72,0))+assumptions!$G$74/12)+IF(5=E4,D4*assumptions!$G$75,0),0)</f>
        <v>8573.33333333333</v>
      </c>
      <c r="L4" s="19" t="n">
        <f aca="false">IF(AND(6&gt;=E4,OR(F4="",6&lt;=F4)),(D4*(1+assumptions!$G$76)^0/12*(1+assumptions!$G$70+assumptions!$G$71+IF(6&gt;=assumptions!$G$73,assumptions!$G$72,0))+assumptions!$G$74/12)+IF(6=E4,D4*assumptions!$G$75,0),0)</f>
        <v>8573.33333333333</v>
      </c>
      <c r="M4" s="19" t="n">
        <f aca="false">IF(AND(7&gt;=E4,OR(F4="",7&lt;=F4)),(D4*(1+assumptions!$G$76)^0/12*(1+assumptions!$G$70+assumptions!$G$71+IF(7&gt;=assumptions!$G$73,assumptions!$G$72,0))+assumptions!$G$74/12)+IF(7=E4,D4*assumptions!$G$75,0),0)</f>
        <v>8573.33333333333</v>
      </c>
      <c r="N4" s="19" t="n">
        <f aca="false">IF(AND(8&gt;=E4,OR(F4="",8&lt;=F4)),(D4*(1+assumptions!$G$76)^0/12*(1+assumptions!$G$70+assumptions!$G$71+IF(8&gt;=assumptions!$G$73,assumptions!$G$72,0))+assumptions!$G$74/12)+IF(8=E4,D4*assumptions!$G$75,0),0)</f>
        <v>8573.33333333333</v>
      </c>
      <c r="O4" s="19" t="n">
        <f aca="false">IF(AND(9&gt;=E4,OR(F4="",9&lt;=F4)),(D4*(1+assumptions!$G$76)^0/12*(1+assumptions!$G$70+assumptions!$G$71+IF(9&gt;=assumptions!$G$73,assumptions!$G$72,0))+assumptions!$G$74/12)+IF(9=E4,D4*assumptions!$G$75,0),0)</f>
        <v>8573.33333333333</v>
      </c>
      <c r="P4" s="19" t="n">
        <f aca="false">IF(AND(10&gt;=E4,OR(F4="",10&lt;=F4)),(D4*(1+assumptions!$G$76)^0/12*(1+assumptions!$G$70+assumptions!$G$71+IF(10&gt;=assumptions!$G$73,assumptions!$G$72,0))+assumptions!$G$74/12)+IF(10=E4,D4*assumptions!$G$75,0),0)</f>
        <v>8573.33333333333</v>
      </c>
      <c r="Q4" s="19" t="n">
        <f aca="false">IF(AND(11&gt;=E4,OR(F4="",11&lt;=F4)),(D4*(1+assumptions!$G$76)^0/12*(1+assumptions!$G$70+assumptions!$G$71+IF(11&gt;=assumptions!$G$73,assumptions!$G$72,0))+assumptions!$G$74/12)+IF(11=E4,D4*assumptions!$G$75,0),0)</f>
        <v>8573.33333333333</v>
      </c>
      <c r="R4" s="19" t="n">
        <f aca="false">IF(AND(12&gt;=E4,OR(F4="",12&lt;=F4)),(D4*(1+assumptions!$G$76)^0/12*(1+assumptions!$G$70+assumptions!$G$71+IF(12&gt;=assumptions!$G$73,assumptions!$G$72,0))+assumptions!$G$74/12)+IF(12=E4,D4*assumptions!$G$75,0),0)</f>
        <v>8573.33333333333</v>
      </c>
      <c r="S4" s="19" t="n">
        <f aca="false">IF(AND(13&gt;=E4,OR(F4="",13&lt;=F4)),(D4*(1+assumptions!$G$76)^1/12*(1+assumptions!$G$70+assumptions!$G$71+IF(13&gt;=assumptions!$G$73,assumptions!$G$72,0))+assumptions!$G$74/12)+IF(13=E4,D4*assumptions!$G$75,0),0)</f>
        <v>8904.26666666667</v>
      </c>
      <c r="T4" s="19" t="n">
        <f aca="false">IF(AND(14&gt;=E4,OR(F4="",14&lt;=F4)),(D4*(1+assumptions!$G$76)^1/12*(1+assumptions!$G$70+assumptions!$G$71+IF(14&gt;=assumptions!$G$73,assumptions!$G$72,0))+assumptions!$G$74/12)+IF(14=E4,D4*assumptions!$G$75,0),0)</f>
        <v>8904.26666666667</v>
      </c>
      <c r="U4" s="19" t="n">
        <f aca="false">IF(AND(15&gt;=E4,OR(F4="",15&lt;=F4)),(D4*(1+assumptions!$G$76)^1/12*(1+assumptions!$G$70+assumptions!$G$71+IF(15&gt;=assumptions!$G$73,assumptions!$G$72,0))+assumptions!$G$74/12)+IF(15=E4,D4*assumptions!$G$75,0),0)</f>
        <v>8904.26666666667</v>
      </c>
      <c r="V4" s="19" t="n">
        <f aca="false">IF(AND(16&gt;=E4,OR(F4="",16&lt;=F4)),(D4*(1+assumptions!$G$76)^1/12*(1+assumptions!$G$70+assumptions!$G$71+IF(16&gt;=assumptions!$G$73,assumptions!$G$72,0))+assumptions!$G$74/12)+IF(16=E4,D4*assumptions!$G$75,0),0)</f>
        <v>8904.26666666667</v>
      </c>
      <c r="W4" s="19" t="n">
        <f aca="false">IF(AND(17&gt;=E4,OR(F4="",17&lt;=F4)),(D4*(1+assumptions!$G$76)^1/12*(1+assumptions!$G$70+assumptions!$G$71+IF(17&gt;=assumptions!$G$73,assumptions!$G$72,0))+assumptions!$G$74/12)+IF(17=E4,D4*assumptions!$G$75,0),0)</f>
        <v>8904.26666666667</v>
      </c>
      <c r="X4" s="19" t="n">
        <f aca="false">IF(AND(18&gt;=E4,OR(F4="",18&lt;=F4)),(D4*(1+assumptions!$G$76)^1/12*(1+assumptions!$G$70+assumptions!$G$71+IF(18&gt;=assumptions!$G$73,assumptions!$G$72,0))+assumptions!$G$74/12)+IF(18=E4,D4*assumptions!$G$75,0),0)</f>
        <v>8904.26666666667</v>
      </c>
      <c r="Y4" s="19" t="n">
        <f aca="false">IF(AND(19&gt;=E4,OR(F4="",19&lt;=F4)),(D4*(1+assumptions!$G$76)^1/12*(1+assumptions!$G$70+assumptions!$G$71+IF(19&gt;=assumptions!$G$73,assumptions!$G$72,0))+assumptions!$G$74/12)+IF(19=E4,D4*assumptions!$G$75,0),0)</f>
        <v>8904.26666666667</v>
      </c>
      <c r="Z4" s="19" t="n">
        <f aca="false">IF(AND(20&gt;=E4,OR(F4="",20&lt;=F4)),(D4*(1+assumptions!$G$76)^1/12*(1+assumptions!$G$70+assumptions!$G$71+IF(20&gt;=assumptions!$G$73,assumptions!$G$72,0))+assumptions!$G$74/12)+IF(20=E4,D4*assumptions!$G$75,0),0)</f>
        <v>8904.26666666667</v>
      </c>
      <c r="AA4" s="19" t="n">
        <f aca="false">IF(AND(21&gt;=E4,OR(F4="",21&lt;=F4)),(D4*(1+assumptions!$G$76)^1/12*(1+assumptions!$G$70+assumptions!$G$71+IF(21&gt;=assumptions!$G$73,assumptions!$G$72,0))+assumptions!$G$74/12)+IF(21=E4,D4*assumptions!$G$75,0),0)</f>
        <v>8904.26666666667</v>
      </c>
      <c r="AB4" s="19" t="n">
        <f aca="false">IF(AND(22&gt;=E4,OR(F4="",22&lt;=F4)),(D4*(1+assumptions!$G$76)^1/12*(1+assumptions!$G$70+assumptions!$G$71+IF(22&gt;=assumptions!$G$73,assumptions!$G$72,0))+assumptions!$G$74/12)+IF(22=E4,D4*assumptions!$G$75,0),0)</f>
        <v>8904.26666666667</v>
      </c>
      <c r="AC4" s="19" t="n">
        <f aca="false">IF(AND(23&gt;=E4,OR(F4="",23&lt;=F4)),(D4*(1+assumptions!$G$76)^1/12*(1+assumptions!$G$70+assumptions!$G$71+IF(23&gt;=assumptions!$G$73,assumptions!$G$72,0))+assumptions!$G$74/12)+IF(23=E4,D4*assumptions!$G$75,0),0)</f>
        <v>8904.26666666667</v>
      </c>
      <c r="AD4" s="19" t="n">
        <f aca="false">IF(AND(24&gt;=E4,OR(F4="",24&lt;=F4)),(D4*(1+assumptions!$G$76)^1/12*(1+assumptions!$G$70+assumptions!$G$71+IF(24&gt;=assumptions!$G$73,assumptions!$G$72,0))+assumptions!$G$74/12)+IF(24=E4,D4*assumptions!$G$75,0),0)</f>
        <v>8941.1</v>
      </c>
      <c r="AE4" s="19" t="n">
        <f aca="false">IF(AND(25&gt;=E4,OR(F4="",25&lt;=F4)),(D4*(1+assumptions!$G$76)^2/12*(1+assumptions!$G$70+assumptions!$G$71+IF(25&gt;=assumptions!$G$73,assumptions!$G$72,0))+assumptions!$G$74/12)+IF(25=E4,D4*assumptions!$G$75,0),0)</f>
        <v>9286.744</v>
      </c>
      <c r="AF4" s="19" t="n">
        <f aca="false">IF(AND(26&gt;=E4,OR(F4="",26&lt;=F4)),(D4*(1+assumptions!$G$76)^2/12*(1+assumptions!$G$70+assumptions!$G$71+IF(26&gt;=assumptions!$G$73,assumptions!$G$72,0))+assumptions!$G$74/12)+IF(26=E4,D4*assumptions!$G$75,0),0)</f>
        <v>9286.744</v>
      </c>
      <c r="AG4" s="19" t="n">
        <f aca="false">IF(AND(27&gt;=E4,OR(F4="",27&lt;=F4)),(D4*(1+assumptions!$G$76)^2/12*(1+assumptions!$G$70+assumptions!$G$71+IF(27&gt;=assumptions!$G$73,assumptions!$G$72,0))+assumptions!$G$74/12)+IF(27=E4,D4*assumptions!$G$75,0),0)</f>
        <v>9286.744</v>
      </c>
      <c r="AH4" s="19" t="n">
        <f aca="false">IF(AND(28&gt;=E4,OR(F4="",28&lt;=F4)),(D4*(1+assumptions!$G$76)^2/12*(1+assumptions!$G$70+assumptions!$G$71+IF(28&gt;=assumptions!$G$73,assumptions!$G$72,0))+assumptions!$G$74/12)+IF(28=E4,D4*assumptions!$G$75,0),0)</f>
        <v>9286.744</v>
      </c>
      <c r="AI4" s="19" t="n">
        <f aca="false">IF(AND(29&gt;=E4,OR(F4="",29&lt;=F4)),(D4*(1+assumptions!$G$76)^2/12*(1+assumptions!$G$70+assumptions!$G$71+IF(29&gt;=assumptions!$G$73,assumptions!$G$72,0))+assumptions!$G$74/12)+IF(29=E4,D4*assumptions!$G$75,0),0)</f>
        <v>9286.744</v>
      </c>
      <c r="AJ4" s="19" t="n">
        <f aca="false">IF(AND(30&gt;=E4,OR(F4="",30&lt;=F4)),(D4*(1+assumptions!$G$76)^2/12*(1+assumptions!$G$70+assumptions!$G$71+IF(30&gt;=assumptions!$G$73,assumptions!$G$72,0))+assumptions!$G$74/12)+IF(30=E4,D4*assumptions!$G$75,0),0)</f>
        <v>9286.744</v>
      </c>
      <c r="AK4" s="19" t="n">
        <f aca="false">IF(AND(31&gt;=E4,OR(F4="",31&lt;=F4)),(D4*(1+assumptions!$G$76)^2/12*(1+assumptions!$G$70+assumptions!$G$71+IF(31&gt;=assumptions!$G$73,assumptions!$G$72,0))+assumptions!$G$74/12)+IF(31=E4,D4*assumptions!$G$75,0),0)</f>
        <v>9286.744</v>
      </c>
      <c r="AL4" s="19" t="n">
        <f aca="false">IF(AND(32&gt;=E4,OR(F4="",32&lt;=F4)),(D4*(1+assumptions!$G$76)^2/12*(1+assumptions!$G$70+assumptions!$G$71+IF(32&gt;=assumptions!$G$73,assumptions!$G$72,0))+assumptions!$G$74/12)+IF(32=E4,D4*assumptions!$G$75,0),0)</f>
        <v>9286.744</v>
      </c>
      <c r="AM4" s="19" t="n">
        <f aca="false">IF(AND(33&gt;=E4,OR(F4="",33&lt;=F4)),(D4*(1+assumptions!$G$76)^2/12*(1+assumptions!$G$70+assumptions!$G$71+IF(33&gt;=assumptions!$G$73,assumptions!$G$72,0))+assumptions!$G$74/12)+IF(33=E4,D4*assumptions!$G$75,0),0)</f>
        <v>9286.744</v>
      </c>
      <c r="AN4" s="19" t="n">
        <f aca="false">IF(AND(34&gt;=E4,OR(F4="",34&lt;=F4)),(D4*(1+assumptions!$G$76)^2/12*(1+assumptions!$G$70+assumptions!$G$71+IF(34&gt;=assumptions!$G$73,assumptions!$G$72,0))+assumptions!$G$74/12)+IF(34=E4,D4*assumptions!$G$75,0),0)</f>
        <v>9286.744</v>
      </c>
      <c r="AO4" s="19" t="n">
        <f aca="false">IF(AND(35&gt;=E4,OR(F4="",35&lt;=F4)),(D4*(1+assumptions!$G$76)^2/12*(1+assumptions!$G$70+assumptions!$G$71+IF(35&gt;=assumptions!$G$73,assumptions!$G$72,0))+assumptions!$G$74/12)+IF(35=E4,D4*assumptions!$G$75,0),0)</f>
        <v>9286.744</v>
      </c>
      <c r="AP4" s="19" t="n">
        <f aca="false">IF(AND(36&gt;=E4,OR(F4="",36&lt;=F4)),(D4*(1+assumptions!$G$76)^2/12*(1+assumptions!$G$70+assumptions!$G$71+IF(36&gt;=assumptions!$G$73,assumptions!$G$72,0))+assumptions!$G$74/12)+IF(36=E4,D4*assumptions!$G$75,0),0)</f>
        <v>9286.744</v>
      </c>
      <c r="AQ4" s="19" t="n">
        <f aca="false">IF(AND(37&gt;=E4,OR(F4="",37&lt;=F4)),(D4*(1+assumptions!$G$76)^3/12*(1+assumptions!$G$70+assumptions!$G$71+IF(37&gt;=assumptions!$G$73,assumptions!$G$72,0))+assumptions!$G$74/12)+IF(37=E4,D4*assumptions!$G$75,0),0)</f>
        <v>9646.21376</v>
      </c>
      <c r="AR4" s="19" t="n">
        <f aca="false">IF(AND(38&gt;=E4,OR(F4="",38&lt;=F4)),(D4*(1+assumptions!$G$76)^3/12*(1+assumptions!$G$70+assumptions!$G$71+IF(38&gt;=assumptions!$G$73,assumptions!$G$72,0))+assumptions!$G$74/12)+IF(38=E4,D4*assumptions!$G$75,0),0)</f>
        <v>9646.21376</v>
      </c>
      <c r="AS4" s="19" t="n">
        <f aca="false">IF(AND(39&gt;=E4,OR(F4="",39&lt;=F4)),(D4*(1+assumptions!$G$76)^3/12*(1+assumptions!$G$70+assumptions!$G$71+IF(39&gt;=assumptions!$G$73,assumptions!$G$72,0))+assumptions!$G$74/12)+IF(39=E4,D4*assumptions!$G$75,0),0)</f>
        <v>9646.21376</v>
      </c>
      <c r="AT4" s="19" t="n">
        <f aca="false">IF(AND(40&gt;=E4,OR(F4="",40&lt;=F4)),(D4*(1+assumptions!$G$76)^3/12*(1+assumptions!$G$70+assumptions!$G$71+IF(40&gt;=assumptions!$G$73,assumptions!$G$72,0))+assumptions!$G$74/12)+IF(40=E4,D4*assumptions!$G$75,0),0)</f>
        <v>9646.21376</v>
      </c>
      <c r="AU4" s="19" t="n">
        <f aca="false">IF(AND(41&gt;=E4,OR(F4="",41&lt;=F4)),(D4*(1+assumptions!$G$76)^3/12*(1+assumptions!$G$70+assumptions!$G$71+IF(41&gt;=assumptions!$G$73,assumptions!$G$72,0))+assumptions!$G$74/12)+IF(41=E4,D4*assumptions!$G$75,0),0)</f>
        <v>9646.21376</v>
      </c>
      <c r="AV4" s="19" t="n">
        <f aca="false">IF(AND(42&gt;=E4,OR(F4="",42&lt;=F4)),(D4*(1+assumptions!$G$76)^3/12*(1+assumptions!$G$70+assumptions!$G$71+IF(42&gt;=assumptions!$G$73,assumptions!$G$72,0))+assumptions!$G$74/12)+IF(42=E4,D4*assumptions!$G$75,0),0)</f>
        <v>9646.21376</v>
      </c>
      <c r="AW4" s="19" t="n">
        <f aca="false">IF(AND(43&gt;=E4,OR(F4="",43&lt;=F4)),(D4*(1+assumptions!$G$76)^3/12*(1+assumptions!$G$70+assumptions!$G$71+IF(43&gt;=assumptions!$G$73,assumptions!$G$72,0))+assumptions!$G$74/12)+IF(43=E4,D4*assumptions!$G$75,0),0)</f>
        <v>9646.21376</v>
      </c>
      <c r="AX4" s="19" t="n">
        <f aca="false">IF(AND(44&gt;=E4,OR(F4="",44&lt;=F4)),(D4*(1+assumptions!$G$76)^3/12*(1+assumptions!$G$70+assumptions!$G$71+IF(44&gt;=assumptions!$G$73,assumptions!$G$72,0))+assumptions!$G$74/12)+IF(44=E4,D4*assumptions!$G$75,0),0)</f>
        <v>9646.21376</v>
      </c>
      <c r="AY4" s="19" t="n">
        <f aca="false">IF(AND(45&gt;=E4,OR(F4="",45&lt;=F4)),(D4*(1+assumptions!$G$76)^3/12*(1+assumptions!$G$70+assumptions!$G$71+IF(45&gt;=assumptions!$G$73,assumptions!$G$72,0))+assumptions!$G$74/12)+IF(45=E4,D4*assumptions!$G$75,0),0)</f>
        <v>9646.21376</v>
      </c>
      <c r="AZ4" s="19" t="n">
        <f aca="false">IF(AND(46&gt;=E4,OR(F4="",46&lt;=F4)),(D4*(1+assumptions!$G$76)^3/12*(1+assumptions!$G$70+assumptions!$G$71+IF(46&gt;=assumptions!$G$73,assumptions!$G$72,0))+assumptions!$G$74/12)+IF(46=E4,D4*assumptions!$G$75,0),0)</f>
        <v>9646.21376</v>
      </c>
      <c r="BA4" s="19" t="n">
        <f aca="false">IF(AND(47&gt;=E4,OR(F4="",47&lt;=F4)),(D4*(1+assumptions!$G$76)^3/12*(1+assumptions!$G$70+assumptions!$G$71+IF(47&gt;=assumptions!$G$73,assumptions!$G$72,0))+assumptions!$G$74/12)+IF(47=E4,D4*assumptions!$G$75,0),0)</f>
        <v>9646.21376</v>
      </c>
      <c r="BB4" s="19" t="n">
        <f aca="false">IF(AND(48&gt;=E4,OR(F4="",48&lt;=F4)),(D4*(1+assumptions!$G$76)^3/12*(1+assumptions!$G$70+assumptions!$G$71+IF(48&gt;=assumptions!$G$73,assumptions!$G$72,0))+assumptions!$G$74/12)+IF(48=E4,D4*assumptions!$G$75,0),0)</f>
        <v>9646.21376</v>
      </c>
      <c r="BC4" s="19" t="n">
        <f aca="false">IF(AND(49&gt;=E4,OR(F4="",49&lt;=F4)),(D4*(1+assumptions!$G$76)^4/12*(1+assumptions!$G$70+assumptions!$G$71+IF(49&gt;=assumptions!$G$73,assumptions!$G$72,0))+assumptions!$G$74/12)+IF(49=E4,D4*assumptions!$G$75,0),0)</f>
        <v>10020.0623104</v>
      </c>
      <c r="BD4" s="19" t="n">
        <f aca="false">IF(AND(50&gt;=E4,OR(F4="",50&lt;=F4)),(D4*(1+assumptions!$G$76)^4/12*(1+assumptions!$G$70+assumptions!$G$71+IF(50&gt;=assumptions!$G$73,assumptions!$G$72,0))+assumptions!$G$74/12)+IF(50=E4,D4*assumptions!$G$75,0),0)</f>
        <v>10020.0623104</v>
      </c>
      <c r="BE4" s="19" t="n">
        <f aca="false">IF(AND(51&gt;=E4,OR(F4="",51&lt;=F4)),(D4*(1+assumptions!$G$76)^4/12*(1+assumptions!$G$70+assumptions!$G$71+IF(51&gt;=assumptions!$G$73,assumptions!$G$72,0))+assumptions!$G$74/12)+IF(51=E4,D4*assumptions!$G$75,0),0)</f>
        <v>10020.0623104</v>
      </c>
      <c r="BF4" s="19" t="n">
        <f aca="false">IF(AND(52&gt;=E4,OR(F4="",52&lt;=F4)),(D4*(1+assumptions!$G$76)^4/12*(1+assumptions!$G$70+assumptions!$G$71+IF(52&gt;=assumptions!$G$73,assumptions!$G$72,0))+assumptions!$G$74/12)+IF(52=E4,D4*assumptions!$G$75,0),0)</f>
        <v>10020.0623104</v>
      </c>
      <c r="BG4" s="19" t="n">
        <f aca="false">IF(AND(53&gt;=E4,OR(F4="",53&lt;=F4)),(D4*(1+assumptions!$G$76)^4/12*(1+assumptions!$G$70+assumptions!$G$71+IF(53&gt;=assumptions!$G$73,assumptions!$G$72,0))+assumptions!$G$74/12)+IF(53=E4,D4*assumptions!$G$75,0),0)</f>
        <v>10020.0623104</v>
      </c>
      <c r="BH4" s="19" t="n">
        <f aca="false">IF(AND(54&gt;=E4,OR(F4="",54&lt;=F4)),(D4*(1+assumptions!$G$76)^4/12*(1+assumptions!$G$70+assumptions!$G$71+IF(54&gt;=assumptions!$G$73,assumptions!$G$72,0))+assumptions!$G$74/12)+IF(54=E4,D4*assumptions!$G$75,0),0)</f>
        <v>10020.0623104</v>
      </c>
      <c r="BI4" s="19" t="n">
        <f aca="false">IF(AND(55&gt;=E4,OR(F4="",55&lt;=F4)),(D4*(1+assumptions!$G$76)^4/12*(1+assumptions!$G$70+assumptions!$G$71+IF(55&gt;=assumptions!$G$73,assumptions!$G$72,0))+assumptions!$G$74/12)+IF(55=E4,D4*assumptions!$G$75,0),0)</f>
        <v>10020.0623104</v>
      </c>
      <c r="BJ4" s="19" t="n">
        <f aca="false">IF(AND(56&gt;=E4,OR(F4="",56&lt;=F4)),(D4*(1+assumptions!$G$76)^4/12*(1+assumptions!$G$70+assumptions!$G$71+IF(56&gt;=assumptions!$G$73,assumptions!$G$72,0))+assumptions!$G$74/12)+IF(56=E4,D4*assumptions!$G$75,0),0)</f>
        <v>10020.0623104</v>
      </c>
      <c r="BK4" s="19" t="n">
        <f aca="false">IF(AND(57&gt;=E4,OR(F4="",57&lt;=F4)),(D4*(1+assumptions!$G$76)^4/12*(1+assumptions!$G$70+assumptions!$G$71+IF(57&gt;=assumptions!$G$73,assumptions!$G$72,0))+assumptions!$G$74/12)+IF(57=E4,D4*assumptions!$G$75,0),0)</f>
        <v>10020.0623104</v>
      </c>
      <c r="BL4" s="19" t="n">
        <f aca="false">IF(AND(58&gt;=E4,OR(F4="",58&lt;=F4)),(D4*(1+assumptions!$G$76)^4/12*(1+assumptions!$G$70+assumptions!$G$71+IF(58&gt;=assumptions!$G$73,assumptions!$G$72,0))+assumptions!$G$74/12)+IF(58=E4,D4*assumptions!$G$75,0),0)</f>
        <v>10020.0623104</v>
      </c>
      <c r="BM4" s="19" t="n">
        <f aca="false">IF(AND(59&gt;=E4,OR(F4="",59&lt;=F4)),(D4*(1+assumptions!$G$76)^4/12*(1+assumptions!$G$70+assumptions!$G$71+IF(59&gt;=assumptions!$G$73,assumptions!$G$72,0))+assumptions!$G$74/12)+IF(59=E4,D4*assumptions!$G$75,0),0)</f>
        <v>10020.0623104</v>
      </c>
      <c r="BN4" s="19" t="n">
        <f aca="false">IF(AND(60&gt;=E4,OR(F4="",60&lt;=F4)),(D4*(1+assumptions!$G$76)^4/12*(1+assumptions!$G$70+assumptions!$G$71+IF(60&gt;=assumptions!$G$73,assumptions!$G$72,0))+assumptions!$G$74/12)+IF(60=E4,D4*assumptions!$G$75,0),0)</f>
        <v>10020.0623104</v>
      </c>
    </row>
    <row r="5" customFormat="false" ht="14.25" hidden="false" customHeight="false" outlineLevel="0" collapsed="false">
      <c r="A5" s="7" t="n">
        <v>2</v>
      </c>
      <c r="B5" s="7" t="s">
        <v>338</v>
      </c>
      <c r="C5" s="7" t="s">
        <v>337</v>
      </c>
      <c r="D5" s="17" t="n">
        <v>85000</v>
      </c>
      <c r="E5" s="49" t="n">
        <v>1</v>
      </c>
      <c r="F5" s="49"/>
      <c r="G5" s="19" t="n">
        <f aca="false">IF(AND(1&gt;=E5,OR(F5="",1&lt;=F5)),(D5*(1+assumptions!$G$76)^0/12*(1+assumptions!$G$70+assumptions!$G$71+IF(1&gt;=assumptions!$G$73,assumptions!$G$72,0))+assumptions!$G$74/12)+IF(1=E5,D5*assumptions!$G$75,0),0)</f>
        <v>21323.3333333333</v>
      </c>
      <c r="H5" s="19" t="n">
        <f aca="false">IF(AND(2&gt;=E5,OR(F5="",2&lt;=F5)),(D5*(1+assumptions!$G$76)^0/12*(1+assumptions!$G$70+assumptions!$G$71+IF(2&gt;=assumptions!$G$73,assumptions!$G$72,0))+assumptions!$G$74/12)+IF(2=E5,D5*assumptions!$G$75,0),0)</f>
        <v>8573.33333333333</v>
      </c>
      <c r="I5" s="19" t="n">
        <f aca="false">IF(AND(3&gt;=E5,OR(F5="",3&lt;=F5)),(D5*(1+assumptions!$G$76)^0/12*(1+assumptions!$G$70+assumptions!$G$71+IF(3&gt;=assumptions!$G$73,assumptions!$G$72,0))+assumptions!$G$74/12)+IF(3=E5,D5*assumptions!$G$75,0),0)</f>
        <v>8573.33333333333</v>
      </c>
      <c r="J5" s="19" t="n">
        <f aca="false">IF(AND(4&gt;=E5,OR(F5="",4&lt;=F5)),(D5*(1+assumptions!$G$76)^0/12*(1+assumptions!$G$70+assumptions!$G$71+IF(4&gt;=assumptions!$G$73,assumptions!$G$72,0))+assumptions!$G$74/12)+IF(4=E5,D5*assumptions!$G$75,0),0)</f>
        <v>8573.33333333333</v>
      </c>
      <c r="K5" s="19" t="n">
        <f aca="false">IF(AND(5&gt;=E5,OR(F5="",5&lt;=F5)),(D5*(1+assumptions!$G$76)^0/12*(1+assumptions!$G$70+assumptions!$G$71+IF(5&gt;=assumptions!$G$73,assumptions!$G$72,0))+assumptions!$G$74/12)+IF(5=E5,D5*assumptions!$G$75,0),0)</f>
        <v>8573.33333333333</v>
      </c>
      <c r="L5" s="19" t="n">
        <f aca="false">IF(AND(6&gt;=E5,OR(F5="",6&lt;=F5)),(D5*(1+assumptions!$G$76)^0/12*(1+assumptions!$G$70+assumptions!$G$71+IF(6&gt;=assumptions!$G$73,assumptions!$G$72,0))+assumptions!$G$74/12)+IF(6=E5,D5*assumptions!$G$75,0),0)</f>
        <v>8573.33333333333</v>
      </c>
      <c r="M5" s="19" t="n">
        <f aca="false">IF(AND(7&gt;=E5,OR(F5="",7&lt;=F5)),(D5*(1+assumptions!$G$76)^0/12*(1+assumptions!$G$70+assumptions!$G$71+IF(7&gt;=assumptions!$G$73,assumptions!$G$72,0))+assumptions!$G$74/12)+IF(7=E5,D5*assumptions!$G$75,0),0)</f>
        <v>8573.33333333333</v>
      </c>
      <c r="N5" s="19" t="n">
        <f aca="false">IF(AND(8&gt;=E5,OR(F5="",8&lt;=F5)),(D5*(1+assumptions!$G$76)^0/12*(1+assumptions!$G$70+assumptions!$G$71+IF(8&gt;=assumptions!$G$73,assumptions!$G$72,0))+assumptions!$G$74/12)+IF(8=E5,D5*assumptions!$G$75,0),0)</f>
        <v>8573.33333333333</v>
      </c>
      <c r="O5" s="19" t="n">
        <f aca="false">IF(AND(9&gt;=E5,OR(F5="",9&lt;=F5)),(D5*(1+assumptions!$G$76)^0/12*(1+assumptions!$G$70+assumptions!$G$71+IF(9&gt;=assumptions!$G$73,assumptions!$G$72,0))+assumptions!$G$74/12)+IF(9=E5,D5*assumptions!$G$75,0),0)</f>
        <v>8573.33333333333</v>
      </c>
      <c r="P5" s="19" t="n">
        <f aca="false">IF(AND(10&gt;=E5,OR(F5="",10&lt;=F5)),(D5*(1+assumptions!$G$76)^0/12*(1+assumptions!$G$70+assumptions!$G$71+IF(10&gt;=assumptions!$G$73,assumptions!$G$72,0))+assumptions!$G$74/12)+IF(10=E5,D5*assumptions!$G$75,0),0)</f>
        <v>8573.33333333333</v>
      </c>
      <c r="Q5" s="19" t="n">
        <f aca="false">IF(AND(11&gt;=E5,OR(F5="",11&lt;=F5)),(D5*(1+assumptions!$G$76)^0/12*(1+assumptions!$G$70+assumptions!$G$71+IF(11&gt;=assumptions!$G$73,assumptions!$G$72,0))+assumptions!$G$74/12)+IF(11=E5,D5*assumptions!$G$75,0),0)</f>
        <v>8573.33333333333</v>
      </c>
      <c r="R5" s="19" t="n">
        <f aca="false">IF(AND(12&gt;=E5,OR(F5="",12&lt;=F5)),(D5*(1+assumptions!$G$76)^0/12*(1+assumptions!$G$70+assumptions!$G$71+IF(12&gt;=assumptions!$G$73,assumptions!$G$72,0))+assumptions!$G$74/12)+IF(12=E5,D5*assumptions!$G$75,0),0)</f>
        <v>8573.33333333333</v>
      </c>
      <c r="S5" s="19" t="n">
        <f aca="false">IF(AND(13&gt;=E5,OR(F5="",13&lt;=F5)),(D5*(1+assumptions!$G$76)^1/12*(1+assumptions!$G$70+assumptions!$G$71+IF(13&gt;=assumptions!$G$73,assumptions!$G$72,0))+assumptions!$G$74/12)+IF(13=E5,D5*assumptions!$G$75,0),0)</f>
        <v>8904.26666666667</v>
      </c>
      <c r="T5" s="19" t="n">
        <f aca="false">IF(AND(14&gt;=E5,OR(F5="",14&lt;=F5)),(D5*(1+assumptions!$G$76)^1/12*(1+assumptions!$G$70+assumptions!$G$71+IF(14&gt;=assumptions!$G$73,assumptions!$G$72,0))+assumptions!$G$74/12)+IF(14=E5,D5*assumptions!$G$75,0),0)</f>
        <v>8904.26666666667</v>
      </c>
      <c r="U5" s="19" t="n">
        <f aca="false">IF(AND(15&gt;=E5,OR(F5="",15&lt;=F5)),(D5*(1+assumptions!$G$76)^1/12*(1+assumptions!$G$70+assumptions!$G$71+IF(15&gt;=assumptions!$G$73,assumptions!$G$72,0))+assumptions!$G$74/12)+IF(15=E5,D5*assumptions!$G$75,0),0)</f>
        <v>8904.26666666667</v>
      </c>
      <c r="V5" s="19" t="n">
        <f aca="false">IF(AND(16&gt;=E5,OR(F5="",16&lt;=F5)),(D5*(1+assumptions!$G$76)^1/12*(1+assumptions!$G$70+assumptions!$G$71+IF(16&gt;=assumptions!$G$73,assumptions!$G$72,0))+assumptions!$G$74/12)+IF(16=E5,D5*assumptions!$G$75,0),0)</f>
        <v>8904.26666666667</v>
      </c>
      <c r="W5" s="19" t="n">
        <f aca="false">IF(AND(17&gt;=E5,OR(F5="",17&lt;=F5)),(D5*(1+assumptions!$G$76)^1/12*(1+assumptions!$G$70+assumptions!$G$71+IF(17&gt;=assumptions!$G$73,assumptions!$G$72,0))+assumptions!$G$74/12)+IF(17=E5,D5*assumptions!$G$75,0),0)</f>
        <v>8904.26666666667</v>
      </c>
      <c r="X5" s="19" t="n">
        <f aca="false">IF(AND(18&gt;=E5,OR(F5="",18&lt;=F5)),(D5*(1+assumptions!$G$76)^1/12*(1+assumptions!$G$70+assumptions!$G$71+IF(18&gt;=assumptions!$G$73,assumptions!$G$72,0))+assumptions!$G$74/12)+IF(18=E5,D5*assumptions!$G$75,0),0)</f>
        <v>8904.26666666667</v>
      </c>
      <c r="Y5" s="19" t="n">
        <f aca="false">IF(AND(19&gt;=E5,OR(F5="",19&lt;=F5)),(D5*(1+assumptions!$G$76)^1/12*(1+assumptions!$G$70+assumptions!$G$71+IF(19&gt;=assumptions!$G$73,assumptions!$G$72,0))+assumptions!$G$74/12)+IF(19=E5,D5*assumptions!$G$75,0),0)</f>
        <v>8904.26666666667</v>
      </c>
      <c r="Z5" s="19" t="n">
        <f aca="false">IF(AND(20&gt;=E5,OR(F5="",20&lt;=F5)),(D5*(1+assumptions!$G$76)^1/12*(1+assumptions!$G$70+assumptions!$G$71+IF(20&gt;=assumptions!$G$73,assumptions!$G$72,0))+assumptions!$G$74/12)+IF(20=E5,D5*assumptions!$G$75,0),0)</f>
        <v>8904.26666666667</v>
      </c>
      <c r="AA5" s="19" t="n">
        <f aca="false">IF(AND(21&gt;=E5,OR(F5="",21&lt;=F5)),(D5*(1+assumptions!$G$76)^1/12*(1+assumptions!$G$70+assumptions!$G$71+IF(21&gt;=assumptions!$G$73,assumptions!$G$72,0))+assumptions!$G$74/12)+IF(21=E5,D5*assumptions!$G$75,0),0)</f>
        <v>8904.26666666667</v>
      </c>
      <c r="AB5" s="19" t="n">
        <f aca="false">IF(AND(22&gt;=E5,OR(F5="",22&lt;=F5)),(D5*(1+assumptions!$G$76)^1/12*(1+assumptions!$G$70+assumptions!$G$71+IF(22&gt;=assumptions!$G$73,assumptions!$G$72,0))+assumptions!$G$74/12)+IF(22=E5,D5*assumptions!$G$75,0),0)</f>
        <v>8904.26666666667</v>
      </c>
      <c r="AC5" s="19" t="n">
        <f aca="false">IF(AND(23&gt;=E5,OR(F5="",23&lt;=F5)),(D5*(1+assumptions!$G$76)^1/12*(1+assumptions!$G$70+assumptions!$G$71+IF(23&gt;=assumptions!$G$73,assumptions!$G$72,0))+assumptions!$G$74/12)+IF(23=E5,D5*assumptions!$G$75,0),0)</f>
        <v>8904.26666666667</v>
      </c>
      <c r="AD5" s="19" t="n">
        <f aca="false">IF(AND(24&gt;=E5,OR(F5="",24&lt;=F5)),(D5*(1+assumptions!$G$76)^1/12*(1+assumptions!$G$70+assumptions!$G$71+IF(24&gt;=assumptions!$G$73,assumptions!$G$72,0))+assumptions!$G$74/12)+IF(24=E5,D5*assumptions!$G$75,0),0)</f>
        <v>8941.1</v>
      </c>
      <c r="AE5" s="19" t="n">
        <f aca="false">IF(AND(25&gt;=E5,OR(F5="",25&lt;=F5)),(D5*(1+assumptions!$G$76)^2/12*(1+assumptions!$G$70+assumptions!$G$71+IF(25&gt;=assumptions!$G$73,assumptions!$G$72,0))+assumptions!$G$74/12)+IF(25=E5,D5*assumptions!$G$75,0),0)</f>
        <v>9286.744</v>
      </c>
      <c r="AF5" s="19" t="n">
        <f aca="false">IF(AND(26&gt;=E5,OR(F5="",26&lt;=F5)),(D5*(1+assumptions!$G$76)^2/12*(1+assumptions!$G$70+assumptions!$G$71+IF(26&gt;=assumptions!$G$73,assumptions!$G$72,0))+assumptions!$G$74/12)+IF(26=E5,D5*assumptions!$G$75,0),0)</f>
        <v>9286.744</v>
      </c>
      <c r="AG5" s="19" t="n">
        <f aca="false">IF(AND(27&gt;=E5,OR(F5="",27&lt;=F5)),(D5*(1+assumptions!$G$76)^2/12*(1+assumptions!$G$70+assumptions!$G$71+IF(27&gt;=assumptions!$G$73,assumptions!$G$72,0))+assumptions!$G$74/12)+IF(27=E5,D5*assumptions!$G$75,0),0)</f>
        <v>9286.744</v>
      </c>
      <c r="AH5" s="19" t="n">
        <f aca="false">IF(AND(28&gt;=E5,OR(F5="",28&lt;=F5)),(D5*(1+assumptions!$G$76)^2/12*(1+assumptions!$G$70+assumptions!$G$71+IF(28&gt;=assumptions!$G$73,assumptions!$G$72,0))+assumptions!$G$74/12)+IF(28=E5,D5*assumptions!$G$75,0),0)</f>
        <v>9286.744</v>
      </c>
      <c r="AI5" s="19" t="n">
        <f aca="false">IF(AND(29&gt;=E5,OR(F5="",29&lt;=F5)),(D5*(1+assumptions!$G$76)^2/12*(1+assumptions!$G$70+assumptions!$G$71+IF(29&gt;=assumptions!$G$73,assumptions!$G$72,0))+assumptions!$G$74/12)+IF(29=E5,D5*assumptions!$G$75,0),0)</f>
        <v>9286.744</v>
      </c>
      <c r="AJ5" s="19" t="n">
        <f aca="false">IF(AND(30&gt;=E5,OR(F5="",30&lt;=F5)),(D5*(1+assumptions!$G$76)^2/12*(1+assumptions!$G$70+assumptions!$G$71+IF(30&gt;=assumptions!$G$73,assumptions!$G$72,0))+assumptions!$G$74/12)+IF(30=E5,D5*assumptions!$G$75,0),0)</f>
        <v>9286.744</v>
      </c>
      <c r="AK5" s="19" t="n">
        <f aca="false">IF(AND(31&gt;=E5,OR(F5="",31&lt;=F5)),(D5*(1+assumptions!$G$76)^2/12*(1+assumptions!$G$70+assumptions!$G$71+IF(31&gt;=assumptions!$G$73,assumptions!$G$72,0))+assumptions!$G$74/12)+IF(31=E5,D5*assumptions!$G$75,0),0)</f>
        <v>9286.744</v>
      </c>
      <c r="AL5" s="19" t="n">
        <f aca="false">IF(AND(32&gt;=E5,OR(F5="",32&lt;=F5)),(D5*(1+assumptions!$G$76)^2/12*(1+assumptions!$G$70+assumptions!$G$71+IF(32&gt;=assumptions!$G$73,assumptions!$G$72,0))+assumptions!$G$74/12)+IF(32=E5,D5*assumptions!$G$75,0),0)</f>
        <v>9286.744</v>
      </c>
      <c r="AM5" s="19" t="n">
        <f aca="false">IF(AND(33&gt;=E5,OR(F5="",33&lt;=F5)),(D5*(1+assumptions!$G$76)^2/12*(1+assumptions!$G$70+assumptions!$G$71+IF(33&gt;=assumptions!$G$73,assumptions!$G$72,0))+assumptions!$G$74/12)+IF(33=E5,D5*assumptions!$G$75,0),0)</f>
        <v>9286.744</v>
      </c>
      <c r="AN5" s="19" t="n">
        <f aca="false">IF(AND(34&gt;=E5,OR(F5="",34&lt;=F5)),(D5*(1+assumptions!$G$76)^2/12*(1+assumptions!$G$70+assumptions!$G$71+IF(34&gt;=assumptions!$G$73,assumptions!$G$72,0))+assumptions!$G$74/12)+IF(34=E5,D5*assumptions!$G$75,0),0)</f>
        <v>9286.744</v>
      </c>
      <c r="AO5" s="19" t="n">
        <f aca="false">IF(AND(35&gt;=E5,OR(F5="",35&lt;=F5)),(D5*(1+assumptions!$G$76)^2/12*(1+assumptions!$G$70+assumptions!$G$71+IF(35&gt;=assumptions!$G$73,assumptions!$G$72,0))+assumptions!$G$74/12)+IF(35=E5,D5*assumptions!$G$75,0),0)</f>
        <v>9286.744</v>
      </c>
      <c r="AP5" s="19" t="n">
        <f aca="false">IF(AND(36&gt;=E5,OR(F5="",36&lt;=F5)),(D5*(1+assumptions!$G$76)^2/12*(1+assumptions!$G$70+assumptions!$G$71+IF(36&gt;=assumptions!$G$73,assumptions!$G$72,0))+assumptions!$G$74/12)+IF(36=E5,D5*assumptions!$G$75,0),0)</f>
        <v>9286.744</v>
      </c>
      <c r="AQ5" s="19" t="n">
        <f aca="false">IF(AND(37&gt;=E5,OR(F5="",37&lt;=F5)),(D5*(1+assumptions!$G$76)^3/12*(1+assumptions!$G$70+assumptions!$G$71+IF(37&gt;=assumptions!$G$73,assumptions!$G$72,0))+assumptions!$G$74/12)+IF(37=E5,D5*assumptions!$G$75,0),0)</f>
        <v>9646.21376</v>
      </c>
      <c r="AR5" s="19" t="n">
        <f aca="false">IF(AND(38&gt;=E5,OR(F5="",38&lt;=F5)),(D5*(1+assumptions!$G$76)^3/12*(1+assumptions!$G$70+assumptions!$G$71+IF(38&gt;=assumptions!$G$73,assumptions!$G$72,0))+assumptions!$G$74/12)+IF(38=E5,D5*assumptions!$G$75,0),0)</f>
        <v>9646.21376</v>
      </c>
      <c r="AS5" s="19" t="n">
        <f aca="false">IF(AND(39&gt;=E5,OR(F5="",39&lt;=F5)),(D5*(1+assumptions!$G$76)^3/12*(1+assumptions!$G$70+assumptions!$G$71+IF(39&gt;=assumptions!$G$73,assumptions!$G$72,0))+assumptions!$G$74/12)+IF(39=E5,D5*assumptions!$G$75,0),0)</f>
        <v>9646.21376</v>
      </c>
      <c r="AT5" s="19" t="n">
        <f aca="false">IF(AND(40&gt;=E5,OR(F5="",40&lt;=F5)),(D5*(1+assumptions!$G$76)^3/12*(1+assumptions!$G$70+assumptions!$G$71+IF(40&gt;=assumptions!$G$73,assumptions!$G$72,0))+assumptions!$G$74/12)+IF(40=E5,D5*assumptions!$G$75,0),0)</f>
        <v>9646.21376</v>
      </c>
      <c r="AU5" s="19" t="n">
        <f aca="false">IF(AND(41&gt;=E5,OR(F5="",41&lt;=F5)),(D5*(1+assumptions!$G$76)^3/12*(1+assumptions!$G$70+assumptions!$G$71+IF(41&gt;=assumptions!$G$73,assumptions!$G$72,0))+assumptions!$G$74/12)+IF(41=E5,D5*assumptions!$G$75,0),0)</f>
        <v>9646.21376</v>
      </c>
      <c r="AV5" s="19" t="n">
        <f aca="false">IF(AND(42&gt;=E5,OR(F5="",42&lt;=F5)),(D5*(1+assumptions!$G$76)^3/12*(1+assumptions!$G$70+assumptions!$G$71+IF(42&gt;=assumptions!$G$73,assumptions!$G$72,0))+assumptions!$G$74/12)+IF(42=E5,D5*assumptions!$G$75,0),0)</f>
        <v>9646.21376</v>
      </c>
      <c r="AW5" s="19" t="n">
        <f aca="false">IF(AND(43&gt;=E5,OR(F5="",43&lt;=F5)),(D5*(1+assumptions!$G$76)^3/12*(1+assumptions!$G$70+assumptions!$G$71+IF(43&gt;=assumptions!$G$73,assumptions!$G$72,0))+assumptions!$G$74/12)+IF(43=E5,D5*assumptions!$G$75,0),0)</f>
        <v>9646.21376</v>
      </c>
      <c r="AX5" s="19" t="n">
        <f aca="false">IF(AND(44&gt;=E5,OR(F5="",44&lt;=F5)),(D5*(1+assumptions!$G$76)^3/12*(1+assumptions!$G$70+assumptions!$G$71+IF(44&gt;=assumptions!$G$73,assumptions!$G$72,0))+assumptions!$G$74/12)+IF(44=E5,D5*assumptions!$G$75,0),0)</f>
        <v>9646.21376</v>
      </c>
      <c r="AY5" s="19" t="n">
        <f aca="false">IF(AND(45&gt;=E5,OR(F5="",45&lt;=F5)),(D5*(1+assumptions!$G$76)^3/12*(1+assumptions!$G$70+assumptions!$G$71+IF(45&gt;=assumptions!$G$73,assumptions!$G$72,0))+assumptions!$G$74/12)+IF(45=E5,D5*assumptions!$G$75,0),0)</f>
        <v>9646.21376</v>
      </c>
      <c r="AZ5" s="19" t="n">
        <f aca="false">IF(AND(46&gt;=E5,OR(F5="",46&lt;=F5)),(D5*(1+assumptions!$G$76)^3/12*(1+assumptions!$G$70+assumptions!$G$71+IF(46&gt;=assumptions!$G$73,assumptions!$G$72,0))+assumptions!$G$74/12)+IF(46=E5,D5*assumptions!$G$75,0),0)</f>
        <v>9646.21376</v>
      </c>
      <c r="BA5" s="19" t="n">
        <f aca="false">IF(AND(47&gt;=E5,OR(F5="",47&lt;=F5)),(D5*(1+assumptions!$G$76)^3/12*(1+assumptions!$G$70+assumptions!$G$71+IF(47&gt;=assumptions!$G$73,assumptions!$G$72,0))+assumptions!$G$74/12)+IF(47=E5,D5*assumptions!$G$75,0),0)</f>
        <v>9646.21376</v>
      </c>
      <c r="BB5" s="19" t="n">
        <f aca="false">IF(AND(48&gt;=E5,OR(F5="",48&lt;=F5)),(D5*(1+assumptions!$G$76)^3/12*(1+assumptions!$G$70+assumptions!$G$71+IF(48&gt;=assumptions!$G$73,assumptions!$G$72,0))+assumptions!$G$74/12)+IF(48=E5,D5*assumptions!$G$75,0),0)</f>
        <v>9646.21376</v>
      </c>
      <c r="BC5" s="19" t="n">
        <f aca="false">IF(AND(49&gt;=E5,OR(F5="",49&lt;=F5)),(D5*(1+assumptions!$G$76)^4/12*(1+assumptions!$G$70+assumptions!$G$71+IF(49&gt;=assumptions!$G$73,assumptions!$G$72,0))+assumptions!$G$74/12)+IF(49=E5,D5*assumptions!$G$75,0),0)</f>
        <v>10020.0623104</v>
      </c>
      <c r="BD5" s="19" t="n">
        <f aca="false">IF(AND(50&gt;=E5,OR(F5="",50&lt;=F5)),(D5*(1+assumptions!$G$76)^4/12*(1+assumptions!$G$70+assumptions!$G$71+IF(50&gt;=assumptions!$G$73,assumptions!$G$72,0))+assumptions!$G$74/12)+IF(50=E5,D5*assumptions!$G$75,0),0)</f>
        <v>10020.0623104</v>
      </c>
      <c r="BE5" s="19" t="n">
        <f aca="false">IF(AND(51&gt;=E5,OR(F5="",51&lt;=F5)),(D5*(1+assumptions!$G$76)^4/12*(1+assumptions!$G$70+assumptions!$G$71+IF(51&gt;=assumptions!$G$73,assumptions!$G$72,0))+assumptions!$G$74/12)+IF(51=E5,D5*assumptions!$G$75,0),0)</f>
        <v>10020.0623104</v>
      </c>
      <c r="BF5" s="19" t="n">
        <f aca="false">IF(AND(52&gt;=E5,OR(F5="",52&lt;=F5)),(D5*(1+assumptions!$G$76)^4/12*(1+assumptions!$G$70+assumptions!$G$71+IF(52&gt;=assumptions!$G$73,assumptions!$G$72,0))+assumptions!$G$74/12)+IF(52=E5,D5*assumptions!$G$75,0),0)</f>
        <v>10020.0623104</v>
      </c>
      <c r="BG5" s="19" t="n">
        <f aca="false">IF(AND(53&gt;=E5,OR(F5="",53&lt;=F5)),(D5*(1+assumptions!$G$76)^4/12*(1+assumptions!$G$70+assumptions!$G$71+IF(53&gt;=assumptions!$G$73,assumptions!$G$72,0))+assumptions!$G$74/12)+IF(53=E5,D5*assumptions!$G$75,0),0)</f>
        <v>10020.0623104</v>
      </c>
      <c r="BH5" s="19" t="n">
        <f aca="false">IF(AND(54&gt;=E5,OR(F5="",54&lt;=F5)),(D5*(1+assumptions!$G$76)^4/12*(1+assumptions!$G$70+assumptions!$G$71+IF(54&gt;=assumptions!$G$73,assumptions!$G$72,0))+assumptions!$G$74/12)+IF(54=E5,D5*assumptions!$G$75,0),0)</f>
        <v>10020.0623104</v>
      </c>
      <c r="BI5" s="19" t="n">
        <f aca="false">IF(AND(55&gt;=E5,OR(F5="",55&lt;=F5)),(D5*(1+assumptions!$G$76)^4/12*(1+assumptions!$G$70+assumptions!$G$71+IF(55&gt;=assumptions!$G$73,assumptions!$G$72,0))+assumptions!$G$74/12)+IF(55=E5,D5*assumptions!$G$75,0),0)</f>
        <v>10020.0623104</v>
      </c>
      <c r="BJ5" s="19" t="n">
        <f aca="false">IF(AND(56&gt;=E5,OR(F5="",56&lt;=F5)),(D5*(1+assumptions!$G$76)^4/12*(1+assumptions!$G$70+assumptions!$G$71+IF(56&gt;=assumptions!$G$73,assumptions!$G$72,0))+assumptions!$G$74/12)+IF(56=E5,D5*assumptions!$G$75,0),0)</f>
        <v>10020.0623104</v>
      </c>
      <c r="BK5" s="19" t="n">
        <f aca="false">IF(AND(57&gt;=E5,OR(F5="",57&lt;=F5)),(D5*(1+assumptions!$G$76)^4/12*(1+assumptions!$G$70+assumptions!$G$71+IF(57&gt;=assumptions!$G$73,assumptions!$G$72,0))+assumptions!$G$74/12)+IF(57=E5,D5*assumptions!$G$75,0),0)</f>
        <v>10020.0623104</v>
      </c>
      <c r="BL5" s="19" t="n">
        <f aca="false">IF(AND(58&gt;=E5,OR(F5="",58&lt;=F5)),(D5*(1+assumptions!$G$76)^4/12*(1+assumptions!$G$70+assumptions!$G$71+IF(58&gt;=assumptions!$G$73,assumptions!$G$72,0))+assumptions!$G$74/12)+IF(58=E5,D5*assumptions!$G$75,0),0)</f>
        <v>10020.0623104</v>
      </c>
      <c r="BM5" s="19" t="n">
        <f aca="false">IF(AND(59&gt;=E5,OR(F5="",59&lt;=F5)),(D5*(1+assumptions!$G$76)^4/12*(1+assumptions!$G$70+assumptions!$G$71+IF(59&gt;=assumptions!$G$73,assumptions!$G$72,0))+assumptions!$G$74/12)+IF(59=E5,D5*assumptions!$G$75,0),0)</f>
        <v>10020.0623104</v>
      </c>
      <c r="BN5" s="19" t="n">
        <f aca="false">IF(AND(60&gt;=E5,OR(F5="",60&lt;=F5)),(D5*(1+assumptions!$G$76)^4/12*(1+assumptions!$G$70+assumptions!$G$71+IF(60&gt;=assumptions!$G$73,assumptions!$G$72,0))+assumptions!$G$74/12)+IF(60=E5,D5*assumptions!$G$75,0),0)</f>
        <v>10020.0623104</v>
      </c>
    </row>
    <row r="6" customFormat="false" ht="14.25" hidden="false" customHeight="false" outlineLevel="0" collapsed="false">
      <c r="A6" s="7" t="n">
        <v>3</v>
      </c>
      <c r="B6" s="7" t="s">
        <v>339</v>
      </c>
      <c r="C6" s="7" t="s">
        <v>340</v>
      </c>
      <c r="D6" s="17" t="n">
        <v>80000</v>
      </c>
      <c r="E6" s="49" t="n">
        <v>1</v>
      </c>
      <c r="F6" s="49"/>
      <c r="G6" s="19" t="n">
        <f aca="false">IF(AND(1&gt;=E6,OR(F6="",1&lt;=F6)),(D6*(1+assumptions!$G$76)^0/12*(1+assumptions!$G$70+assumptions!$G$71+IF(1&gt;=assumptions!$G$73,assumptions!$G$72,0))+assumptions!$G$74/12)+IF(1=E6,D6*assumptions!$G$75,0),0)</f>
        <v>20086.6666666667</v>
      </c>
      <c r="H6" s="19" t="n">
        <f aca="false">IF(AND(2&gt;=E6,OR(F6="",2&lt;=F6)),(D6*(1+assumptions!$G$76)^0/12*(1+assumptions!$G$70+assumptions!$G$71+IF(2&gt;=assumptions!$G$73,assumptions!$G$72,0))+assumptions!$G$74/12)+IF(2=E6,D6*assumptions!$G$75,0),0)</f>
        <v>8086.66666666667</v>
      </c>
      <c r="I6" s="19" t="n">
        <f aca="false">IF(AND(3&gt;=E6,OR(F6="",3&lt;=F6)),(D6*(1+assumptions!$G$76)^0/12*(1+assumptions!$G$70+assumptions!$G$71+IF(3&gt;=assumptions!$G$73,assumptions!$G$72,0))+assumptions!$G$74/12)+IF(3=E6,D6*assumptions!$G$75,0),0)</f>
        <v>8086.66666666667</v>
      </c>
      <c r="J6" s="19" t="n">
        <f aca="false">IF(AND(4&gt;=E6,OR(F6="",4&lt;=F6)),(D6*(1+assumptions!$G$76)^0/12*(1+assumptions!$G$70+assumptions!$G$71+IF(4&gt;=assumptions!$G$73,assumptions!$G$72,0))+assumptions!$G$74/12)+IF(4=E6,D6*assumptions!$G$75,0),0)</f>
        <v>8086.66666666667</v>
      </c>
      <c r="K6" s="19" t="n">
        <f aca="false">IF(AND(5&gt;=E6,OR(F6="",5&lt;=F6)),(D6*(1+assumptions!$G$76)^0/12*(1+assumptions!$G$70+assumptions!$G$71+IF(5&gt;=assumptions!$G$73,assumptions!$G$72,0))+assumptions!$G$74/12)+IF(5=E6,D6*assumptions!$G$75,0),0)</f>
        <v>8086.66666666667</v>
      </c>
      <c r="L6" s="19" t="n">
        <f aca="false">IF(AND(6&gt;=E6,OR(F6="",6&lt;=F6)),(D6*(1+assumptions!$G$76)^0/12*(1+assumptions!$G$70+assumptions!$G$71+IF(6&gt;=assumptions!$G$73,assumptions!$G$72,0))+assumptions!$G$74/12)+IF(6=E6,D6*assumptions!$G$75,0),0)</f>
        <v>8086.66666666667</v>
      </c>
      <c r="M6" s="19" t="n">
        <f aca="false">IF(AND(7&gt;=E6,OR(F6="",7&lt;=F6)),(D6*(1+assumptions!$G$76)^0/12*(1+assumptions!$G$70+assumptions!$G$71+IF(7&gt;=assumptions!$G$73,assumptions!$G$72,0))+assumptions!$G$74/12)+IF(7=E6,D6*assumptions!$G$75,0),0)</f>
        <v>8086.66666666667</v>
      </c>
      <c r="N6" s="19" t="n">
        <f aca="false">IF(AND(8&gt;=E6,OR(F6="",8&lt;=F6)),(D6*(1+assumptions!$G$76)^0/12*(1+assumptions!$G$70+assumptions!$G$71+IF(8&gt;=assumptions!$G$73,assumptions!$G$72,0))+assumptions!$G$74/12)+IF(8=E6,D6*assumptions!$G$75,0),0)</f>
        <v>8086.66666666667</v>
      </c>
      <c r="O6" s="19" t="n">
        <f aca="false">IF(AND(9&gt;=E6,OR(F6="",9&lt;=F6)),(D6*(1+assumptions!$G$76)^0/12*(1+assumptions!$G$70+assumptions!$G$71+IF(9&gt;=assumptions!$G$73,assumptions!$G$72,0))+assumptions!$G$74/12)+IF(9=E6,D6*assumptions!$G$75,0),0)</f>
        <v>8086.66666666667</v>
      </c>
      <c r="P6" s="19" t="n">
        <f aca="false">IF(AND(10&gt;=E6,OR(F6="",10&lt;=F6)),(D6*(1+assumptions!$G$76)^0/12*(1+assumptions!$G$70+assumptions!$G$71+IF(10&gt;=assumptions!$G$73,assumptions!$G$72,0))+assumptions!$G$74/12)+IF(10=E6,D6*assumptions!$G$75,0),0)</f>
        <v>8086.66666666667</v>
      </c>
      <c r="Q6" s="19" t="n">
        <f aca="false">IF(AND(11&gt;=E6,OR(F6="",11&lt;=F6)),(D6*(1+assumptions!$G$76)^0/12*(1+assumptions!$G$70+assumptions!$G$71+IF(11&gt;=assumptions!$G$73,assumptions!$G$72,0))+assumptions!$G$74/12)+IF(11=E6,D6*assumptions!$G$75,0),0)</f>
        <v>8086.66666666667</v>
      </c>
      <c r="R6" s="19" t="n">
        <f aca="false">IF(AND(12&gt;=E6,OR(F6="",12&lt;=F6)),(D6*(1+assumptions!$G$76)^0/12*(1+assumptions!$G$70+assumptions!$G$71+IF(12&gt;=assumptions!$G$73,assumptions!$G$72,0))+assumptions!$G$74/12)+IF(12=E6,D6*assumptions!$G$75,0),0)</f>
        <v>8086.66666666667</v>
      </c>
      <c r="S6" s="19" t="n">
        <f aca="false">IF(AND(13&gt;=E6,OR(F6="",13&lt;=F6)),(D6*(1+assumptions!$G$76)^1/12*(1+assumptions!$G$70+assumptions!$G$71+IF(13&gt;=assumptions!$G$73,assumptions!$G$72,0))+assumptions!$G$74/12)+IF(13=E6,D6*assumptions!$G$75,0),0)</f>
        <v>8398.13333333333</v>
      </c>
      <c r="T6" s="19" t="n">
        <f aca="false">IF(AND(14&gt;=E6,OR(F6="",14&lt;=F6)),(D6*(1+assumptions!$G$76)^1/12*(1+assumptions!$G$70+assumptions!$G$71+IF(14&gt;=assumptions!$G$73,assumptions!$G$72,0))+assumptions!$G$74/12)+IF(14=E6,D6*assumptions!$G$75,0),0)</f>
        <v>8398.13333333333</v>
      </c>
      <c r="U6" s="19" t="n">
        <f aca="false">IF(AND(15&gt;=E6,OR(F6="",15&lt;=F6)),(D6*(1+assumptions!$G$76)^1/12*(1+assumptions!$G$70+assumptions!$G$71+IF(15&gt;=assumptions!$G$73,assumptions!$G$72,0))+assumptions!$G$74/12)+IF(15=E6,D6*assumptions!$G$75,0),0)</f>
        <v>8398.13333333333</v>
      </c>
      <c r="V6" s="19" t="n">
        <f aca="false">IF(AND(16&gt;=E6,OR(F6="",16&lt;=F6)),(D6*(1+assumptions!$G$76)^1/12*(1+assumptions!$G$70+assumptions!$G$71+IF(16&gt;=assumptions!$G$73,assumptions!$G$72,0))+assumptions!$G$74/12)+IF(16=E6,D6*assumptions!$G$75,0),0)</f>
        <v>8398.13333333333</v>
      </c>
      <c r="W6" s="19" t="n">
        <f aca="false">IF(AND(17&gt;=E6,OR(F6="",17&lt;=F6)),(D6*(1+assumptions!$G$76)^1/12*(1+assumptions!$G$70+assumptions!$G$71+IF(17&gt;=assumptions!$G$73,assumptions!$G$72,0))+assumptions!$G$74/12)+IF(17=E6,D6*assumptions!$G$75,0),0)</f>
        <v>8398.13333333333</v>
      </c>
      <c r="X6" s="19" t="n">
        <f aca="false">IF(AND(18&gt;=E6,OR(F6="",18&lt;=F6)),(D6*(1+assumptions!$G$76)^1/12*(1+assumptions!$G$70+assumptions!$G$71+IF(18&gt;=assumptions!$G$73,assumptions!$G$72,0))+assumptions!$G$74/12)+IF(18=E6,D6*assumptions!$G$75,0),0)</f>
        <v>8398.13333333333</v>
      </c>
      <c r="Y6" s="19" t="n">
        <f aca="false">IF(AND(19&gt;=E6,OR(F6="",19&lt;=F6)),(D6*(1+assumptions!$G$76)^1/12*(1+assumptions!$G$70+assumptions!$G$71+IF(19&gt;=assumptions!$G$73,assumptions!$G$72,0))+assumptions!$G$74/12)+IF(19=E6,D6*assumptions!$G$75,0),0)</f>
        <v>8398.13333333333</v>
      </c>
      <c r="Z6" s="19" t="n">
        <f aca="false">IF(AND(20&gt;=E6,OR(F6="",20&lt;=F6)),(D6*(1+assumptions!$G$76)^1/12*(1+assumptions!$G$70+assumptions!$G$71+IF(20&gt;=assumptions!$G$73,assumptions!$G$72,0))+assumptions!$G$74/12)+IF(20=E6,D6*assumptions!$G$75,0),0)</f>
        <v>8398.13333333333</v>
      </c>
      <c r="AA6" s="19" t="n">
        <f aca="false">IF(AND(21&gt;=E6,OR(F6="",21&lt;=F6)),(D6*(1+assumptions!$G$76)^1/12*(1+assumptions!$G$70+assumptions!$G$71+IF(21&gt;=assumptions!$G$73,assumptions!$G$72,0))+assumptions!$G$74/12)+IF(21=E6,D6*assumptions!$G$75,0),0)</f>
        <v>8398.13333333333</v>
      </c>
      <c r="AB6" s="19" t="n">
        <f aca="false">IF(AND(22&gt;=E6,OR(F6="",22&lt;=F6)),(D6*(1+assumptions!$G$76)^1/12*(1+assumptions!$G$70+assumptions!$G$71+IF(22&gt;=assumptions!$G$73,assumptions!$G$72,0))+assumptions!$G$74/12)+IF(22=E6,D6*assumptions!$G$75,0),0)</f>
        <v>8398.13333333333</v>
      </c>
      <c r="AC6" s="19" t="n">
        <f aca="false">IF(AND(23&gt;=E6,OR(F6="",23&lt;=F6)),(D6*(1+assumptions!$G$76)^1/12*(1+assumptions!$G$70+assumptions!$G$71+IF(23&gt;=assumptions!$G$73,assumptions!$G$72,0))+assumptions!$G$74/12)+IF(23=E6,D6*assumptions!$G$75,0),0)</f>
        <v>8398.13333333333</v>
      </c>
      <c r="AD6" s="19" t="n">
        <f aca="false">IF(AND(24&gt;=E6,OR(F6="",24&lt;=F6)),(D6*(1+assumptions!$G$76)^1/12*(1+assumptions!$G$70+assumptions!$G$71+IF(24&gt;=assumptions!$G$73,assumptions!$G$72,0))+assumptions!$G$74/12)+IF(24=E6,D6*assumptions!$G$75,0),0)</f>
        <v>8432.8</v>
      </c>
      <c r="AE6" s="19" t="n">
        <f aca="false">IF(AND(25&gt;=E6,OR(F6="",25&lt;=F6)),(D6*(1+assumptions!$G$76)^2/12*(1+assumptions!$G$70+assumptions!$G$71+IF(25&gt;=assumptions!$G$73,assumptions!$G$72,0))+assumptions!$G$74/12)+IF(25=E6,D6*assumptions!$G$75,0),0)</f>
        <v>8758.112</v>
      </c>
      <c r="AF6" s="19" t="n">
        <f aca="false">IF(AND(26&gt;=E6,OR(F6="",26&lt;=F6)),(D6*(1+assumptions!$G$76)^2/12*(1+assumptions!$G$70+assumptions!$G$71+IF(26&gt;=assumptions!$G$73,assumptions!$G$72,0))+assumptions!$G$74/12)+IF(26=E6,D6*assumptions!$G$75,0),0)</f>
        <v>8758.112</v>
      </c>
      <c r="AG6" s="19" t="n">
        <f aca="false">IF(AND(27&gt;=E6,OR(F6="",27&lt;=F6)),(D6*(1+assumptions!$G$76)^2/12*(1+assumptions!$G$70+assumptions!$G$71+IF(27&gt;=assumptions!$G$73,assumptions!$G$72,0))+assumptions!$G$74/12)+IF(27=E6,D6*assumptions!$G$75,0),0)</f>
        <v>8758.112</v>
      </c>
      <c r="AH6" s="19" t="n">
        <f aca="false">IF(AND(28&gt;=E6,OR(F6="",28&lt;=F6)),(D6*(1+assumptions!$G$76)^2/12*(1+assumptions!$G$70+assumptions!$G$71+IF(28&gt;=assumptions!$G$73,assumptions!$G$72,0))+assumptions!$G$74/12)+IF(28=E6,D6*assumptions!$G$75,0),0)</f>
        <v>8758.112</v>
      </c>
      <c r="AI6" s="19" t="n">
        <f aca="false">IF(AND(29&gt;=E6,OR(F6="",29&lt;=F6)),(D6*(1+assumptions!$G$76)^2/12*(1+assumptions!$G$70+assumptions!$G$71+IF(29&gt;=assumptions!$G$73,assumptions!$G$72,0))+assumptions!$G$74/12)+IF(29=E6,D6*assumptions!$G$75,0),0)</f>
        <v>8758.112</v>
      </c>
      <c r="AJ6" s="19" t="n">
        <f aca="false">IF(AND(30&gt;=E6,OR(F6="",30&lt;=F6)),(D6*(1+assumptions!$G$76)^2/12*(1+assumptions!$G$70+assumptions!$G$71+IF(30&gt;=assumptions!$G$73,assumptions!$G$72,0))+assumptions!$G$74/12)+IF(30=E6,D6*assumptions!$G$75,0),0)</f>
        <v>8758.112</v>
      </c>
      <c r="AK6" s="19" t="n">
        <f aca="false">IF(AND(31&gt;=E6,OR(F6="",31&lt;=F6)),(D6*(1+assumptions!$G$76)^2/12*(1+assumptions!$G$70+assumptions!$G$71+IF(31&gt;=assumptions!$G$73,assumptions!$G$72,0))+assumptions!$G$74/12)+IF(31=E6,D6*assumptions!$G$75,0),0)</f>
        <v>8758.112</v>
      </c>
      <c r="AL6" s="19" t="n">
        <f aca="false">IF(AND(32&gt;=E6,OR(F6="",32&lt;=F6)),(D6*(1+assumptions!$G$76)^2/12*(1+assumptions!$G$70+assumptions!$G$71+IF(32&gt;=assumptions!$G$73,assumptions!$G$72,0))+assumptions!$G$74/12)+IF(32=E6,D6*assumptions!$G$75,0),0)</f>
        <v>8758.112</v>
      </c>
      <c r="AM6" s="19" t="n">
        <f aca="false">IF(AND(33&gt;=E6,OR(F6="",33&lt;=F6)),(D6*(1+assumptions!$G$76)^2/12*(1+assumptions!$G$70+assumptions!$G$71+IF(33&gt;=assumptions!$G$73,assumptions!$G$72,0))+assumptions!$G$74/12)+IF(33=E6,D6*assumptions!$G$75,0),0)</f>
        <v>8758.112</v>
      </c>
      <c r="AN6" s="19" t="n">
        <f aca="false">IF(AND(34&gt;=E6,OR(F6="",34&lt;=F6)),(D6*(1+assumptions!$G$76)^2/12*(1+assumptions!$G$70+assumptions!$G$71+IF(34&gt;=assumptions!$G$73,assumptions!$G$72,0))+assumptions!$G$74/12)+IF(34=E6,D6*assumptions!$G$75,0),0)</f>
        <v>8758.112</v>
      </c>
      <c r="AO6" s="19" t="n">
        <f aca="false">IF(AND(35&gt;=E6,OR(F6="",35&lt;=F6)),(D6*(1+assumptions!$G$76)^2/12*(1+assumptions!$G$70+assumptions!$G$71+IF(35&gt;=assumptions!$G$73,assumptions!$G$72,0))+assumptions!$G$74/12)+IF(35=E6,D6*assumptions!$G$75,0),0)</f>
        <v>8758.112</v>
      </c>
      <c r="AP6" s="19" t="n">
        <f aca="false">IF(AND(36&gt;=E6,OR(F6="",36&lt;=F6)),(D6*(1+assumptions!$G$76)^2/12*(1+assumptions!$G$70+assumptions!$G$71+IF(36&gt;=assumptions!$G$73,assumptions!$G$72,0))+assumptions!$G$74/12)+IF(36=E6,D6*assumptions!$G$75,0),0)</f>
        <v>8758.112</v>
      </c>
      <c r="AQ6" s="19" t="n">
        <f aca="false">IF(AND(37&gt;=E6,OR(F6="",37&lt;=F6)),(D6*(1+assumptions!$G$76)^3/12*(1+assumptions!$G$70+assumptions!$G$71+IF(37&gt;=assumptions!$G$73,assumptions!$G$72,0))+assumptions!$G$74/12)+IF(37=E6,D6*assumptions!$G$75,0),0)</f>
        <v>9096.43648</v>
      </c>
      <c r="AR6" s="19" t="n">
        <f aca="false">IF(AND(38&gt;=E6,OR(F6="",38&lt;=F6)),(D6*(1+assumptions!$G$76)^3/12*(1+assumptions!$G$70+assumptions!$G$71+IF(38&gt;=assumptions!$G$73,assumptions!$G$72,0))+assumptions!$G$74/12)+IF(38=E6,D6*assumptions!$G$75,0),0)</f>
        <v>9096.43648</v>
      </c>
      <c r="AS6" s="19" t="n">
        <f aca="false">IF(AND(39&gt;=E6,OR(F6="",39&lt;=F6)),(D6*(1+assumptions!$G$76)^3/12*(1+assumptions!$G$70+assumptions!$G$71+IF(39&gt;=assumptions!$G$73,assumptions!$G$72,0))+assumptions!$G$74/12)+IF(39=E6,D6*assumptions!$G$75,0),0)</f>
        <v>9096.43648</v>
      </c>
      <c r="AT6" s="19" t="n">
        <f aca="false">IF(AND(40&gt;=E6,OR(F6="",40&lt;=F6)),(D6*(1+assumptions!$G$76)^3/12*(1+assumptions!$G$70+assumptions!$G$71+IF(40&gt;=assumptions!$G$73,assumptions!$G$72,0))+assumptions!$G$74/12)+IF(40=E6,D6*assumptions!$G$75,0),0)</f>
        <v>9096.43648</v>
      </c>
      <c r="AU6" s="19" t="n">
        <f aca="false">IF(AND(41&gt;=E6,OR(F6="",41&lt;=F6)),(D6*(1+assumptions!$G$76)^3/12*(1+assumptions!$G$70+assumptions!$G$71+IF(41&gt;=assumptions!$G$73,assumptions!$G$72,0))+assumptions!$G$74/12)+IF(41=E6,D6*assumptions!$G$75,0),0)</f>
        <v>9096.43648</v>
      </c>
      <c r="AV6" s="19" t="n">
        <f aca="false">IF(AND(42&gt;=E6,OR(F6="",42&lt;=F6)),(D6*(1+assumptions!$G$76)^3/12*(1+assumptions!$G$70+assumptions!$G$71+IF(42&gt;=assumptions!$G$73,assumptions!$G$72,0))+assumptions!$G$74/12)+IF(42=E6,D6*assumptions!$G$75,0),0)</f>
        <v>9096.43648</v>
      </c>
      <c r="AW6" s="19" t="n">
        <f aca="false">IF(AND(43&gt;=E6,OR(F6="",43&lt;=F6)),(D6*(1+assumptions!$G$76)^3/12*(1+assumptions!$G$70+assumptions!$G$71+IF(43&gt;=assumptions!$G$73,assumptions!$G$72,0))+assumptions!$G$74/12)+IF(43=E6,D6*assumptions!$G$75,0),0)</f>
        <v>9096.43648</v>
      </c>
      <c r="AX6" s="19" t="n">
        <f aca="false">IF(AND(44&gt;=E6,OR(F6="",44&lt;=F6)),(D6*(1+assumptions!$G$76)^3/12*(1+assumptions!$G$70+assumptions!$G$71+IF(44&gt;=assumptions!$G$73,assumptions!$G$72,0))+assumptions!$G$74/12)+IF(44=E6,D6*assumptions!$G$75,0),0)</f>
        <v>9096.43648</v>
      </c>
      <c r="AY6" s="19" t="n">
        <f aca="false">IF(AND(45&gt;=E6,OR(F6="",45&lt;=F6)),(D6*(1+assumptions!$G$76)^3/12*(1+assumptions!$G$70+assumptions!$G$71+IF(45&gt;=assumptions!$G$73,assumptions!$G$72,0))+assumptions!$G$74/12)+IF(45=E6,D6*assumptions!$G$75,0),0)</f>
        <v>9096.43648</v>
      </c>
      <c r="AZ6" s="19" t="n">
        <f aca="false">IF(AND(46&gt;=E6,OR(F6="",46&lt;=F6)),(D6*(1+assumptions!$G$76)^3/12*(1+assumptions!$G$70+assumptions!$G$71+IF(46&gt;=assumptions!$G$73,assumptions!$G$72,0))+assumptions!$G$74/12)+IF(46=E6,D6*assumptions!$G$75,0),0)</f>
        <v>9096.43648</v>
      </c>
      <c r="BA6" s="19" t="n">
        <f aca="false">IF(AND(47&gt;=E6,OR(F6="",47&lt;=F6)),(D6*(1+assumptions!$G$76)^3/12*(1+assumptions!$G$70+assumptions!$G$71+IF(47&gt;=assumptions!$G$73,assumptions!$G$72,0))+assumptions!$G$74/12)+IF(47=E6,D6*assumptions!$G$75,0),0)</f>
        <v>9096.43648</v>
      </c>
      <c r="BB6" s="19" t="n">
        <f aca="false">IF(AND(48&gt;=E6,OR(F6="",48&lt;=F6)),(D6*(1+assumptions!$G$76)^3/12*(1+assumptions!$G$70+assumptions!$G$71+IF(48&gt;=assumptions!$G$73,assumptions!$G$72,0))+assumptions!$G$74/12)+IF(48=E6,D6*assumptions!$G$75,0),0)</f>
        <v>9096.43648</v>
      </c>
      <c r="BC6" s="19" t="n">
        <f aca="false">IF(AND(49&gt;=E6,OR(F6="",49&lt;=F6)),(D6*(1+assumptions!$G$76)^4/12*(1+assumptions!$G$70+assumptions!$G$71+IF(49&gt;=assumptions!$G$73,assumptions!$G$72,0))+assumptions!$G$74/12)+IF(49=E6,D6*assumptions!$G$75,0),0)</f>
        <v>9448.2939392</v>
      </c>
      <c r="BD6" s="19" t="n">
        <f aca="false">IF(AND(50&gt;=E6,OR(F6="",50&lt;=F6)),(D6*(1+assumptions!$G$76)^4/12*(1+assumptions!$G$70+assumptions!$G$71+IF(50&gt;=assumptions!$G$73,assumptions!$G$72,0))+assumptions!$G$74/12)+IF(50=E6,D6*assumptions!$G$75,0),0)</f>
        <v>9448.2939392</v>
      </c>
      <c r="BE6" s="19" t="n">
        <f aca="false">IF(AND(51&gt;=E6,OR(F6="",51&lt;=F6)),(D6*(1+assumptions!$G$76)^4/12*(1+assumptions!$G$70+assumptions!$G$71+IF(51&gt;=assumptions!$G$73,assumptions!$G$72,0))+assumptions!$G$74/12)+IF(51=E6,D6*assumptions!$G$75,0),0)</f>
        <v>9448.2939392</v>
      </c>
      <c r="BF6" s="19" t="n">
        <f aca="false">IF(AND(52&gt;=E6,OR(F6="",52&lt;=F6)),(D6*(1+assumptions!$G$76)^4/12*(1+assumptions!$G$70+assumptions!$G$71+IF(52&gt;=assumptions!$G$73,assumptions!$G$72,0))+assumptions!$G$74/12)+IF(52=E6,D6*assumptions!$G$75,0),0)</f>
        <v>9448.2939392</v>
      </c>
      <c r="BG6" s="19" t="n">
        <f aca="false">IF(AND(53&gt;=E6,OR(F6="",53&lt;=F6)),(D6*(1+assumptions!$G$76)^4/12*(1+assumptions!$G$70+assumptions!$G$71+IF(53&gt;=assumptions!$G$73,assumptions!$G$72,0))+assumptions!$G$74/12)+IF(53=E6,D6*assumptions!$G$75,0),0)</f>
        <v>9448.2939392</v>
      </c>
      <c r="BH6" s="19" t="n">
        <f aca="false">IF(AND(54&gt;=E6,OR(F6="",54&lt;=F6)),(D6*(1+assumptions!$G$76)^4/12*(1+assumptions!$G$70+assumptions!$G$71+IF(54&gt;=assumptions!$G$73,assumptions!$G$72,0))+assumptions!$G$74/12)+IF(54=E6,D6*assumptions!$G$75,0),0)</f>
        <v>9448.2939392</v>
      </c>
      <c r="BI6" s="19" t="n">
        <f aca="false">IF(AND(55&gt;=E6,OR(F6="",55&lt;=F6)),(D6*(1+assumptions!$G$76)^4/12*(1+assumptions!$G$70+assumptions!$G$71+IF(55&gt;=assumptions!$G$73,assumptions!$G$72,0))+assumptions!$G$74/12)+IF(55=E6,D6*assumptions!$G$75,0),0)</f>
        <v>9448.2939392</v>
      </c>
      <c r="BJ6" s="19" t="n">
        <f aca="false">IF(AND(56&gt;=E6,OR(F6="",56&lt;=F6)),(D6*(1+assumptions!$G$76)^4/12*(1+assumptions!$G$70+assumptions!$G$71+IF(56&gt;=assumptions!$G$73,assumptions!$G$72,0))+assumptions!$G$74/12)+IF(56=E6,D6*assumptions!$G$75,0),0)</f>
        <v>9448.2939392</v>
      </c>
      <c r="BK6" s="19" t="n">
        <f aca="false">IF(AND(57&gt;=E6,OR(F6="",57&lt;=F6)),(D6*(1+assumptions!$G$76)^4/12*(1+assumptions!$G$70+assumptions!$G$71+IF(57&gt;=assumptions!$G$73,assumptions!$G$72,0))+assumptions!$G$74/12)+IF(57=E6,D6*assumptions!$G$75,0),0)</f>
        <v>9448.2939392</v>
      </c>
      <c r="BL6" s="19" t="n">
        <f aca="false">IF(AND(58&gt;=E6,OR(F6="",58&lt;=F6)),(D6*(1+assumptions!$G$76)^4/12*(1+assumptions!$G$70+assumptions!$G$71+IF(58&gt;=assumptions!$G$73,assumptions!$G$72,0))+assumptions!$G$74/12)+IF(58=E6,D6*assumptions!$G$75,0),0)</f>
        <v>9448.2939392</v>
      </c>
      <c r="BM6" s="19" t="n">
        <f aca="false">IF(AND(59&gt;=E6,OR(F6="",59&lt;=F6)),(D6*(1+assumptions!$G$76)^4/12*(1+assumptions!$G$70+assumptions!$G$71+IF(59&gt;=assumptions!$G$73,assumptions!$G$72,0))+assumptions!$G$74/12)+IF(59=E6,D6*assumptions!$G$75,0),0)</f>
        <v>9448.2939392</v>
      </c>
      <c r="BN6" s="19" t="n">
        <f aca="false">IF(AND(60&gt;=E6,OR(F6="",60&lt;=F6)),(D6*(1+assumptions!$G$76)^4/12*(1+assumptions!$G$70+assumptions!$G$71+IF(60&gt;=assumptions!$G$73,assumptions!$G$72,0))+assumptions!$G$74/12)+IF(60=E6,D6*assumptions!$G$75,0),0)</f>
        <v>9448.2939392</v>
      </c>
    </row>
    <row r="7" customFormat="false" ht="14.25" hidden="false" customHeight="false" outlineLevel="0" collapsed="false">
      <c r="A7" s="7" t="n">
        <v>4</v>
      </c>
      <c r="B7" s="7" t="s">
        <v>341</v>
      </c>
      <c r="C7" s="7" t="s">
        <v>342</v>
      </c>
      <c r="D7" s="17" t="n">
        <v>75000</v>
      </c>
      <c r="E7" s="49" t="n">
        <v>1</v>
      </c>
      <c r="F7" s="49"/>
      <c r="G7" s="19" t="n">
        <f aca="false">IF(AND(1&gt;=E7,OR(F7="",1&lt;=F7)),(D7*(1+assumptions!$G$76)^0/12*(1+assumptions!$G$70+assumptions!$G$71+IF(1&gt;=assumptions!$G$73,assumptions!$G$72,0))+assumptions!$G$74/12)+IF(1=E7,D7*assumptions!$G$75,0),0)</f>
        <v>18850</v>
      </c>
      <c r="H7" s="19" t="n">
        <f aca="false">IF(AND(2&gt;=E7,OR(F7="",2&lt;=F7)),(D7*(1+assumptions!$G$76)^0/12*(1+assumptions!$G$70+assumptions!$G$71+IF(2&gt;=assumptions!$G$73,assumptions!$G$72,0))+assumptions!$G$74/12)+IF(2=E7,D7*assumptions!$G$75,0),0)</f>
        <v>7600</v>
      </c>
      <c r="I7" s="19" t="n">
        <f aca="false">IF(AND(3&gt;=E7,OR(F7="",3&lt;=F7)),(D7*(1+assumptions!$G$76)^0/12*(1+assumptions!$G$70+assumptions!$G$71+IF(3&gt;=assumptions!$G$73,assumptions!$G$72,0))+assumptions!$G$74/12)+IF(3=E7,D7*assumptions!$G$75,0),0)</f>
        <v>7600</v>
      </c>
      <c r="J7" s="19" t="n">
        <f aca="false">IF(AND(4&gt;=E7,OR(F7="",4&lt;=F7)),(D7*(1+assumptions!$G$76)^0/12*(1+assumptions!$G$70+assumptions!$G$71+IF(4&gt;=assumptions!$G$73,assumptions!$G$72,0))+assumptions!$G$74/12)+IF(4=E7,D7*assumptions!$G$75,0),0)</f>
        <v>7600</v>
      </c>
      <c r="K7" s="19" t="n">
        <f aca="false">IF(AND(5&gt;=E7,OR(F7="",5&lt;=F7)),(D7*(1+assumptions!$G$76)^0/12*(1+assumptions!$G$70+assumptions!$G$71+IF(5&gt;=assumptions!$G$73,assumptions!$G$72,0))+assumptions!$G$74/12)+IF(5=E7,D7*assumptions!$G$75,0),0)</f>
        <v>7600</v>
      </c>
      <c r="L7" s="19" t="n">
        <f aca="false">IF(AND(6&gt;=E7,OR(F7="",6&lt;=F7)),(D7*(1+assumptions!$G$76)^0/12*(1+assumptions!$G$70+assumptions!$G$71+IF(6&gt;=assumptions!$G$73,assumptions!$G$72,0))+assumptions!$G$74/12)+IF(6=E7,D7*assumptions!$G$75,0),0)</f>
        <v>7600</v>
      </c>
      <c r="M7" s="19" t="n">
        <f aca="false">IF(AND(7&gt;=E7,OR(F7="",7&lt;=F7)),(D7*(1+assumptions!$G$76)^0/12*(1+assumptions!$G$70+assumptions!$G$71+IF(7&gt;=assumptions!$G$73,assumptions!$G$72,0))+assumptions!$G$74/12)+IF(7=E7,D7*assumptions!$G$75,0),0)</f>
        <v>7600</v>
      </c>
      <c r="N7" s="19" t="n">
        <f aca="false">IF(AND(8&gt;=E7,OR(F7="",8&lt;=F7)),(D7*(1+assumptions!$G$76)^0/12*(1+assumptions!$G$70+assumptions!$G$71+IF(8&gt;=assumptions!$G$73,assumptions!$G$72,0))+assumptions!$G$74/12)+IF(8=E7,D7*assumptions!$G$75,0),0)</f>
        <v>7600</v>
      </c>
      <c r="O7" s="19" t="n">
        <f aca="false">IF(AND(9&gt;=E7,OR(F7="",9&lt;=F7)),(D7*(1+assumptions!$G$76)^0/12*(1+assumptions!$G$70+assumptions!$G$71+IF(9&gt;=assumptions!$G$73,assumptions!$G$72,0))+assumptions!$G$74/12)+IF(9=E7,D7*assumptions!$G$75,0),0)</f>
        <v>7600</v>
      </c>
      <c r="P7" s="19" t="n">
        <f aca="false">IF(AND(10&gt;=E7,OR(F7="",10&lt;=F7)),(D7*(1+assumptions!$G$76)^0/12*(1+assumptions!$G$70+assumptions!$G$71+IF(10&gt;=assumptions!$G$73,assumptions!$G$72,0))+assumptions!$G$74/12)+IF(10=E7,D7*assumptions!$G$75,0),0)</f>
        <v>7600</v>
      </c>
      <c r="Q7" s="19" t="n">
        <f aca="false">IF(AND(11&gt;=E7,OR(F7="",11&lt;=F7)),(D7*(1+assumptions!$G$76)^0/12*(1+assumptions!$G$70+assumptions!$G$71+IF(11&gt;=assumptions!$G$73,assumptions!$G$72,0))+assumptions!$G$74/12)+IF(11=E7,D7*assumptions!$G$75,0),0)</f>
        <v>7600</v>
      </c>
      <c r="R7" s="19" t="n">
        <f aca="false">IF(AND(12&gt;=E7,OR(F7="",12&lt;=F7)),(D7*(1+assumptions!$G$76)^0/12*(1+assumptions!$G$70+assumptions!$G$71+IF(12&gt;=assumptions!$G$73,assumptions!$G$72,0))+assumptions!$G$74/12)+IF(12=E7,D7*assumptions!$G$75,0),0)</f>
        <v>7600</v>
      </c>
      <c r="S7" s="19" t="n">
        <f aca="false">IF(AND(13&gt;=E7,OR(F7="",13&lt;=F7)),(D7*(1+assumptions!$G$76)^1/12*(1+assumptions!$G$70+assumptions!$G$71+IF(13&gt;=assumptions!$G$73,assumptions!$G$72,0))+assumptions!$G$74/12)+IF(13=E7,D7*assumptions!$G$75,0),0)</f>
        <v>7892</v>
      </c>
      <c r="T7" s="19" t="n">
        <f aca="false">IF(AND(14&gt;=E7,OR(F7="",14&lt;=F7)),(D7*(1+assumptions!$G$76)^1/12*(1+assumptions!$G$70+assumptions!$G$71+IF(14&gt;=assumptions!$G$73,assumptions!$G$72,0))+assumptions!$G$74/12)+IF(14=E7,D7*assumptions!$G$75,0),0)</f>
        <v>7892</v>
      </c>
      <c r="U7" s="19" t="n">
        <f aca="false">IF(AND(15&gt;=E7,OR(F7="",15&lt;=F7)),(D7*(1+assumptions!$G$76)^1/12*(1+assumptions!$G$70+assumptions!$G$71+IF(15&gt;=assumptions!$G$73,assumptions!$G$72,0))+assumptions!$G$74/12)+IF(15=E7,D7*assumptions!$G$75,0),0)</f>
        <v>7892</v>
      </c>
      <c r="V7" s="19" t="n">
        <f aca="false">IF(AND(16&gt;=E7,OR(F7="",16&lt;=F7)),(D7*(1+assumptions!$G$76)^1/12*(1+assumptions!$G$70+assumptions!$G$71+IF(16&gt;=assumptions!$G$73,assumptions!$G$72,0))+assumptions!$G$74/12)+IF(16=E7,D7*assumptions!$G$75,0),0)</f>
        <v>7892</v>
      </c>
      <c r="W7" s="19" t="n">
        <f aca="false">IF(AND(17&gt;=E7,OR(F7="",17&lt;=F7)),(D7*(1+assumptions!$G$76)^1/12*(1+assumptions!$G$70+assumptions!$G$71+IF(17&gt;=assumptions!$G$73,assumptions!$G$72,0))+assumptions!$G$74/12)+IF(17=E7,D7*assumptions!$G$75,0),0)</f>
        <v>7892</v>
      </c>
      <c r="X7" s="19" t="n">
        <f aca="false">IF(AND(18&gt;=E7,OR(F7="",18&lt;=F7)),(D7*(1+assumptions!$G$76)^1/12*(1+assumptions!$G$70+assumptions!$G$71+IF(18&gt;=assumptions!$G$73,assumptions!$G$72,0))+assumptions!$G$74/12)+IF(18=E7,D7*assumptions!$G$75,0),0)</f>
        <v>7892</v>
      </c>
      <c r="Y7" s="19" t="n">
        <f aca="false">IF(AND(19&gt;=E7,OR(F7="",19&lt;=F7)),(D7*(1+assumptions!$G$76)^1/12*(1+assumptions!$G$70+assumptions!$G$71+IF(19&gt;=assumptions!$G$73,assumptions!$G$72,0))+assumptions!$G$74/12)+IF(19=E7,D7*assumptions!$G$75,0),0)</f>
        <v>7892</v>
      </c>
      <c r="Z7" s="19" t="n">
        <f aca="false">IF(AND(20&gt;=E7,OR(F7="",20&lt;=F7)),(D7*(1+assumptions!$G$76)^1/12*(1+assumptions!$G$70+assumptions!$G$71+IF(20&gt;=assumptions!$G$73,assumptions!$G$72,0))+assumptions!$G$74/12)+IF(20=E7,D7*assumptions!$G$75,0),0)</f>
        <v>7892</v>
      </c>
      <c r="AA7" s="19" t="n">
        <f aca="false">IF(AND(21&gt;=E7,OR(F7="",21&lt;=F7)),(D7*(1+assumptions!$G$76)^1/12*(1+assumptions!$G$70+assumptions!$G$71+IF(21&gt;=assumptions!$G$73,assumptions!$G$72,0))+assumptions!$G$74/12)+IF(21=E7,D7*assumptions!$G$75,0),0)</f>
        <v>7892</v>
      </c>
      <c r="AB7" s="19" t="n">
        <f aca="false">IF(AND(22&gt;=E7,OR(F7="",22&lt;=F7)),(D7*(1+assumptions!$G$76)^1/12*(1+assumptions!$G$70+assumptions!$G$71+IF(22&gt;=assumptions!$G$73,assumptions!$G$72,0))+assumptions!$G$74/12)+IF(22=E7,D7*assumptions!$G$75,0),0)</f>
        <v>7892</v>
      </c>
      <c r="AC7" s="19" t="n">
        <f aca="false">IF(AND(23&gt;=E7,OR(F7="",23&lt;=F7)),(D7*(1+assumptions!$G$76)^1/12*(1+assumptions!$G$70+assumptions!$G$71+IF(23&gt;=assumptions!$G$73,assumptions!$G$72,0))+assumptions!$G$74/12)+IF(23=E7,D7*assumptions!$G$75,0),0)</f>
        <v>7892</v>
      </c>
      <c r="AD7" s="19" t="n">
        <f aca="false">IF(AND(24&gt;=E7,OR(F7="",24&lt;=F7)),(D7*(1+assumptions!$G$76)^1/12*(1+assumptions!$G$70+assumptions!$G$71+IF(24&gt;=assumptions!$G$73,assumptions!$G$72,0))+assumptions!$G$74/12)+IF(24=E7,D7*assumptions!$G$75,0),0)</f>
        <v>7924.5</v>
      </c>
      <c r="AE7" s="19" t="n">
        <f aca="false">IF(AND(25&gt;=E7,OR(F7="",25&lt;=F7)),(D7*(1+assumptions!$G$76)^2/12*(1+assumptions!$G$70+assumptions!$G$71+IF(25&gt;=assumptions!$G$73,assumptions!$G$72,0))+assumptions!$G$74/12)+IF(25=E7,D7*assumptions!$G$75,0),0)</f>
        <v>8229.48</v>
      </c>
      <c r="AF7" s="19" t="n">
        <f aca="false">IF(AND(26&gt;=E7,OR(F7="",26&lt;=F7)),(D7*(1+assumptions!$G$76)^2/12*(1+assumptions!$G$70+assumptions!$G$71+IF(26&gt;=assumptions!$G$73,assumptions!$G$72,0))+assumptions!$G$74/12)+IF(26=E7,D7*assumptions!$G$75,0),0)</f>
        <v>8229.48</v>
      </c>
      <c r="AG7" s="19" t="n">
        <f aca="false">IF(AND(27&gt;=E7,OR(F7="",27&lt;=F7)),(D7*(1+assumptions!$G$76)^2/12*(1+assumptions!$G$70+assumptions!$G$71+IF(27&gt;=assumptions!$G$73,assumptions!$G$72,0))+assumptions!$G$74/12)+IF(27=E7,D7*assumptions!$G$75,0),0)</f>
        <v>8229.48</v>
      </c>
      <c r="AH7" s="19" t="n">
        <f aca="false">IF(AND(28&gt;=E7,OR(F7="",28&lt;=F7)),(D7*(1+assumptions!$G$76)^2/12*(1+assumptions!$G$70+assumptions!$G$71+IF(28&gt;=assumptions!$G$73,assumptions!$G$72,0))+assumptions!$G$74/12)+IF(28=E7,D7*assumptions!$G$75,0),0)</f>
        <v>8229.48</v>
      </c>
      <c r="AI7" s="19" t="n">
        <f aca="false">IF(AND(29&gt;=E7,OR(F7="",29&lt;=F7)),(D7*(1+assumptions!$G$76)^2/12*(1+assumptions!$G$70+assumptions!$G$71+IF(29&gt;=assumptions!$G$73,assumptions!$G$72,0))+assumptions!$G$74/12)+IF(29=E7,D7*assumptions!$G$75,0),0)</f>
        <v>8229.48</v>
      </c>
      <c r="AJ7" s="19" t="n">
        <f aca="false">IF(AND(30&gt;=E7,OR(F7="",30&lt;=F7)),(D7*(1+assumptions!$G$76)^2/12*(1+assumptions!$G$70+assumptions!$G$71+IF(30&gt;=assumptions!$G$73,assumptions!$G$72,0))+assumptions!$G$74/12)+IF(30=E7,D7*assumptions!$G$75,0),0)</f>
        <v>8229.48</v>
      </c>
      <c r="AK7" s="19" t="n">
        <f aca="false">IF(AND(31&gt;=E7,OR(F7="",31&lt;=F7)),(D7*(1+assumptions!$G$76)^2/12*(1+assumptions!$G$70+assumptions!$G$71+IF(31&gt;=assumptions!$G$73,assumptions!$G$72,0))+assumptions!$G$74/12)+IF(31=E7,D7*assumptions!$G$75,0),0)</f>
        <v>8229.48</v>
      </c>
      <c r="AL7" s="19" t="n">
        <f aca="false">IF(AND(32&gt;=E7,OR(F7="",32&lt;=F7)),(D7*(1+assumptions!$G$76)^2/12*(1+assumptions!$G$70+assumptions!$G$71+IF(32&gt;=assumptions!$G$73,assumptions!$G$72,0))+assumptions!$G$74/12)+IF(32=E7,D7*assumptions!$G$75,0),0)</f>
        <v>8229.48</v>
      </c>
      <c r="AM7" s="19" t="n">
        <f aca="false">IF(AND(33&gt;=E7,OR(F7="",33&lt;=F7)),(D7*(1+assumptions!$G$76)^2/12*(1+assumptions!$G$70+assumptions!$G$71+IF(33&gt;=assumptions!$G$73,assumptions!$G$72,0))+assumptions!$G$74/12)+IF(33=E7,D7*assumptions!$G$75,0),0)</f>
        <v>8229.48</v>
      </c>
      <c r="AN7" s="19" t="n">
        <f aca="false">IF(AND(34&gt;=E7,OR(F7="",34&lt;=F7)),(D7*(1+assumptions!$G$76)^2/12*(1+assumptions!$G$70+assumptions!$G$71+IF(34&gt;=assumptions!$G$73,assumptions!$G$72,0))+assumptions!$G$74/12)+IF(34=E7,D7*assumptions!$G$75,0),0)</f>
        <v>8229.48</v>
      </c>
      <c r="AO7" s="19" t="n">
        <f aca="false">IF(AND(35&gt;=E7,OR(F7="",35&lt;=F7)),(D7*(1+assumptions!$G$76)^2/12*(1+assumptions!$G$70+assumptions!$G$71+IF(35&gt;=assumptions!$G$73,assumptions!$G$72,0))+assumptions!$G$74/12)+IF(35=E7,D7*assumptions!$G$75,0),0)</f>
        <v>8229.48</v>
      </c>
      <c r="AP7" s="19" t="n">
        <f aca="false">IF(AND(36&gt;=E7,OR(F7="",36&lt;=F7)),(D7*(1+assumptions!$G$76)^2/12*(1+assumptions!$G$70+assumptions!$G$71+IF(36&gt;=assumptions!$G$73,assumptions!$G$72,0))+assumptions!$G$74/12)+IF(36=E7,D7*assumptions!$G$75,0),0)</f>
        <v>8229.48</v>
      </c>
      <c r="AQ7" s="19" t="n">
        <f aca="false">IF(AND(37&gt;=E7,OR(F7="",37&lt;=F7)),(D7*(1+assumptions!$G$76)^3/12*(1+assumptions!$G$70+assumptions!$G$71+IF(37&gt;=assumptions!$G$73,assumptions!$G$72,0))+assumptions!$G$74/12)+IF(37=E7,D7*assumptions!$G$75,0),0)</f>
        <v>8546.6592</v>
      </c>
      <c r="AR7" s="19" t="n">
        <f aca="false">IF(AND(38&gt;=E7,OR(F7="",38&lt;=F7)),(D7*(1+assumptions!$G$76)^3/12*(1+assumptions!$G$70+assumptions!$G$71+IF(38&gt;=assumptions!$G$73,assumptions!$G$72,0))+assumptions!$G$74/12)+IF(38=E7,D7*assumptions!$G$75,0),0)</f>
        <v>8546.6592</v>
      </c>
      <c r="AS7" s="19" t="n">
        <f aca="false">IF(AND(39&gt;=E7,OR(F7="",39&lt;=F7)),(D7*(1+assumptions!$G$76)^3/12*(1+assumptions!$G$70+assumptions!$G$71+IF(39&gt;=assumptions!$G$73,assumptions!$G$72,0))+assumptions!$G$74/12)+IF(39=E7,D7*assumptions!$G$75,0),0)</f>
        <v>8546.6592</v>
      </c>
      <c r="AT7" s="19" t="n">
        <f aca="false">IF(AND(40&gt;=E7,OR(F7="",40&lt;=F7)),(D7*(1+assumptions!$G$76)^3/12*(1+assumptions!$G$70+assumptions!$G$71+IF(40&gt;=assumptions!$G$73,assumptions!$G$72,0))+assumptions!$G$74/12)+IF(40=E7,D7*assumptions!$G$75,0),0)</f>
        <v>8546.6592</v>
      </c>
      <c r="AU7" s="19" t="n">
        <f aca="false">IF(AND(41&gt;=E7,OR(F7="",41&lt;=F7)),(D7*(1+assumptions!$G$76)^3/12*(1+assumptions!$G$70+assumptions!$G$71+IF(41&gt;=assumptions!$G$73,assumptions!$G$72,0))+assumptions!$G$74/12)+IF(41=E7,D7*assumptions!$G$75,0),0)</f>
        <v>8546.6592</v>
      </c>
      <c r="AV7" s="19" t="n">
        <f aca="false">IF(AND(42&gt;=E7,OR(F7="",42&lt;=F7)),(D7*(1+assumptions!$G$76)^3/12*(1+assumptions!$G$70+assumptions!$G$71+IF(42&gt;=assumptions!$G$73,assumptions!$G$72,0))+assumptions!$G$74/12)+IF(42=E7,D7*assumptions!$G$75,0),0)</f>
        <v>8546.6592</v>
      </c>
      <c r="AW7" s="19" t="n">
        <f aca="false">IF(AND(43&gt;=E7,OR(F7="",43&lt;=F7)),(D7*(1+assumptions!$G$76)^3/12*(1+assumptions!$G$70+assumptions!$G$71+IF(43&gt;=assumptions!$G$73,assumptions!$G$72,0))+assumptions!$G$74/12)+IF(43=E7,D7*assumptions!$G$75,0),0)</f>
        <v>8546.6592</v>
      </c>
      <c r="AX7" s="19" t="n">
        <f aca="false">IF(AND(44&gt;=E7,OR(F7="",44&lt;=F7)),(D7*(1+assumptions!$G$76)^3/12*(1+assumptions!$G$70+assumptions!$G$71+IF(44&gt;=assumptions!$G$73,assumptions!$G$72,0))+assumptions!$G$74/12)+IF(44=E7,D7*assumptions!$G$75,0),0)</f>
        <v>8546.6592</v>
      </c>
      <c r="AY7" s="19" t="n">
        <f aca="false">IF(AND(45&gt;=E7,OR(F7="",45&lt;=F7)),(D7*(1+assumptions!$G$76)^3/12*(1+assumptions!$G$70+assumptions!$G$71+IF(45&gt;=assumptions!$G$73,assumptions!$G$72,0))+assumptions!$G$74/12)+IF(45=E7,D7*assumptions!$G$75,0),0)</f>
        <v>8546.6592</v>
      </c>
      <c r="AZ7" s="19" t="n">
        <f aca="false">IF(AND(46&gt;=E7,OR(F7="",46&lt;=F7)),(D7*(1+assumptions!$G$76)^3/12*(1+assumptions!$G$70+assumptions!$G$71+IF(46&gt;=assumptions!$G$73,assumptions!$G$72,0))+assumptions!$G$74/12)+IF(46=E7,D7*assumptions!$G$75,0),0)</f>
        <v>8546.6592</v>
      </c>
      <c r="BA7" s="19" t="n">
        <f aca="false">IF(AND(47&gt;=E7,OR(F7="",47&lt;=F7)),(D7*(1+assumptions!$G$76)^3/12*(1+assumptions!$G$70+assumptions!$G$71+IF(47&gt;=assumptions!$G$73,assumptions!$G$72,0))+assumptions!$G$74/12)+IF(47=E7,D7*assumptions!$G$75,0),0)</f>
        <v>8546.6592</v>
      </c>
      <c r="BB7" s="19" t="n">
        <f aca="false">IF(AND(48&gt;=E7,OR(F7="",48&lt;=F7)),(D7*(1+assumptions!$G$76)^3/12*(1+assumptions!$G$70+assumptions!$G$71+IF(48&gt;=assumptions!$G$73,assumptions!$G$72,0))+assumptions!$G$74/12)+IF(48=E7,D7*assumptions!$G$75,0),0)</f>
        <v>8546.6592</v>
      </c>
      <c r="BC7" s="19" t="n">
        <f aca="false">IF(AND(49&gt;=E7,OR(F7="",49&lt;=F7)),(D7*(1+assumptions!$G$76)^4/12*(1+assumptions!$G$70+assumptions!$G$71+IF(49&gt;=assumptions!$G$73,assumptions!$G$72,0))+assumptions!$G$74/12)+IF(49=E7,D7*assumptions!$G$75,0),0)</f>
        <v>8876.525568</v>
      </c>
      <c r="BD7" s="19" t="n">
        <f aca="false">IF(AND(50&gt;=E7,OR(F7="",50&lt;=F7)),(D7*(1+assumptions!$G$76)^4/12*(1+assumptions!$G$70+assumptions!$G$71+IF(50&gt;=assumptions!$G$73,assumptions!$G$72,0))+assumptions!$G$74/12)+IF(50=E7,D7*assumptions!$G$75,0),0)</f>
        <v>8876.525568</v>
      </c>
      <c r="BE7" s="19" t="n">
        <f aca="false">IF(AND(51&gt;=E7,OR(F7="",51&lt;=F7)),(D7*(1+assumptions!$G$76)^4/12*(1+assumptions!$G$70+assumptions!$G$71+IF(51&gt;=assumptions!$G$73,assumptions!$G$72,0))+assumptions!$G$74/12)+IF(51=E7,D7*assumptions!$G$75,0),0)</f>
        <v>8876.525568</v>
      </c>
      <c r="BF7" s="19" t="n">
        <f aca="false">IF(AND(52&gt;=E7,OR(F7="",52&lt;=F7)),(D7*(1+assumptions!$G$76)^4/12*(1+assumptions!$G$70+assumptions!$G$71+IF(52&gt;=assumptions!$G$73,assumptions!$G$72,0))+assumptions!$G$74/12)+IF(52=E7,D7*assumptions!$G$75,0),0)</f>
        <v>8876.525568</v>
      </c>
      <c r="BG7" s="19" t="n">
        <f aca="false">IF(AND(53&gt;=E7,OR(F7="",53&lt;=F7)),(D7*(1+assumptions!$G$76)^4/12*(1+assumptions!$G$70+assumptions!$G$71+IF(53&gt;=assumptions!$G$73,assumptions!$G$72,0))+assumptions!$G$74/12)+IF(53=E7,D7*assumptions!$G$75,0),0)</f>
        <v>8876.525568</v>
      </c>
      <c r="BH7" s="19" t="n">
        <f aca="false">IF(AND(54&gt;=E7,OR(F7="",54&lt;=F7)),(D7*(1+assumptions!$G$76)^4/12*(1+assumptions!$G$70+assumptions!$G$71+IF(54&gt;=assumptions!$G$73,assumptions!$G$72,0))+assumptions!$G$74/12)+IF(54=E7,D7*assumptions!$G$75,0),0)</f>
        <v>8876.525568</v>
      </c>
      <c r="BI7" s="19" t="n">
        <f aca="false">IF(AND(55&gt;=E7,OR(F7="",55&lt;=F7)),(D7*(1+assumptions!$G$76)^4/12*(1+assumptions!$G$70+assumptions!$G$71+IF(55&gt;=assumptions!$G$73,assumptions!$G$72,0))+assumptions!$G$74/12)+IF(55=E7,D7*assumptions!$G$75,0),0)</f>
        <v>8876.525568</v>
      </c>
      <c r="BJ7" s="19" t="n">
        <f aca="false">IF(AND(56&gt;=E7,OR(F7="",56&lt;=F7)),(D7*(1+assumptions!$G$76)^4/12*(1+assumptions!$G$70+assumptions!$G$71+IF(56&gt;=assumptions!$G$73,assumptions!$G$72,0))+assumptions!$G$74/12)+IF(56=E7,D7*assumptions!$G$75,0),0)</f>
        <v>8876.525568</v>
      </c>
      <c r="BK7" s="19" t="n">
        <f aca="false">IF(AND(57&gt;=E7,OR(F7="",57&lt;=F7)),(D7*(1+assumptions!$G$76)^4/12*(1+assumptions!$G$70+assumptions!$G$71+IF(57&gt;=assumptions!$G$73,assumptions!$G$72,0))+assumptions!$G$74/12)+IF(57=E7,D7*assumptions!$G$75,0),0)</f>
        <v>8876.525568</v>
      </c>
      <c r="BL7" s="19" t="n">
        <f aca="false">IF(AND(58&gt;=E7,OR(F7="",58&lt;=F7)),(D7*(1+assumptions!$G$76)^4/12*(1+assumptions!$G$70+assumptions!$G$71+IF(58&gt;=assumptions!$G$73,assumptions!$G$72,0))+assumptions!$G$74/12)+IF(58=E7,D7*assumptions!$G$75,0),0)</f>
        <v>8876.525568</v>
      </c>
      <c r="BM7" s="19" t="n">
        <f aca="false">IF(AND(59&gt;=E7,OR(F7="",59&lt;=F7)),(D7*(1+assumptions!$G$76)^4/12*(1+assumptions!$G$70+assumptions!$G$71+IF(59&gt;=assumptions!$G$73,assumptions!$G$72,0))+assumptions!$G$74/12)+IF(59=E7,D7*assumptions!$G$75,0),0)</f>
        <v>8876.525568</v>
      </c>
      <c r="BN7" s="19" t="n">
        <f aca="false">IF(AND(60&gt;=E7,OR(F7="",60&lt;=F7)),(D7*(1+assumptions!$G$76)^4/12*(1+assumptions!$G$70+assumptions!$G$71+IF(60&gt;=assumptions!$G$73,assumptions!$G$72,0))+assumptions!$G$74/12)+IF(60=E7,D7*assumptions!$G$75,0),0)</f>
        <v>8876.525568</v>
      </c>
    </row>
    <row r="8" customFormat="false" ht="14.25" hidden="false" customHeight="false" outlineLevel="0" collapsed="false">
      <c r="A8" s="7" t="n">
        <v>5</v>
      </c>
      <c r="B8" s="7" t="s">
        <v>343</v>
      </c>
      <c r="C8" s="7" t="s">
        <v>340</v>
      </c>
      <c r="D8" s="17" t="n">
        <v>90000</v>
      </c>
      <c r="E8" s="49" t="n">
        <v>2</v>
      </c>
      <c r="F8" s="49"/>
      <c r="G8" s="19" t="n">
        <f aca="false">IF(AND(1&gt;=E8,OR(F8="",1&lt;=F8)),(D8*(1+assumptions!$G$76)^0/12*(1+assumptions!$G$70+assumptions!$G$71+IF(1&gt;=assumptions!$G$73,assumptions!$G$72,0))+assumptions!$G$74/12)+IF(1=E8,D8*assumptions!$G$75,0),0)</f>
        <v>0</v>
      </c>
      <c r="H8" s="19" t="n">
        <f aca="false">IF(AND(2&gt;=E8,OR(F8="",2&lt;=F8)),(D8*(1+assumptions!$G$76)^0/12*(1+assumptions!$G$70+assumptions!$G$71+IF(2&gt;=assumptions!$G$73,assumptions!$G$72,0))+assumptions!$G$74/12)+IF(2=E8,D8*assumptions!$G$75,0),0)</f>
        <v>22560</v>
      </c>
      <c r="I8" s="19" t="n">
        <f aca="false">IF(AND(3&gt;=E8,OR(F8="",3&lt;=F8)),(D8*(1+assumptions!$G$76)^0/12*(1+assumptions!$G$70+assumptions!$G$71+IF(3&gt;=assumptions!$G$73,assumptions!$G$72,0))+assumptions!$G$74/12)+IF(3=E8,D8*assumptions!$G$75,0),0)</f>
        <v>9060</v>
      </c>
      <c r="J8" s="19" t="n">
        <f aca="false">IF(AND(4&gt;=E8,OR(F8="",4&lt;=F8)),(D8*(1+assumptions!$G$76)^0/12*(1+assumptions!$G$70+assumptions!$G$71+IF(4&gt;=assumptions!$G$73,assumptions!$G$72,0))+assumptions!$G$74/12)+IF(4=E8,D8*assumptions!$G$75,0),0)</f>
        <v>9060</v>
      </c>
      <c r="K8" s="19" t="n">
        <f aca="false">IF(AND(5&gt;=E8,OR(F8="",5&lt;=F8)),(D8*(1+assumptions!$G$76)^0/12*(1+assumptions!$G$70+assumptions!$G$71+IF(5&gt;=assumptions!$G$73,assumptions!$G$72,0))+assumptions!$G$74/12)+IF(5=E8,D8*assumptions!$G$75,0),0)</f>
        <v>9060</v>
      </c>
      <c r="L8" s="19" t="n">
        <f aca="false">IF(AND(6&gt;=E8,OR(F8="",6&lt;=F8)),(D8*(1+assumptions!$G$76)^0/12*(1+assumptions!$G$70+assumptions!$G$71+IF(6&gt;=assumptions!$G$73,assumptions!$G$72,0))+assumptions!$G$74/12)+IF(6=E8,D8*assumptions!$G$75,0),0)</f>
        <v>9060</v>
      </c>
      <c r="M8" s="19" t="n">
        <f aca="false">IF(AND(7&gt;=E8,OR(F8="",7&lt;=F8)),(D8*(1+assumptions!$G$76)^0/12*(1+assumptions!$G$70+assumptions!$G$71+IF(7&gt;=assumptions!$G$73,assumptions!$G$72,0))+assumptions!$G$74/12)+IF(7=E8,D8*assumptions!$G$75,0),0)</f>
        <v>9060</v>
      </c>
      <c r="N8" s="19" t="n">
        <f aca="false">IF(AND(8&gt;=E8,OR(F8="",8&lt;=F8)),(D8*(1+assumptions!$G$76)^0/12*(1+assumptions!$G$70+assumptions!$G$71+IF(8&gt;=assumptions!$G$73,assumptions!$G$72,0))+assumptions!$G$74/12)+IF(8=E8,D8*assumptions!$G$75,0),0)</f>
        <v>9060</v>
      </c>
      <c r="O8" s="19" t="n">
        <f aca="false">IF(AND(9&gt;=E8,OR(F8="",9&lt;=F8)),(D8*(1+assumptions!$G$76)^0/12*(1+assumptions!$G$70+assumptions!$G$71+IF(9&gt;=assumptions!$G$73,assumptions!$G$72,0))+assumptions!$G$74/12)+IF(9=E8,D8*assumptions!$G$75,0),0)</f>
        <v>9060</v>
      </c>
      <c r="P8" s="19" t="n">
        <f aca="false">IF(AND(10&gt;=E8,OR(F8="",10&lt;=F8)),(D8*(1+assumptions!$G$76)^0/12*(1+assumptions!$G$70+assumptions!$G$71+IF(10&gt;=assumptions!$G$73,assumptions!$G$72,0))+assumptions!$G$74/12)+IF(10=E8,D8*assumptions!$G$75,0),0)</f>
        <v>9060</v>
      </c>
      <c r="Q8" s="19" t="n">
        <f aca="false">IF(AND(11&gt;=E8,OR(F8="",11&lt;=F8)),(D8*(1+assumptions!$G$76)^0/12*(1+assumptions!$G$70+assumptions!$G$71+IF(11&gt;=assumptions!$G$73,assumptions!$G$72,0))+assumptions!$G$74/12)+IF(11=E8,D8*assumptions!$G$75,0),0)</f>
        <v>9060</v>
      </c>
      <c r="R8" s="19" t="n">
        <f aca="false">IF(AND(12&gt;=E8,OR(F8="",12&lt;=F8)),(D8*(1+assumptions!$G$76)^0/12*(1+assumptions!$G$70+assumptions!$G$71+IF(12&gt;=assumptions!$G$73,assumptions!$G$72,0))+assumptions!$G$74/12)+IF(12=E8,D8*assumptions!$G$75,0),0)</f>
        <v>9060</v>
      </c>
      <c r="S8" s="19" t="n">
        <f aca="false">IF(AND(13&gt;=E8,OR(F8="",13&lt;=F8)),(D8*(1+assumptions!$G$76)^1/12*(1+assumptions!$G$70+assumptions!$G$71+IF(13&gt;=assumptions!$G$73,assumptions!$G$72,0))+assumptions!$G$74/12)+IF(13=E8,D8*assumptions!$G$75,0),0)</f>
        <v>9410.4</v>
      </c>
      <c r="T8" s="19" t="n">
        <f aca="false">IF(AND(14&gt;=E8,OR(F8="",14&lt;=F8)),(D8*(1+assumptions!$G$76)^1/12*(1+assumptions!$G$70+assumptions!$G$71+IF(14&gt;=assumptions!$G$73,assumptions!$G$72,0))+assumptions!$G$74/12)+IF(14=E8,D8*assumptions!$G$75,0),0)</f>
        <v>9410.4</v>
      </c>
      <c r="U8" s="19" t="n">
        <f aca="false">IF(AND(15&gt;=E8,OR(F8="",15&lt;=F8)),(D8*(1+assumptions!$G$76)^1/12*(1+assumptions!$G$70+assumptions!$G$71+IF(15&gt;=assumptions!$G$73,assumptions!$G$72,0))+assumptions!$G$74/12)+IF(15=E8,D8*assumptions!$G$75,0),0)</f>
        <v>9410.4</v>
      </c>
      <c r="V8" s="19" t="n">
        <f aca="false">IF(AND(16&gt;=E8,OR(F8="",16&lt;=F8)),(D8*(1+assumptions!$G$76)^1/12*(1+assumptions!$G$70+assumptions!$G$71+IF(16&gt;=assumptions!$G$73,assumptions!$G$72,0))+assumptions!$G$74/12)+IF(16=E8,D8*assumptions!$G$75,0),0)</f>
        <v>9410.4</v>
      </c>
      <c r="W8" s="19" t="n">
        <f aca="false">IF(AND(17&gt;=E8,OR(F8="",17&lt;=F8)),(D8*(1+assumptions!$G$76)^1/12*(1+assumptions!$G$70+assumptions!$G$71+IF(17&gt;=assumptions!$G$73,assumptions!$G$72,0))+assumptions!$G$74/12)+IF(17=E8,D8*assumptions!$G$75,0),0)</f>
        <v>9410.4</v>
      </c>
      <c r="X8" s="19" t="n">
        <f aca="false">IF(AND(18&gt;=E8,OR(F8="",18&lt;=F8)),(D8*(1+assumptions!$G$76)^1/12*(1+assumptions!$G$70+assumptions!$G$71+IF(18&gt;=assumptions!$G$73,assumptions!$G$72,0))+assumptions!$G$74/12)+IF(18=E8,D8*assumptions!$G$75,0),0)</f>
        <v>9410.4</v>
      </c>
      <c r="Y8" s="19" t="n">
        <f aca="false">IF(AND(19&gt;=E8,OR(F8="",19&lt;=F8)),(D8*(1+assumptions!$G$76)^1/12*(1+assumptions!$G$70+assumptions!$G$71+IF(19&gt;=assumptions!$G$73,assumptions!$G$72,0))+assumptions!$G$74/12)+IF(19=E8,D8*assumptions!$G$75,0),0)</f>
        <v>9410.4</v>
      </c>
      <c r="Z8" s="19" t="n">
        <f aca="false">IF(AND(20&gt;=E8,OR(F8="",20&lt;=F8)),(D8*(1+assumptions!$G$76)^1/12*(1+assumptions!$G$70+assumptions!$G$71+IF(20&gt;=assumptions!$G$73,assumptions!$G$72,0))+assumptions!$G$74/12)+IF(20=E8,D8*assumptions!$G$75,0),0)</f>
        <v>9410.4</v>
      </c>
      <c r="AA8" s="19" t="n">
        <f aca="false">IF(AND(21&gt;=E8,OR(F8="",21&lt;=F8)),(D8*(1+assumptions!$G$76)^1/12*(1+assumptions!$G$70+assumptions!$G$71+IF(21&gt;=assumptions!$G$73,assumptions!$G$72,0))+assumptions!$G$74/12)+IF(21=E8,D8*assumptions!$G$75,0),0)</f>
        <v>9410.4</v>
      </c>
      <c r="AB8" s="19" t="n">
        <f aca="false">IF(AND(22&gt;=E8,OR(F8="",22&lt;=F8)),(D8*(1+assumptions!$G$76)^1/12*(1+assumptions!$G$70+assumptions!$G$71+IF(22&gt;=assumptions!$G$73,assumptions!$G$72,0))+assumptions!$G$74/12)+IF(22=E8,D8*assumptions!$G$75,0),0)</f>
        <v>9410.4</v>
      </c>
      <c r="AC8" s="19" t="n">
        <f aca="false">IF(AND(23&gt;=E8,OR(F8="",23&lt;=F8)),(D8*(1+assumptions!$G$76)^1/12*(1+assumptions!$G$70+assumptions!$G$71+IF(23&gt;=assumptions!$G$73,assumptions!$G$72,0))+assumptions!$G$74/12)+IF(23=E8,D8*assumptions!$G$75,0),0)</f>
        <v>9410.4</v>
      </c>
      <c r="AD8" s="19" t="n">
        <f aca="false">IF(AND(24&gt;=E8,OR(F8="",24&lt;=F8)),(D8*(1+assumptions!$G$76)^1/12*(1+assumptions!$G$70+assumptions!$G$71+IF(24&gt;=assumptions!$G$73,assumptions!$G$72,0))+assumptions!$G$74/12)+IF(24=E8,D8*assumptions!$G$75,0),0)</f>
        <v>9449.4</v>
      </c>
      <c r="AE8" s="19" t="n">
        <f aca="false">IF(AND(25&gt;=E8,OR(F8="",25&lt;=F8)),(D8*(1+assumptions!$G$76)^2/12*(1+assumptions!$G$70+assumptions!$G$71+IF(25&gt;=assumptions!$G$73,assumptions!$G$72,0))+assumptions!$G$74/12)+IF(25=E8,D8*assumptions!$G$75,0),0)</f>
        <v>9815.376</v>
      </c>
      <c r="AF8" s="19" t="n">
        <f aca="false">IF(AND(26&gt;=E8,OR(F8="",26&lt;=F8)),(D8*(1+assumptions!$G$76)^2/12*(1+assumptions!$G$70+assumptions!$G$71+IF(26&gt;=assumptions!$G$73,assumptions!$G$72,0))+assumptions!$G$74/12)+IF(26=E8,D8*assumptions!$G$75,0),0)</f>
        <v>9815.376</v>
      </c>
      <c r="AG8" s="19" t="n">
        <f aca="false">IF(AND(27&gt;=E8,OR(F8="",27&lt;=F8)),(D8*(1+assumptions!$G$76)^2/12*(1+assumptions!$G$70+assumptions!$G$71+IF(27&gt;=assumptions!$G$73,assumptions!$G$72,0))+assumptions!$G$74/12)+IF(27=E8,D8*assumptions!$G$75,0),0)</f>
        <v>9815.376</v>
      </c>
      <c r="AH8" s="19" t="n">
        <f aca="false">IF(AND(28&gt;=E8,OR(F8="",28&lt;=F8)),(D8*(1+assumptions!$G$76)^2/12*(1+assumptions!$G$70+assumptions!$G$71+IF(28&gt;=assumptions!$G$73,assumptions!$G$72,0))+assumptions!$G$74/12)+IF(28=E8,D8*assumptions!$G$75,0),0)</f>
        <v>9815.376</v>
      </c>
      <c r="AI8" s="19" t="n">
        <f aca="false">IF(AND(29&gt;=E8,OR(F8="",29&lt;=F8)),(D8*(1+assumptions!$G$76)^2/12*(1+assumptions!$G$70+assumptions!$G$71+IF(29&gt;=assumptions!$G$73,assumptions!$G$72,0))+assumptions!$G$74/12)+IF(29=E8,D8*assumptions!$G$75,0),0)</f>
        <v>9815.376</v>
      </c>
      <c r="AJ8" s="19" t="n">
        <f aca="false">IF(AND(30&gt;=E8,OR(F8="",30&lt;=F8)),(D8*(1+assumptions!$G$76)^2/12*(1+assumptions!$G$70+assumptions!$G$71+IF(30&gt;=assumptions!$G$73,assumptions!$G$72,0))+assumptions!$G$74/12)+IF(30=E8,D8*assumptions!$G$75,0),0)</f>
        <v>9815.376</v>
      </c>
      <c r="AK8" s="19" t="n">
        <f aca="false">IF(AND(31&gt;=E8,OR(F8="",31&lt;=F8)),(D8*(1+assumptions!$G$76)^2/12*(1+assumptions!$G$70+assumptions!$G$71+IF(31&gt;=assumptions!$G$73,assumptions!$G$72,0))+assumptions!$G$74/12)+IF(31=E8,D8*assumptions!$G$75,0),0)</f>
        <v>9815.376</v>
      </c>
      <c r="AL8" s="19" t="n">
        <f aca="false">IF(AND(32&gt;=E8,OR(F8="",32&lt;=F8)),(D8*(1+assumptions!$G$76)^2/12*(1+assumptions!$G$70+assumptions!$G$71+IF(32&gt;=assumptions!$G$73,assumptions!$G$72,0))+assumptions!$G$74/12)+IF(32=E8,D8*assumptions!$G$75,0),0)</f>
        <v>9815.376</v>
      </c>
      <c r="AM8" s="19" t="n">
        <f aca="false">IF(AND(33&gt;=E8,OR(F8="",33&lt;=F8)),(D8*(1+assumptions!$G$76)^2/12*(1+assumptions!$G$70+assumptions!$G$71+IF(33&gt;=assumptions!$G$73,assumptions!$G$72,0))+assumptions!$G$74/12)+IF(33=E8,D8*assumptions!$G$75,0),0)</f>
        <v>9815.376</v>
      </c>
      <c r="AN8" s="19" t="n">
        <f aca="false">IF(AND(34&gt;=E8,OR(F8="",34&lt;=F8)),(D8*(1+assumptions!$G$76)^2/12*(1+assumptions!$G$70+assumptions!$G$71+IF(34&gt;=assumptions!$G$73,assumptions!$G$72,0))+assumptions!$G$74/12)+IF(34=E8,D8*assumptions!$G$75,0),0)</f>
        <v>9815.376</v>
      </c>
      <c r="AO8" s="19" t="n">
        <f aca="false">IF(AND(35&gt;=E8,OR(F8="",35&lt;=F8)),(D8*(1+assumptions!$G$76)^2/12*(1+assumptions!$G$70+assumptions!$G$71+IF(35&gt;=assumptions!$G$73,assumptions!$G$72,0))+assumptions!$G$74/12)+IF(35=E8,D8*assumptions!$G$75,0),0)</f>
        <v>9815.376</v>
      </c>
      <c r="AP8" s="19" t="n">
        <f aca="false">IF(AND(36&gt;=E8,OR(F8="",36&lt;=F8)),(D8*(1+assumptions!$G$76)^2/12*(1+assumptions!$G$70+assumptions!$G$71+IF(36&gt;=assumptions!$G$73,assumptions!$G$72,0))+assumptions!$G$74/12)+IF(36=E8,D8*assumptions!$G$75,0),0)</f>
        <v>9815.376</v>
      </c>
      <c r="AQ8" s="19" t="n">
        <f aca="false">IF(AND(37&gt;=E8,OR(F8="",37&lt;=F8)),(D8*(1+assumptions!$G$76)^3/12*(1+assumptions!$G$70+assumptions!$G$71+IF(37&gt;=assumptions!$G$73,assumptions!$G$72,0))+assumptions!$G$74/12)+IF(37=E8,D8*assumptions!$G$75,0),0)</f>
        <v>10195.99104</v>
      </c>
      <c r="AR8" s="19" t="n">
        <f aca="false">IF(AND(38&gt;=E8,OR(F8="",38&lt;=F8)),(D8*(1+assumptions!$G$76)^3/12*(1+assumptions!$G$70+assumptions!$G$71+IF(38&gt;=assumptions!$G$73,assumptions!$G$72,0))+assumptions!$G$74/12)+IF(38=E8,D8*assumptions!$G$75,0),0)</f>
        <v>10195.99104</v>
      </c>
      <c r="AS8" s="19" t="n">
        <f aca="false">IF(AND(39&gt;=E8,OR(F8="",39&lt;=F8)),(D8*(1+assumptions!$G$76)^3/12*(1+assumptions!$G$70+assumptions!$G$71+IF(39&gt;=assumptions!$G$73,assumptions!$G$72,0))+assumptions!$G$74/12)+IF(39=E8,D8*assumptions!$G$75,0),0)</f>
        <v>10195.99104</v>
      </c>
      <c r="AT8" s="19" t="n">
        <f aca="false">IF(AND(40&gt;=E8,OR(F8="",40&lt;=F8)),(D8*(1+assumptions!$G$76)^3/12*(1+assumptions!$G$70+assumptions!$G$71+IF(40&gt;=assumptions!$G$73,assumptions!$G$72,0))+assumptions!$G$74/12)+IF(40=E8,D8*assumptions!$G$75,0),0)</f>
        <v>10195.99104</v>
      </c>
      <c r="AU8" s="19" t="n">
        <f aca="false">IF(AND(41&gt;=E8,OR(F8="",41&lt;=F8)),(D8*(1+assumptions!$G$76)^3/12*(1+assumptions!$G$70+assumptions!$G$71+IF(41&gt;=assumptions!$G$73,assumptions!$G$72,0))+assumptions!$G$74/12)+IF(41=E8,D8*assumptions!$G$75,0),0)</f>
        <v>10195.99104</v>
      </c>
      <c r="AV8" s="19" t="n">
        <f aca="false">IF(AND(42&gt;=E8,OR(F8="",42&lt;=F8)),(D8*(1+assumptions!$G$76)^3/12*(1+assumptions!$G$70+assumptions!$G$71+IF(42&gt;=assumptions!$G$73,assumptions!$G$72,0))+assumptions!$G$74/12)+IF(42=E8,D8*assumptions!$G$75,0),0)</f>
        <v>10195.99104</v>
      </c>
      <c r="AW8" s="19" t="n">
        <f aca="false">IF(AND(43&gt;=E8,OR(F8="",43&lt;=F8)),(D8*(1+assumptions!$G$76)^3/12*(1+assumptions!$G$70+assumptions!$G$71+IF(43&gt;=assumptions!$G$73,assumptions!$G$72,0))+assumptions!$G$74/12)+IF(43=E8,D8*assumptions!$G$75,0),0)</f>
        <v>10195.99104</v>
      </c>
      <c r="AX8" s="19" t="n">
        <f aca="false">IF(AND(44&gt;=E8,OR(F8="",44&lt;=F8)),(D8*(1+assumptions!$G$76)^3/12*(1+assumptions!$G$70+assumptions!$G$71+IF(44&gt;=assumptions!$G$73,assumptions!$G$72,0))+assumptions!$G$74/12)+IF(44=E8,D8*assumptions!$G$75,0),0)</f>
        <v>10195.99104</v>
      </c>
      <c r="AY8" s="19" t="n">
        <f aca="false">IF(AND(45&gt;=E8,OR(F8="",45&lt;=F8)),(D8*(1+assumptions!$G$76)^3/12*(1+assumptions!$G$70+assumptions!$G$71+IF(45&gt;=assumptions!$G$73,assumptions!$G$72,0))+assumptions!$G$74/12)+IF(45=E8,D8*assumptions!$G$75,0),0)</f>
        <v>10195.99104</v>
      </c>
      <c r="AZ8" s="19" t="n">
        <f aca="false">IF(AND(46&gt;=E8,OR(F8="",46&lt;=F8)),(D8*(1+assumptions!$G$76)^3/12*(1+assumptions!$G$70+assumptions!$G$71+IF(46&gt;=assumptions!$G$73,assumptions!$G$72,0))+assumptions!$G$74/12)+IF(46=E8,D8*assumptions!$G$75,0),0)</f>
        <v>10195.99104</v>
      </c>
      <c r="BA8" s="19" t="n">
        <f aca="false">IF(AND(47&gt;=E8,OR(F8="",47&lt;=F8)),(D8*(1+assumptions!$G$76)^3/12*(1+assumptions!$G$70+assumptions!$G$71+IF(47&gt;=assumptions!$G$73,assumptions!$G$72,0))+assumptions!$G$74/12)+IF(47=E8,D8*assumptions!$G$75,0),0)</f>
        <v>10195.99104</v>
      </c>
      <c r="BB8" s="19" t="n">
        <f aca="false">IF(AND(48&gt;=E8,OR(F8="",48&lt;=F8)),(D8*(1+assumptions!$G$76)^3/12*(1+assumptions!$G$70+assumptions!$G$71+IF(48&gt;=assumptions!$G$73,assumptions!$G$72,0))+assumptions!$G$74/12)+IF(48=E8,D8*assumptions!$G$75,0),0)</f>
        <v>10195.99104</v>
      </c>
      <c r="BC8" s="19" t="n">
        <f aca="false">IF(AND(49&gt;=E8,OR(F8="",49&lt;=F8)),(D8*(1+assumptions!$G$76)^4/12*(1+assumptions!$G$70+assumptions!$G$71+IF(49&gt;=assumptions!$G$73,assumptions!$G$72,0))+assumptions!$G$74/12)+IF(49=E8,D8*assumptions!$G$75,0),0)</f>
        <v>10591.8306816</v>
      </c>
      <c r="BD8" s="19" t="n">
        <f aca="false">IF(AND(50&gt;=E8,OR(F8="",50&lt;=F8)),(D8*(1+assumptions!$G$76)^4/12*(1+assumptions!$G$70+assumptions!$G$71+IF(50&gt;=assumptions!$G$73,assumptions!$G$72,0))+assumptions!$G$74/12)+IF(50=E8,D8*assumptions!$G$75,0),0)</f>
        <v>10591.8306816</v>
      </c>
      <c r="BE8" s="19" t="n">
        <f aca="false">IF(AND(51&gt;=E8,OR(F8="",51&lt;=F8)),(D8*(1+assumptions!$G$76)^4/12*(1+assumptions!$G$70+assumptions!$G$71+IF(51&gt;=assumptions!$G$73,assumptions!$G$72,0))+assumptions!$G$74/12)+IF(51=E8,D8*assumptions!$G$75,0),0)</f>
        <v>10591.8306816</v>
      </c>
      <c r="BF8" s="19" t="n">
        <f aca="false">IF(AND(52&gt;=E8,OR(F8="",52&lt;=F8)),(D8*(1+assumptions!$G$76)^4/12*(1+assumptions!$G$70+assumptions!$G$71+IF(52&gt;=assumptions!$G$73,assumptions!$G$72,0))+assumptions!$G$74/12)+IF(52=E8,D8*assumptions!$G$75,0),0)</f>
        <v>10591.8306816</v>
      </c>
      <c r="BG8" s="19" t="n">
        <f aca="false">IF(AND(53&gt;=E8,OR(F8="",53&lt;=F8)),(D8*(1+assumptions!$G$76)^4/12*(1+assumptions!$G$70+assumptions!$G$71+IF(53&gt;=assumptions!$G$73,assumptions!$G$72,0))+assumptions!$G$74/12)+IF(53=E8,D8*assumptions!$G$75,0),0)</f>
        <v>10591.8306816</v>
      </c>
      <c r="BH8" s="19" t="n">
        <f aca="false">IF(AND(54&gt;=E8,OR(F8="",54&lt;=F8)),(D8*(1+assumptions!$G$76)^4/12*(1+assumptions!$G$70+assumptions!$G$71+IF(54&gt;=assumptions!$G$73,assumptions!$G$72,0))+assumptions!$G$74/12)+IF(54=E8,D8*assumptions!$G$75,0),0)</f>
        <v>10591.8306816</v>
      </c>
      <c r="BI8" s="19" t="n">
        <f aca="false">IF(AND(55&gt;=E8,OR(F8="",55&lt;=F8)),(D8*(1+assumptions!$G$76)^4/12*(1+assumptions!$G$70+assumptions!$G$71+IF(55&gt;=assumptions!$G$73,assumptions!$G$72,0))+assumptions!$G$74/12)+IF(55=E8,D8*assumptions!$G$75,0),0)</f>
        <v>10591.8306816</v>
      </c>
      <c r="BJ8" s="19" t="n">
        <f aca="false">IF(AND(56&gt;=E8,OR(F8="",56&lt;=F8)),(D8*(1+assumptions!$G$76)^4/12*(1+assumptions!$G$70+assumptions!$G$71+IF(56&gt;=assumptions!$G$73,assumptions!$G$72,0))+assumptions!$G$74/12)+IF(56=E8,D8*assumptions!$G$75,0),0)</f>
        <v>10591.8306816</v>
      </c>
      <c r="BK8" s="19" t="n">
        <f aca="false">IF(AND(57&gt;=E8,OR(F8="",57&lt;=F8)),(D8*(1+assumptions!$G$76)^4/12*(1+assumptions!$G$70+assumptions!$G$71+IF(57&gt;=assumptions!$G$73,assumptions!$G$72,0))+assumptions!$G$74/12)+IF(57=E8,D8*assumptions!$G$75,0),0)</f>
        <v>10591.8306816</v>
      </c>
      <c r="BL8" s="19" t="n">
        <f aca="false">IF(AND(58&gt;=E8,OR(F8="",58&lt;=F8)),(D8*(1+assumptions!$G$76)^4/12*(1+assumptions!$G$70+assumptions!$G$71+IF(58&gt;=assumptions!$G$73,assumptions!$G$72,0))+assumptions!$G$74/12)+IF(58=E8,D8*assumptions!$G$75,0),0)</f>
        <v>10591.8306816</v>
      </c>
      <c r="BM8" s="19" t="n">
        <f aca="false">IF(AND(59&gt;=E8,OR(F8="",59&lt;=F8)),(D8*(1+assumptions!$G$76)^4/12*(1+assumptions!$G$70+assumptions!$G$71+IF(59&gt;=assumptions!$G$73,assumptions!$G$72,0))+assumptions!$G$74/12)+IF(59=E8,D8*assumptions!$G$75,0),0)</f>
        <v>10591.8306816</v>
      </c>
      <c r="BN8" s="19" t="n">
        <f aca="false">IF(AND(60&gt;=E8,OR(F8="",60&lt;=F8)),(D8*(1+assumptions!$G$76)^4/12*(1+assumptions!$G$70+assumptions!$G$71+IF(60&gt;=assumptions!$G$73,assumptions!$G$72,0))+assumptions!$G$74/12)+IF(60=E8,D8*assumptions!$G$75,0),0)</f>
        <v>10591.8306816</v>
      </c>
    </row>
    <row r="9" customFormat="false" ht="14.25" hidden="false" customHeight="false" outlineLevel="0" collapsed="false">
      <c r="A9" s="7" t="n">
        <v>6</v>
      </c>
      <c r="B9" s="7" t="s">
        <v>344</v>
      </c>
      <c r="C9" s="7" t="s">
        <v>345</v>
      </c>
      <c r="D9" s="17" t="n">
        <v>75000</v>
      </c>
      <c r="E9" s="49" t="n">
        <v>2</v>
      </c>
      <c r="F9" s="49"/>
      <c r="G9" s="19" t="n">
        <f aca="false">IF(AND(1&gt;=E9,OR(F9="",1&lt;=F9)),(D9*(1+assumptions!$G$76)^0/12*(1+assumptions!$G$70+assumptions!$G$71+IF(1&gt;=assumptions!$G$73,assumptions!$G$72,0))+assumptions!$G$74/12)+IF(1=E9,D9*assumptions!$G$75,0),0)</f>
        <v>0</v>
      </c>
      <c r="H9" s="19" t="n">
        <f aca="false">IF(AND(2&gt;=E9,OR(F9="",2&lt;=F9)),(D9*(1+assumptions!$G$76)^0/12*(1+assumptions!$G$70+assumptions!$G$71+IF(2&gt;=assumptions!$G$73,assumptions!$G$72,0))+assumptions!$G$74/12)+IF(2=E9,D9*assumptions!$G$75,0),0)</f>
        <v>18850</v>
      </c>
      <c r="I9" s="19" t="n">
        <f aca="false">IF(AND(3&gt;=E9,OR(F9="",3&lt;=F9)),(D9*(1+assumptions!$G$76)^0/12*(1+assumptions!$G$70+assumptions!$G$71+IF(3&gt;=assumptions!$G$73,assumptions!$G$72,0))+assumptions!$G$74/12)+IF(3=E9,D9*assumptions!$G$75,0),0)</f>
        <v>7600</v>
      </c>
      <c r="J9" s="19" t="n">
        <f aca="false">IF(AND(4&gt;=E9,OR(F9="",4&lt;=F9)),(D9*(1+assumptions!$G$76)^0/12*(1+assumptions!$G$70+assumptions!$G$71+IF(4&gt;=assumptions!$G$73,assumptions!$G$72,0))+assumptions!$G$74/12)+IF(4=E9,D9*assumptions!$G$75,0),0)</f>
        <v>7600</v>
      </c>
      <c r="K9" s="19" t="n">
        <f aca="false">IF(AND(5&gt;=E9,OR(F9="",5&lt;=F9)),(D9*(1+assumptions!$G$76)^0/12*(1+assumptions!$G$70+assumptions!$G$71+IF(5&gt;=assumptions!$G$73,assumptions!$G$72,0))+assumptions!$G$74/12)+IF(5=E9,D9*assumptions!$G$75,0),0)</f>
        <v>7600</v>
      </c>
      <c r="L9" s="19" t="n">
        <f aca="false">IF(AND(6&gt;=E9,OR(F9="",6&lt;=F9)),(D9*(1+assumptions!$G$76)^0/12*(1+assumptions!$G$70+assumptions!$G$71+IF(6&gt;=assumptions!$G$73,assumptions!$G$72,0))+assumptions!$G$74/12)+IF(6=E9,D9*assumptions!$G$75,0),0)</f>
        <v>7600</v>
      </c>
      <c r="M9" s="19" t="n">
        <f aca="false">IF(AND(7&gt;=E9,OR(F9="",7&lt;=F9)),(D9*(1+assumptions!$G$76)^0/12*(1+assumptions!$G$70+assumptions!$G$71+IF(7&gt;=assumptions!$G$73,assumptions!$G$72,0))+assumptions!$G$74/12)+IF(7=E9,D9*assumptions!$G$75,0),0)</f>
        <v>7600</v>
      </c>
      <c r="N9" s="19" t="n">
        <f aca="false">IF(AND(8&gt;=E9,OR(F9="",8&lt;=F9)),(D9*(1+assumptions!$G$76)^0/12*(1+assumptions!$G$70+assumptions!$G$71+IF(8&gt;=assumptions!$G$73,assumptions!$G$72,0))+assumptions!$G$74/12)+IF(8=E9,D9*assumptions!$G$75,0),0)</f>
        <v>7600</v>
      </c>
      <c r="O9" s="19" t="n">
        <f aca="false">IF(AND(9&gt;=E9,OR(F9="",9&lt;=F9)),(D9*(1+assumptions!$G$76)^0/12*(1+assumptions!$G$70+assumptions!$G$71+IF(9&gt;=assumptions!$G$73,assumptions!$G$72,0))+assumptions!$G$74/12)+IF(9=E9,D9*assumptions!$G$75,0),0)</f>
        <v>7600</v>
      </c>
      <c r="P9" s="19" t="n">
        <f aca="false">IF(AND(10&gt;=E9,OR(F9="",10&lt;=F9)),(D9*(1+assumptions!$G$76)^0/12*(1+assumptions!$G$70+assumptions!$G$71+IF(10&gt;=assumptions!$G$73,assumptions!$G$72,0))+assumptions!$G$74/12)+IF(10=E9,D9*assumptions!$G$75,0),0)</f>
        <v>7600</v>
      </c>
      <c r="Q9" s="19" t="n">
        <f aca="false">IF(AND(11&gt;=E9,OR(F9="",11&lt;=F9)),(D9*(1+assumptions!$G$76)^0/12*(1+assumptions!$G$70+assumptions!$G$71+IF(11&gt;=assumptions!$G$73,assumptions!$G$72,0))+assumptions!$G$74/12)+IF(11=E9,D9*assumptions!$G$75,0),0)</f>
        <v>7600</v>
      </c>
      <c r="R9" s="19" t="n">
        <f aca="false">IF(AND(12&gt;=E9,OR(F9="",12&lt;=F9)),(D9*(1+assumptions!$G$76)^0/12*(1+assumptions!$G$70+assumptions!$G$71+IF(12&gt;=assumptions!$G$73,assumptions!$G$72,0))+assumptions!$G$74/12)+IF(12=E9,D9*assumptions!$G$75,0),0)</f>
        <v>7600</v>
      </c>
      <c r="S9" s="19" t="n">
        <f aca="false">IF(AND(13&gt;=E9,OR(F9="",13&lt;=F9)),(D9*(1+assumptions!$G$76)^1/12*(1+assumptions!$G$70+assumptions!$G$71+IF(13&gt;=assumptions!$G$73,assumptions!$G$72,0))+assumptions!$G$74/12)+IF(13=E9,D9*assumptions!$G$75,0),0)</f>
        <v>7892</v>
      </c>
      <c r="T9" s="19" t="n">
        <f aca="false">IF(AND(14&gt;=E9,OR(F9="",14&lt;=F9)),(D9*(1+assumptions!$G$76)^1/12*(1+assumptions!$G$70+assumptions!$G$71+IF(14&gt;=assumptions!$G$73,assumptions!$G$72,0))+assumptions!$G$74/12)+IF(14=E9,D9*assumptions!$G$75,0),0)</f>
        <v>7892</v>
      </c>
      <c r="U9" s="19" t="n">
        <f aca="false">IF(AND(15&gt;=E9,OR(F9="",15&lt;=F9)),(D9*(1+assumptions!$G$76)^1/12*(1+assumptions!$G$70+assumptions!$G$71+IF(15&gt;=assumptions!$G$73,assumptions!$G$72,0))+assumptions!$G$74/12)+IF(15=E9,D9*assumptions!$G$75,0),0)</f>
        <v>7892</v>
      </c>
      <c r="V9" s="19" t="n">
        <f aca="false">IF(AND(16&gt;=E9,OR(F9="",16&lt;=F9)),(D9*(1+assumptions!$G$76)^1/12*(1+assumptions!$G$70+assumptions!$G$71+IF(16&gt;=assumptions!$G$73,assumptions!$G$72,0))+assumptions!$G$74/12)+IF(16=E9,D9*assumptions!$G$75,0),0)</f>
        <v>7892</v>
      </c>
      <c r="W9" s="19" t="n">
        <f aca="false">IF(AND(17&gt;=E9,OR(F9="",17&lt;=F9)),(D9*(1+assumptions!$G$76)^1/12*(1+assumptions!$G$70+assumptions!$G$71+IF(17&gt;=assumptions!$G$73,assumptions!$G$72,0))+assumptions!$G$74/12)+IF(17=E9,D9*assumptions!$G$75,0),0)</f>
        <v>7892</v>
      </c>
      <c r="X9" s="19" t="n">
        <f aca="false">IF(AND(18&gt;=E9,OR(F9="",18&lt;=F9)),(D9*(1+assumptions!$G$76)^1/12*(1+assumptions!$G$70+assumptions!$G$71+IF(18&gt;=assumptions!$G$73,assumptions!$G$72,0))+assumptions!$G$74/12)+IF(18=E9,D9*assumptions!$G$75,0),0)</f>
        <v>7892</v>
      </c>
      <c r="Y9" s="19" t="n">
        <f aca="false">IF(AND(19&gt;=E9,OR(F9="",19&lt;=F9)),(D9*(1+assumptions!$G$76)^1/12*(1+assumptions!$G$70+assumptions!$G$71+IF(19&gt;=assumptions!$G$73,assumptions!$G$72,0))+assumptions!$G$74/12)+IF(19=E9,D9*assumptions!$G$75,0),0)</f>
        <v>7892</v>
      </c>
      <c r="Z9" s="19" t="n">
        <f aca="false">IF(AND(20&gt;=E9,OR(F9="",20&lt;=F9)),(D9*(1+assumptions!$G$76)^1/12*(1+assumptions!$G$70+assumptions!$G$71+IF(20&gt;=assumptions!$G$73,assumptions!$G$72,0))+assumptions!$G$74/12)+IF(20=E9,D9*assumptions!$G$75,0),0)</f>
        <v>7892</v>
      </c>
      <c r="AA9" s="19" t="n">
        <f aca="false">IF(AND(21&gt;=E9,OR(F9="",21&lt;=F9)),(D9*(1+assumptions!$G$76)^1/12*(1+assumptions!$G$70+assumptions!$G$71+IF(21&gt;=assumptions!$G$73,assumptions!$G$72,0))+assumptions!$G$74/12)+IF(21=E9,D9*assumptions!$G$75,0),0)</f>
        <v>7892</v>
      </c>
      <c r="AB9" s="19" t="n">
        <f aca="false">IF(AND(22&gt;=E9,OR(F9="",22&lt;=F9)),(D9*(1+assumptions!$G$76)^1/12*(1+assumptions!$G$70+assumptions!$G$71+IF(22&gt;=assumptions!$G$73,assumptions!$G$72,0))+assumptions!$G$74/12)+IF(22=E9,D9*assumptions!$G$75,0),0)</f>
        <v>7892</v>
      </c>
      <c r="AC9" s="19" t="n">
        <f aca="false">IF(AND(23&gt;=E9,OR(F9="",23&lt;=F9)),(D9*(1+assumptions!$G$76)^1/12*(1+assumptions!$G$70+assumptions!$G$71+IF(23&gt;=assumptions!$G$73,assumptions!$G$72,0))+assumptions!$G$74/12)+IF(23=E9,D9*assumptions!$G$75,0),0)</f>
        <v>7892</v>
      </c>
      <c r="AD9" s="19" t="n">
        <f aca="false">IF(AND(24&gt;=E9,OR(F9="",24&lt;=F9)),(D9*(1+assumptions!$G$76)^1/12*(1+assumptions!$G$70+assumptions!$G$71+IF(24&gt;=assumptions!$G$73,assumptions!$G$72,0))+assumptions!$G$74/12)+IF(24=E9,D9*assumptions!$G$75,0),0)</f>
        <v>7924.5</v>
      </c>
      <c r="AE9" s="19" t="n">
        <f aca="false">IF(AND(25&gt;=E9,OR(F9="",25&lt;=F9)),(D9*(1+assumptions!$G$76)^2/12*(1+assumptions!$G$70+assumptions!$G$71+IF(25&gt;=assumptions!$G$73,assumptions!$G$72,0))+assumptions!$G$74/12)+IF(25=E9,D9*assumptions!$G$75,0),0)</f>
        <v>8229.48</v>
      </c>
      <c r="AF9" s="19" t="n">
        <f aca="false">IF(AND(26&gt;=E9,OR(F9="",26&lt;=F9)),(D9*(1+assumptions!$G$76)^2/12*(1+assumptions!$G$70+assumptions!$G$71+IF(26&gt;=assumptions!$G$73,assumptions!$G$72,0))+assumptions!$G$74/12)+IF(26=E9,D9*assumptions!$G$75,0),0)</f>
        <v>8229.48</v>
      </c>
      <c r="AG9" s="19" t="n">
        <f aca="false">IF(AND(27&gt;=E9,OR(F9="",27&lt;=F9)),(D9*(1+assumptions!$G$76)^2/12*(1+assumptions!$G$70+assumptions!$G$71+IF(27&gt;=assumptions!$G$73,assumptions!$G$72,0))+assumptions!$G$74/12)+IF(27=E9,D9*assumptions!$G$75,0),0)</f>
        <v>8229.48</v>
      </c>
      <c r="AH9" s="19" t="n">
        <f aca="false">IF(AND(28&gt;=E9,OR(F9="",28&lt;=F9)),(D9*(1+assumptions!$G$76)^2/12*(1+assumptions!$G$70+assumptions!$G$71+IF(28&gt;=assumptions!$G$73,assumptions!$G$72,0))+assumptions!$G$74/12)+IF(28=E9,D9*assumptions!$G$75,0),0)</f>
        <v>8229.48</v>
      </c>
      <c r="AI9" s="19" t="n">
        <f aca="false">IF(AND(29&gt;=E9,OR(F9="",29&lt;=F9)),(D9*(1+assumptions!$G$76)^2/12*(1+assumptions!$G$70+assumptions!$G$71+IF(29&gt;=assumptions!$G$73,assumptions!$G$72,0))+assumptions!$G$74/12)+IF(29=E9,D9*assumptions!$G$75,0),0)</f>
        <v>8229.48</v>
      </c>
      <c r="AJ9" s="19" t="n">
        <f aca="false">IF(AND(30&gt;=E9,OR(F9="",30&lt;=F9)),(D9*(1+assumptions!$G$76)^2/12*(1+assumptions!$G$70+assumptions!$G$71+IF(30&gt;=assumptions!$G$73,assumptions!$G$72,0))+assumptions!$G$74/12)+IF(30=E9,D9*assumptions!$G$75,0),0)</f>
        <v>8229.48</v>
      </c>
      <c r="AK9" s="19" t="n">
        <f aca="false">IF(AND(31&gt;=E9,OR(F9="",31&lt;=F9)),(D9*(1+assumptions!$G$76)^2/12*(1+assumptions!$G$70+assumptions!$G$71+IF(31&gt;=assumptions!$G$73,assumptions!$G$72,0))+assumptions!$G$74/12)+IF(31=E9,D9*assumptions!$G$75,0),0)</f>
        <v>8229.48</v>
      </c>
      <c r="AL9" s="19" t="n">
        <f aca="false">IF(AND(32&gt;=E9,OR(F9="",32&lt;=F9)),(D9*(1+assumptions!$G$76)^2/12*(1+assumptions!$G$70+assumptions!$G$71+IF(32&gt;=assumptions!$G$73,assumptions!$G$72,0))+assumptions!$G$74/12)+IF(32=E9,D9*assumptions!$G$75,0),0)</f>
        <v>8229.48</v>
      </c>
      <c r="AM9" s="19" t="n">
        <f aca="false">IF(AND(33&gt;=E9,OR(F9="",33&lt;=F9)),(D9*(1+assumptions!$G$76)^2/12*(1+assumptions!$G$70+assumptions!$G$71+IF(33&gt;=assumptions!$G$73,assumptions!$G$72,0))+assumptions!$G$74/12)+IF(33=E9,D9*assumptions!$G$75,0),0)</f>
        <v>8229.48</v>
      </c>
      <c r="AN9" s="19" t="n">
        <f aca="false">IF(AND(34&gt;=E9,OR(F9="",34&lt;=F9)),(D9*(1+assumptions!$G$76)^2/12*(1+assumptions!$G$70+assumptions!$G$71+IF(34&gt;=assumptions!$G$73,assumptions!$G$72,0))+assumptions!$G$74/12)+IF(34=E9,D9*assumptions!$G$75,0),0)</f>
        <v>8229.48</v>
      </c>
      <c r="AO9" s="19" t="n">
        <f aca="false">IF(AND(35&gt;=E9,OR(F9="",35&lt;=F9)),(D9*(1+assumptions!$G$76)^2/12*(1+assumptions!$G$70+assumptions!$G$71+IF(35&gt;=assumptions!$G$73,assumptions!$G$72,0))+assumptions!$G$74/12)+IF(35=E9,D9*assumptions!$G$75,0),0)</f>
        <v>8229.48</v>
      </c>
      <c r="AP9" s="19" t="n">
        <f aca="false">IF(AND(36&gt;=E9,OR(F9="",36&lt;=F9)),(D9*(1+assumptions!$G$76)^2/12*(1+assumptions!$G$70+assumptions!$G$71+IF(36&gt;=assumptions!$G$73,assumptions!$G$72,0))+assumptions!$G$74/12)+IF(36=E9,D9*assumptions!$G$75,0),0)</f>
        <v>8229.48</v>
      </c>
      <c r="AQ9" s="19" t="n">
        <f aca="false">IF(AND(37&gt;=E9,OR(F9="",37&lt;=F9)),(D9*(1+assumptions!$G$76)^3/12*(1+assumptions!$G$70+assumptions!$G$71+IF(37&gt;=assumptions!$G$73,assumptions!$G$72,0))+assumptions!$G$74/12)+IF(37=E9,D9*assumptions!$G$75,0),0)</f>
        <v>8546.6592</v>
      </c>
      <c r="AR9" s="19" t="n">
        <f aca="false">IF(AND(38&gt;=E9,OR(F9="",38&lt;=F9)),(D9*(1+assumptions!$G$76)^3/12*(1+assumptions!$G$70+assumptions!$G$71+IF(38&gt;=assumptions!$G$73,assumptions!$G$72,0))+assumptions!$G$74/12)+IF(38=E9,D9*assumptions!$G$75,0),0)</f>
        <v>8546.6592</v>
      </c>
      <c r="AS9" s="19" t="n">
        <f aca="false">IF(AND(39&gt;=E9,OR(F9="",39&lt;=F9)),(D9*(1+assumptions!$G$76)^3/12*(1+assumptions!$G$70+assumptions!$G$71+IF(39&gt;=assumptions!$G$73,assumptions!$G$72,0))+assumptions!$G$74/12)+IF(39=E9,D9*assumptions!$G$75,0),0)</f>
        <v>8546.6592</v>
      </c>
      <c r="AT9" s="19" t="n">
        <f aca="false">IF(AND(40&gt;=E9,OR(F9="",40&lt;=F9)),(D9*(1+assumptions!$G$76)^3/12*(1+assumptions!$G$70+assumptions!$G$71+IF(40&gt;=assumptions!$G$73,assumptions!$G$72,0))+assumptions!$G$74/12)+IF(40=E9,D9*assumptions!$G$75,0),0)</f>
        <v>8546.6592</v>
      </c>
      <c r="AU9" s="19" t="n">
        <f aca="false">IF(AND(41&gt;=E9,OR(F9="",41&lt;=F9)),(D9*(1+assumptions!$G$76)^3/12*(1+assumptions!$G$70+assumptions!$G$71+IF(41&gt;=assumptions!$G$73,assumptions!$G$72,0))+assumptions!$G$74/12)+IF(41=E9,D9*assumptions!$G$75,0),0)</f>
        <v>8546.6592</v>
      </c>
      <c r="AV9" s="19" t="n">
        <f aca="false">IF(AND(42&gt;=E9,OR(F9="",42&lt;=F9)),(D9*(1+assumptions!$G$76)^3/12*(1+assumptions!$G$70+assumptions!$G$71+IF(42&gt;=assumptions!$G$73,assumptions!$G$72,0))+assumptions!$G$74/12)+IF(42=E9,D9*assumptions!$G$75,0),0)</f>
        <v>8546.6592</v>
      </c>
      <c r="AW9" s="19" t="n">
        <f aca="false">IF(AND(43&gt;=E9,OR(F9="",43&lt;=F9)),(D9*(1+assumptions!$G$76)^3/12*(1+assumptions!$G$70+assumptions!$G$71+IF(43&gt;=assumptions!$G$73,assumptions!$G$72,0))+assumptions!$G$74/12)+IF(43=E9,D9*assumptions!$G$75,0),0)</f>
        <v>8546.6592</v>
      </c>
      <c r="AX9" s="19" t="n">
        <f aca="false">IF(AND(44&gt;=E9,OR(F9="",44&lt;=F9)),(D9*(1+assumptions!$G$76)^3/12*(1+assumptions!$G$70+assumptions!$G$71+IF(44&gt;=assumptions!$G$73,assumptions!$G$72,0))+assumptions!$G$74/12)+IF(44=E9,D9*assumptions!$G$75,0),0)</f>
        <v>8546.6592</v>
      </c>
      <c r="AY9" s="19" t="n">
        <f aca="false">IF(AND(45&gt;=E9,OR(F9="",45&lt;=F9)),(D9*(1+assumptions!$G$76)^3/12*(1+assumptions!$G$70+assumptions!$G$71+IF(45&gt;=assumptions!$G$73,assumptions!$G$72,0))+assumptions!$G$74/12)+IF(45=E9,D9*assumptions!$G$75,0),0)</f>
        <v>8546.6592</v>
      </c>
      <c r="AZ9" s="19" t="n">
        <f aca="false">IF(AND(46&gt;=E9,OR(F9="",46&lt;=F9)),(D9*(1+assumptions!$G$76)^3/12*(1+assumptions!$G$70+assumptions!$G$71+IF(46&gt;=assumptions!$G$73,assumptions!$G$72,0))+assumptions!$G$74/12)+IF(46=E9,D9*assumptions!$G$75,0),0)</f>
        <v>8546.6592</v>
      </c>
      <c r="BA9" s="19" t="n">
        <f aca="false">IF(AND(47&gt;=E9,OR(F9="",47&lt;=F9)),(D9*(1+assumptions!$G$76)^3/12*(1+assumptions!$G$70+assumptions!$G$71+IF(47&gt;=assumptions!$G$73,assumptions!$G$72,0))+assumptions!$G$74/12)+IF(47=E9,D9*assumptions!$G$75,0),0)</f>
        <v>8546.6592</v>
      </c>
      <c r="BB9" s="19" t="n">
        <f aca="false">IF(AND(48&gt;=E9,OR(F9="",48&lt;=F9)),(D9*(1+assumptions!$G$76)^3/12*(1+assumptions!$G$70+assumptions!$G$71+IF(48&gt;=assumptions!$G$73,assumptions!$G$72,0))+assumptions!$G$74/12)+IF(48=E9,D9*assumptions!$G$75,0),0)</f>
        <v>8546.6592</v>
      </c>
      <c r="BC9" s="19" t="n">
        <f aca="false">IF(AND(49&gt;=E9,OR(F9="",49&lt;=F9)),(D9*(1+assumptions!$G$76)^4/12*(1+assumptions!$G$70+assumptions!$G$71+IF(49&gt;=assumptions!$G$73,assumptions!$G$72,0))+assumptions!$G$74/12)+IF(49=E9,D9*assumptions!$G$75,0),0)</f>
        <v>8876.525568</v>
      </c>
      <c r="BD9" s="19" t="n">
        <f aca="false">IF(AND(50&gt;=E9,OR(F9="",50&lt;=F9)),(D9*(1+assumptions!$G$76)^4/12*(1+assumptions!$G$70+assumptions!$G$71+IF(50&gt;=assumptions!$G$73,assumptions!$G$72,0))+assumptions!$G$74/12)+IF(50=E9,D9*assumptions!$G$75,0),0)</f>
        <v>8876.525568</v>
      </c>
      <c r="BE9" s="19" t="n">
        <f aca="false">IF(AND(51&gt;=E9,OR(F9="",51&lt;=F9)),(D9*(1+assumptions!$G$76)^4/12*(1+assumptions!$G$70+assumptions!$G$71+IF(51&gt;=assumptions!$G$73,assumptions!$G$72,0))+assumptions!$G$74/12)+IF(51=E9,D9*assumptions!$G$75,0),0)</f>
        <v>8876.525568</v>
      </c>
      <c r="BF9" s="19" t="n">
        <f aca="false">IF(AND(52&gt;=E9,OR(F9="",52&lt;=F9)),(D9*(1+assumptions!$G$76)^4/12*(1+assumptions!$G$70+assumptions!$G$71+IF(52&gt;=assumptions!$G$73,assumptions!$G$72,0))+assumptions!$G$74/12)+IF(52=E9,D9*assumptions!$G$75,0),0)</f>
        <v>8876.525568</v>
      </c>
      <c r="BG9" s="19" t="n">
        <f aca="false">IF(AND(53&gt;=E9,OR(F9="",53&lt;=F9)),(D9*(1+assumptions!$G$76)^4/12*(1+assumptions!$G$70+assumptions!$G$71+IF(53&gt;=assumptions!$G$73,assumptions!$G$72,0))+assumptions!$G$74/12)+IF(53=E9,D9*assumptions!$G$75,0),0)</f>
        <v>8876.525568</v>
      </c>
      <c r="BH9" s="19" t="n">
        <f aca="false">IF(AND(54&gt;=E9,OR(F9="",54&lt;=F9)),(D9*(1+assumptions!$G$76)^4/12*(1+assumptions!$G$70+assumptions!$G$71+IF(54&gt;=assumptions!$G$73,assumptions!$G$72,0))+assumptions!$G$74/12)+IF(54=E9,D9*assumptions!$G$75,0),0)</f>
        <v>8876.525568</v>
      </c>
      <c r="BI9" s="19" t="n">
        <f aca="false">IF(AND(55&gt;=E9,OR(F9="",55&lt;=F9)),(D9*(1+assumptions!$G$76)^4/12*(1+assumptions!$G$70+assumptions!$G$71+IF(55&gt;=assumptions!$G$73,assumptions!$G$72,0))+assumptions!$G$74/12)+IF(55=E9,D9*assumptions!$G$75,0),0)</f>
        <v>8876.525568</v>
      </c>
      <c r="BJ9" s="19" t="n">
        <f aca="false">IF(AND(56&gt;=E9,OR(F9="",56&lt;=F9)),(D9*(1+assumptions!$G$76)^4/12*(1+assumptions!$G$70+assumptions!$G$71+IF(56&gt;=assumptions!$G$73,assumptions!$G$72,0))+assumptions!$G$74/12)+IF(56=E9,D9*assumptions!$G$75,0),0)</f>
        <v>8876.525568</v>
      </c>
      <c r="BK9" s="19" t="n">
        <f aca="false">IF(AND(57&gt;=E9,OR(F9="",57&lt;=F9)),(D9*(1+assumptions!$G$76)^4/12*(1+assumptions!$G$70+assumptions!$G$71+IF(57&gt;=assumptions!$G$73,assumptions!$G$72,0))+assumptions!$G$74/12)+IF(57=E9,D9*assumptions!$G$75,0),0)</f>
        <v>8876.525568</v>
      </c>
      <c r="BL9" s="19" t="n">
        <f aca="false">IF(AND(58&gt;=E9,OR(F9="",58&lt;=F9)),(D9*(1+assumptions!$G$76)^4/12*(1+assumptions!$G$70+assumptions!$G$71+IF(58&gt;=assumptions!$G$73,assumptions!$G$72,0))+assumptions!$G$74/12)+IF(58=E9,D9*assumptions!$G$75,0),0)</f>
        <v>8876.525568</v>
      </c>
      <c r="BM9" s="19" t="n">
        <f aca="false">IF(AND(59&gt;=E9,OR(F9="",59&lt;=F9)),(D9*(1+assumptions!$G$76)^4/12*(1+assumptions!$G$70+assumptions!$G$71+IF(59&gt;=assumptions!$G$73,assumptions!$G$72,0))+assumptions!$G$74/12)+IF(59=E9,D9*assumptions!$G$75,0),0)</f>
        <v>8876.525568</v>
      </c>
      <c r="BN9" s="19" t="n">
        <f aca="false">IF(AND(60&gt;=E9,OR(F9="",60&lt;=F9)),(D9*(1+assumptions!$G$76)^4/12*(1+assumptions!$G$70+assumptions!$G$71+IF(60&gt;=assumptions!$G$73,assumptions!$G$72,0))+assumptions!$G$74/12)+IF(60=E9,D9*assumptions!$G$75,0),0)</f>
        <v>8876.525568</v>
      </c>
    </row>
    <row r="10" customFormat="false" ht="14.25" hidden="false" customHeight="false" outlineLevel="0" collapsed="false">
      <c r="A10" s="7" t="n">
        <v>7</v>
      </c>
      <c r="B10" s="7" t="s">
        <v>346</v>
      </c>
      <c r="C10" s="7" t="s">
        <v>340</v>
      </c>
      <c r="D10" s="17" t="n">
        <v>95000</v>
      </c>
      <c r="E10" s="49" t="n">
        <v>4</v>
      </c>
      <c r="F10" s="49"/>
      <c r="G10" s="19" t="n">
        <f aca="false">IF(AND(1&gt;=E10,OR(F10="",1&lt;=F10)),(D10*(1+assumptions!$G$76)^0/12*(1+assumptions!$G$70+assumptions!$G$71+IF(1&gt;=assumptions!$G$73,assumptions!$G$72,0))+assumptions!$G$74/12)+IF(1=E10,D10*assumptions!$G$75,0),0)</f>
        <v>0</v>
      </c>
      <c r="H10" s="19" t="n">
        <f aca="false">IF(AND(2&gt;=E10,OR(F10="",2&lt;=F10)),(D10*(1+assumptions!$G$76)^0/12*(1+assumptions!$G$70+assumptions!$G$71+IF(2&gt;=assumptions!$G$73,assumptions!$G$72,0))+assumptions!$G$74/12)+IF(2=E10,D10*assumptions!$G$75,0),0)</f>
        <v>0</v>
      </c>
      <c r="I10" s="19" t="n">
        <f aca="false">IF(AND(3&gt;=E10,OR(F10="",3&lt;=F10)),(D10*(1+assumptions!$G$76)^0/12*(1+assumptions!$G$70+assumptions!$G$71+IF(3&gt;=assumptions!$G$73,assumptions!$G$72,0))+assumptions!$G$74/12)+IF(3=E10,D10*assumptions!$G$75,0),0)</f>
        <v>0</v>
      </c>
      <c r="J10" s="19" t="n">
        <f aca="false">IF(AND(4&gt;=E10,OR(F10="",4&lt;=F10)),(D10*(1+assumptions!$G$76)^0/12*(1+assumptions!$G$70+assumptions!$G$71+IF(4&gt;=assumptions!$G$73,assumptions!$G$72,0))+assumptions!$G$74/12)+IF(4=E10,D10*assumptions!$G$75,0),0)</f>
        <v>23796.6666666667</v>
      </c>
      <c r="K10" s="19" t="n">
        <f aca="false">IF(AND(5&gt;=E10,OR(F10="",5&lt;=F10)),(D10*(1+assumptions!$G$76)^0/12*(1+assumptions!$G$70+assumptions!$G$71+IF(5&gt;=assumptions!$G$73,assumptions!$G$72,0))+assumptions!$G$74/12)+IF(5=E10,D10*assumptions!$G$75,0),0)</f>
        <v>9546.66666666667</v>
      </c>
      <c r="L10" s="19" t="n">
        <f aca="false">IF(AND(6&gt;=E10,OR(F10="",6&lt;=F10)),(D10*(1+assumptions!$G$76)^0/12*(1+assumptions!$G$70+assumptions!$G$71+IF(6&gt;=assumptions!$G$73,assumptions!$G$72,0))+assumptions!$G$74/12)+IF(6=E10,D10*assumptions!$G$75,0),0)</f>
        <v>9546.66666666667</v>
      </c>
      <c r="M10" s="19" t="n">
        <f aca="false">IF(AND(7&gt;=E10,OR(F10="",7&lt;=F10)),(D10*(1+assumptions!$G$76)^0/12*(1+assumptions!$G$70+assumptions!$G$71+IF(7&gt;=assumptions!$G$73,assumptions!$G$72,0))+assumptions!$G$74/12)+IF(7=E10,D10*assumptions!$G$75,0),0)</f>
        <v>9546.66666666667</v>
      </c>
      <c r="N10" s="19" t="n">
        <f aca="false">IF(AND(8&gt;=E10,OR(F10="",8&lt;=F10)),(D10*(1+assumptions!$G$76)^0/12*(1+assumptions!$G$70+assumptions!$G$71+IF(8&gt;=assumptions!$G$73,assumptions!$G$72,0))+assumptions!$G$74/12)+IF(8=E10,D10*assumptions!$G$75,0),0)</f>
        <v>9546.66666666667</v>
      </c>
      <c r="O10" s="19" t="n">
        <f aca="false">IF(AND(9&gt;=E10,OR(F10="",9&lt;=F10)),(D10*(1+assumptions!$G$76)^0/12*(1+assumptions!$G$70+assumptions!$G$71+IF(9&gt;=assumptions!$G$73,assumptions!$G$72,0))+assumptions!$G$74/12)+IF(9=E10,D10*assumptions!$G$75,0),0)</f>
        <v>9546.66666666667</v>
      </c>
      <c r="P10" s="19" t="n">
        <f aca="false">IF(AND(10&gt;=E10,OR(F10="",10&lt;=F10)),(D10*(1+assumptions!$G$76)^0/12*(1+assumptions!$G$70+assumptions!$G$71+IF(10&gt;=assumptions!$G$73,assumptions!$G$72,0))+assumptions!$G$74/12)+IF(10=E10,D10*assumptions!$G$75,0),0)</f>
        <v>9546.66666666667</v>
      </c>
      <c r="Q10" s="19" t="n">
        <f aca="false">IF(AND(11&gt;=E10,OR(F10="",11&lt;=F10)),(D10*(1+assumptions!$G$76)^0/12*(1+assumptions!$G$70+assumptions!$G$71+IF(11&gt;=assumptions!$G$73,assumptions!$G$72,0))+assumptions!$G$74/12)+IF(11=E10,D10*assumptions!$G$75,0),0)</f>
        <v>9546.66666666667</v>
      </c>
      <c r="R10" s="19" t="n">
        <f aca="false">IF(AND(12&gt;=E10,OR(F10="",12&lt;=F10)),(D10*(1+assumptions!$G$76)^0/12*(1+assumptions!$G$70+assumptions!$G$71+IF(12&gt;=assumptions!$G$73,assumptions!$G$72,0))+assumptions!$G$74/12)+IF(12=E10,D10*assumptions!$G$75,0),0)</f>
        <v>9546.66666666667</v>
      </c>
      <c r="S10" s="19" t="n">
        <f aca="false">IF(AND(13&gt;=E10,OR(F10="",13&lt;=F10)),(D10*(1+assumptions!$G$76)^1/12*(1+assumptions!$G$70+assumptions!$G$71+IF(13&gt;=assumptions!$G$73,assumptions!$G$72,0))+assumptions!$G$74/12)+IF(13=E10,D10*assumptions!$G$75,0),0)</f>
        <v>9916.53333333333</v>
      </c>
      <c r="T10" s="19" t="n">
        <f aca="false">IF(AND(14&gt;=E10,OR(F10="",14&lt;=F10)),(D10*(1+assumptions!$G$76)^1/12*(1+assumptions!$G$70+assumptions!$G$71+IF(14&gt;=assumptions!$G$73,assumptions!$G$72,0))+assumptions!$G$74/12)+IF(14=E10,D10*assumptions!$G$75,0),0)</f>
        <v>9916.53333333333</v>
      </c>
      <c r="U10" s="19" t="n">
        <f aca="false">IF(AND(15&gt;=E10,OR(F10="",15&lt;=F10)),(D10*(1+assumptions!$G$76)^1/12*(1+assumptions!$G$70+assumptions!$G$71+IF(15&gt;=assumptions!$G$73,assumptions!$G$72,0))+assumptions!$G$74/12)+IF(15=E10,D10*assumptions!$G$75,0),0)</f>
        <v>9916.53333333333</v>
      </c>
      <c r="V10" s="19" t="n">
        <f aca="false">IF(AND(16&gt;=E10,OR(F10="",16&lt;=F10)),(D10*(1+assumptions!$G$76)^1/12*(1+assumptions!$G$70+assumptions!$G$71+IF(16&gt;=assumptions!$G$73,assumptions!$G$72,0))+assumptions!$G$74/12)+IF(16=E10,D10*assumptions!$G$75,0),0)</f>
        <v>9916.53333333333</v>
      </c>
      <c r="W10" s="19" t="n">
        <f aca="false">IF(AND(17&gt;=E10,OR(F10="",17&lt;=F10)),(D10*(1+assumptions!$G$76)^1/12*(1+assumptions!$G$70+assumptions!$G$71+IF(17&gt;=assumptions!$G$73,assumptions!$G$72,0))+assumptions!$G$74/12)+IF(17=E10,D10*assumptions!$G$75,0),0)</f>
        <v>9916.53333333333</v>
      </c>
      <c r="X10" s="19" t="n">
        <f aca="false">IF(AND(18&gt;=E10,OR(F10="",18&lt;=F10)),(D10*(1+assumptions!$G$76)^1/12*(1+assumptions!$G$70+assumptions!$G$71+IF(18&gt;=assumptions!$G$73,assumptions!$G$72,0))+assumptions!$G$74/12)+IF(18=E10,D10*assumptions!$G$75,0),0)</f>
        <v>9916.53333333333</v>
      </c>
      <c r="Y10" s="19" t="n">
        <f aca="false">IF(AND(19&gt;=E10,OR(F10="",19&lt;=F10)),(D10*(1+assumptions!$G$76)^1/12*(1+assumptions!$G$70+assumptions!$G$71+IF(19&gt;=assumptions!$G$73,assumptions!$G$72,0))+assumptions!$G$74/12)+IF(19=E10,D10*assumptions!$G$75,0),0)</f>
        <v>9916.53333333333</v>
      </c>
      <c r="Z10" s="19" t="n">
        <f aca="false">IF(AND(20&gt;=E10,OR(F10="",20&lt;=F10)),(D10*(1+assumptions!$G$76)^1/12*(1+assumptions!$G$70+assumptions!$G$71+IF(20&gt;=assumptions!$G$73,assumptions!$G$72,0))+assumptions!$G$74/12)+IF(20=E10,D10*assumptions!$G$75,0),0)</f>
        <v>9916.53333333333</v>
      </c>
      <c r="AA10" s="19" t="n">
        <f aca="false">IF(AND(21&gt;=E10,OR(F10="",21&lt;=F10)),(D10*(1+assumptions!$G$76)^1/12*(1+assumptions!$G$70+assumptions!$G$71+IF(21&gt;=assumptions!$G$73,assumptions!$G$72,0))+assumptions!$G$74/12)+IF(21=E10,D10*assumptions!$G$75,0),0)</f>
        <v>9916.53333333333</v>
      </c>
      <c r="AB10" s="19" t="n">
        <f aca="false">IF(AND(22&gt;=E10,OR(F10="",22&lt;=F10)),(D10*(1+assumptions!$G$76)^1/12*(1+assumptions!$G$70+assumptions!$G$71+IF(22&gt;=assumptions!$G$73,assumptions!$G$72,0))+assumptions!$G$74/12)+IF(22=E10,D10*assumptions!$G$75,0),0)</f>
        <v>9916.53333333333</v>
      </c>
      <c r="AC10" s="19" t="n">
        <f aca="false">IF(AND(23&gt;=E10,OR(F10="",23&lt;=F10)),(D10*(1+assumptions!$G$76)^1/12*(1+assumptions!$G$70+assumptions!$G$71+IF(23&gt;=assumptions!$G$73,assumptions!$G$72,0))+assumptions!$G$74/12)+IF(23=E10,D10*assumptions!$G$75,0),0)</f>
        <v>9916.53333333333</v>
      </c>
      <c r="AD10" s="19" t="n">
        <f aca="false">IF(AND(24&gt;=E10,OR(F10="",24&lt;=F10)),(D10*(1+assumptions!$G$76)^1/12*(1+assumptions!$G$70+assumptions!$G$71+IF(24&gt;=assumptions!$G$73,assumptions!$G$72,0))+assumptions!$G$74/12)+IF(24=E10,D10*assumptions!$G$75,0),0)</f>
        <v>9957.7</v>
      </c>
      <c r="AE10" s="19" t="n">
        <f aca="false">IF(AND(25&gt;=E10,OR(F10="",25&lt;=F10)),(D10*(1+assumptions!$G$76)^2/12*(1+assumptions!$G$70+assumptions!$G$71+IF(25&gt;=assumptions!$G$73,assumptions!$G$72,0))+assumptions!$G$74/12)+IF(25=E10,D10*assumptions!$G$75,0),0)</f>
        <v>10344.008</v>
      </c>
      <c r="AF10" s="19" t="n">
        <f aca="false">IF(AND(26&gt;=E10,OR(F10="",26&lt;=F10)),(D10*(1+assumptions!$G$76)^2/12*(1+assumptions!$G$70+assumptions!$G$71+IF(26&gt;=assumptions!$G$73,assumptions!$G$72,0))+assumptions!$G$74/12)+IF(26=E10,D10*assumptions!$G$75,0),0)</f>
        <v>10344.008</v>
      </c>
      <c r="AG10" s="19" t="n">
        <f aca="false">IF(AND(27&gt;=E10,OR(F10="",27&lt;=F10)),(D10*(1+assumptions!$G$76)^2/12*(1+assumptions!$G$70+assumptions!$G$71+IF(27&gt;=assumptions!$G$73,assumptions!$G$72,0))+assumptions!$G$74/12)+IF(27=E10,D10*assumptions!$G$75,0),0)</f>
        <v>10344.008</v>
      </c>
      <c r="AH10" s="19" t="n">
        <f aca="false">IF(AND(28&gt;=E10,OR(F10="",28&lt;=F10)),(D10*(1+assumptions!$G$76)^2/12*(1+assumptions!$G$70+assumptions!$G$71+IF(28&gt;=assumptions!$G$73,assumptions!$G$72,0))+assumptions!$G$74/12)+IF(28=E10,D10*assumptions!$G$75,0),0)</f>
        <v>10344.008</v>
      </c>
      <c r="AI10" s="19" t="n">
        <f aca="false">IF(AND(29&gt;=E10,OR(F10="",29&lt;=F10)),(D10*(1+assumptions!$G$76)^2/12*(1+assumptions!$G$70+assumptions!$G$71+IF(29&gt;=assumptions!$G$73,assumptions!$G$72,0))+assumptions!$G$74/12)+IF(29=E10,D10*assumptions!$G$75,0),0)</f>
        <v>10344.008</v>
      </c>
      <c r="AJ10" s="19" t="n">
        <f aca="false">IF(AND(30&gt;=E10,OR(F10="",30&lt;=F10)),(D10*(1+assumptions!$G$76)^2/12*(1+assumptions!$G$70+assumptions!$G$71+IF(30&gt;=assumptions!$G$73,assumptions!$G$72,0))+assumptions!$G$74/12)+IF(30=E10,D10*assumptions!$G$75,0),0)</f>
        <v>10344.008</v>
      </c>
      <c r="AK10" s="19" t="n">
        <f aca="false">IF(AND(31&gt;=E10,OR(F10="",31&lt;=F10)),(D10*(1+assumptions!$G$76)^2/12*(1+assumptions!$G$70+assumptions!$G$71+IF(31&gt;=assumptions!$G$73,assumptions!$G$72,0))+assumptions!$G$74/12)+IF(31=E10,D10*assumptions!$G$75,0),0)</f>
        <v>10344.008</v>
      </c>
      <c r="AL10" s="19" t="n">
        <f aca="false">IF(AND(32&gt;=E10,OR(F10="",32&lt;=F10)),(D10*(1+assumptions!$G$76)^2/12*(1+assumptions!$G$70+assumptions!$G$71+IF(32&gt;=assumptions!$G$73,assumptions!$G$72,0))+assumptions!$G$74/12)+IF(32=E10,D10*assumptions!$G$75,0),0)</f>
        <v>10344.008</v>
      </c>
      <c r="AM10" s="19" t="n">
        <f aca="false">IF(AND(33&gt;=E10,OR(F10="",33&lt;=F10)),(D10*(1+assumptions!$G$76)^2/12*(1+assumptions!$G$70+assumptions!$G$71+IF(33&gt;=assumptions!$G$73,assumptions!$G$72,0))+assumptions!$G$74/12)+IF(33=E10,D10*assumptions!$G$75,0),0)</f>
        <v>10344.008</v>
      </c>
      <c r="AN10" s="19" t="n">
        <f aca="false">IF(AND(34&gt;=E10,OR(F10="",34&lt;=F10)),(D10*(1+assumptions!$G$76)^2/12*(1+assumptions!$G$70+assumptions!$G$71+IF(34&gt;=assumptions!$G$73,assumptions!$G$72,0))+assumptions!$G$74/12)+IF(34=E10,D10*assumptions!$G$75,0),0)</f>
        <v>10344.008</v>
      </c>
      <c r="AO10" s="19" t="n">
        <f aca="false">IF(AND(35&gt;=E10,OR(F10="",35&lt;=F10)),(D10*(1+assumptions!$G$76)^2/12*(1+assumptions!$G$70+assumptions!$G$71+IF(35&gt;=assumptions!$G$73,assumptions!$G$72,0))+assumptions!$G$74/12)+IF(35=E10,D10*assumptions!$G$75,0),0)</f>
        <v>10344.008</v>
      </c>
      <c r="AP10" s="19" t="n">
        <f aca="false">IF(AND(36&gt;=E10,OR(F10="",36&lt;=F10)),(D10*(1+assumptions!$G$76)^2/12*(1+assumptions!$G$70+assumptions!$G$71+IF(36&gt;=assumptions!$G$73,assumptions!$G$72,0))+assumptions!$G$74/12)+IF(36=E10,D10*assumptions!$G$75,0),0)</f>
        <v>10344.008</v>
      </c>
      <c r="AQ10" s="19" t="n">
        <f aca="false">IF(AND(37&gt;=E10,OR(F10="",37&lt;=F10)),(D10*(1+assumptions!$G$76)^3/12*(1+assumptions!$G$70+assumptions!$G$71+IF(37&gt;=assumptions!$G$73,assumptions!$G$72,0))+assumptions!$G$74/12)+IF(37=E10,D10*assumptions!$G$75,0),0)</f>
        <v>10745.76832</v>
      </c>
      <c r="AR10" s="19" t="n">
        <f aca="false">IF(AND(38&gt;=E10,OR(F10="",38&lt;=F10)),(D10*(1+assumptions!$G$76)^3/12*(1+assumptions!$G$70+assumptions!$G$71+IF(38&gt;=assumptions!$G$73,assumptions!$G$72,0))+assumptions!$G$74/12)+IF(38=E10,D10*assumptions!$G$75,0),0)</f>
        <v>10745.76832</v>
      </c>
      <c r="AS10" s="19" t="n">
        <f aca="false">IF(AND(39&gt;=E10,OR(F10="",39&lt;=F10)),(D10*(1+assumptions!$G$76)^3/12*(1+assumptions!$G$70+assumptions!$G$71+IF(39&gt;=assumptions!$G$73,assumptions!$G$72,0))+assumptions!$G$74/12)+IF(39=E10,D10*assumptions!$G$75,0),0)</f>
        <v>10745.76832</v>
      </c>
      <c r="AT10" s="19" t="n">
        <f aca="false">IF(AND(40&gt;=E10,OR(F10="",40&lt;=F10)),(D10*(1+assumptions!$G$76)^3/12*(1+assumptions!$G$70+assumptions!$G$71+IF(40&gt;=assumptions!$G$73,assumptions!$G$72,0))+assumptions!$G$74/12)+IF(40=E10,D10*assumptions!$G$75,0),0)</f>
        <v>10745.76832</v>
      </c>
      <c r="AU10" s="19" t="n">
        <f aca="false">IF(AND(41&gt;=E10,OR(F10="",41&lt;=F10)),(D10*(1+assumptions!$G$76)^3/12*(1+assumptions!$G$70+assumptions!$G$71+IF(41&gt;=assumptions!$G$73,assumptions!$G$72,0))+assumptions!$G$74/12)+IF(41=E10,D10*assumptions!$G$75,0),0)</f>
        <v>10745.76832</v>
      </c>
      <c r="AV10" s="19" t="n">
        <f aca="false">IF(AND(42&gt;=E10,OR(F10="",42&lt;=F10)),(D10*(1+assumptions!$G$76)^3/12*(1+assumptions!$G$70+assumptions!$G$71+IF(42&gt;=assumptions!$G$73,assumptions!$G$72,0))+assumptions!$G$74/12)+IF(42=E10,D10*assumptions!$G$75,0),0)</f>
        <v>10745.76832</v>
      </c>
      <c r="AW10" s="19" t="n">
        <f aca="false">IF(AND(43&gt;=E10,OR(F10="",43&lt;=F10)),(D10*(1+assumptions!$G$76)^3/12*(1+assumptions!$G$70+assumptions!$G$71+IF(43&gt;=assumptions!$G$73,assumptions!$G$72,0))+assumptions!$G$74/12)+IF(43=E10,D10*assumptions!$G$75,0),0)</f>
        <v>10745.76832</v>
      </c>
      <c r="AX10" s="19" t="n">
        <f aca="false">IF(AND(44&gt;=E10,OR(F10="",44&lt;=F10)),(D10*(1+assumptions!$G$76)^3/12*(1+assumptions!$G$70+assumptions!$G$71+IF(44&gt;=assumptions!$G$73,assumptions!$G$72,0))+assumptions!$G$74/12)+IF(44=E10,D10*assumptions!$G$75,0),0)</f>
        <v>10745.76832</v>
      </c>
      <c r="AY10" s="19" t="n">
        <f aca="false">IF(AND(45&gt;=E10,OR(F10="",45&lt;=F10)),(D10*(1+assumptions!$G$76)^3/12*(1+assumptions!$G$70+assumptions!$G$71+IF(45&gt;=assumptions!$G$73,assumptions!$G$72,0))+assumptions!$G$74/12)+IF(45=E10,D10*assumptions!$G$75,0),0)</f>
        <v>10745.76832</v>
      </c>
      <c r="AZ10" s="19" t="n">
        <f aca="false">IF(AND(46&gt;=E10,OR(F10="",46&lt;=F10)),(D10*(1+assumptions!$G$76)^3/12*(1+assumptions!$G$70+assumptions!$G$71+IF(46&gt;=assumptions!$G$73,assumptions!$G$72,0))+assumptions!$G$74/12)+IF(46=E10,D10*assumptions!$G$75,0),0)</f>
        <v>10745.76832</v>
      </c>
      <c r="BA10" s="19" t="n">
        <f aca="false">IF(AND(47&gt;=E10,OR(F10="",47&lt;=F10)),(D10*(1+assumptions!$G$76)^3/12*(1+assumptions!$G$70+assumptions!$G$71+IF(47&gt;=assumptions!$G$73,assumptions!$G$72,0))+assumptions!$G$74/12)+IF(47=E10,D10*assumptions!$G$75,0),0)</f>
        <v>10745.76832</v>
      </c>
      <c r="BB10" s="19" t="n">
        <f aca="false">IF(AND(48&gt;=E10,OR(F10="",48&lt;=F10)),(D10*(1+assumptions!$G$76)^3/12*(1+assumptions!$G$70+assumptions!$G$71+IF(48&gt;=assumptions!$G$73,assumptions!$G$72,0))+assumptions!$G$74/12)+IF(48=E10,D10*assumptions!$G$75,0),0)</f>
        <v>10745.76832</v>
      </c>
      <c r="BC10" s="19" t="n">
        <f aca="false">IF(AND(49&gt;=E10,OR(F10="",49&lt;=F10)),(D10*(1+assumptions!$G$76)^4/12*(1+assumptions!$G$70+assumptions!$G$71+IF(49&gt;=assumptions!$G$73,assumptions!$G$72,0))+assumptions!$G$74/12)+IF(49=E10,D10*assumptions!$G$75,0),0)</f>
        <v>11163.5990528</v>
      </c>
      <c r="BD10" s="19" t="n">
        <f aca="false">IF(AND(50&gt;=E10,OR(F10="",50&lt;=F10)),(D10*(1+assumptions!$G$76)^4/12*(1+assumptions!$G$70+assumptions!$G$71+IF(50&gt;=assumptions!$G$73,assumptions!$G$72,0))+assumptions!$G$74/12)+IF(50=E10,D10*assumptions!$G$75,0),0)</f>
        <v>11163.5990528</v>
      </c>
      <c r="BE10" s="19" t="n">
        <f aca="false">IF(AND(51&gt;=E10,OR(F10="",51&lt;=F10)),(D10*(1+assumptions!$G$76)^4/12*(1+assumptions!$G$70+assumptions!$G$71+IF(51&gt;=assumptions!$G$73,assumptions!$G$72,0))+assumptions!$G$74/12)+IF(51=E10,D10*assumptions!$G$75,0),0)</f>
        <v>11163.5990528</v>
      </c>
      <c r="BF10" s="19" t="n">
        <f aca="false">IF(AND(52&gt;=E10,OR(F10="",52&lt;=F10)),(D10*(1+assumptions!$G$76)^4/12*(1+assumptions!$G$70+assumptions!$G$71+IF(52&gt;=assumptions!$G$73,assumptions!$G$72,0))+assumptions!$G$74/12)+IF(52=E10,D10*assumptions!$G$75,0),0)</f>
        <v>11163.5990528</v>
      </c>
      <c r="BG10" s="19" t="n">
        <f aca="false">IF(AND(53&gt;=E10,OR(F10="",53&lt;=F10)),(D10*(1+assumptions!$G$76)^4/12*(1+assumptions!$G$70+assumptions!$G$71+IF(53&gt;=assumptions!$G$73,assumptions!$G$72,0))+assumptions!$G$74/12)+IF(53=E10,D10*assumptions!$G$75,0),0)</f>
        <v>11163.5990528</v>
      </c>
      <c r="BH10" s="19" t="n">
        <f aca="false">IF(AND(54&gt;=E10,OR(F10="",54&lt;=F10)),(D10*(1+assumptions!$G$76)^4/12*(1+assumptions!$G$70+assumptions!$G$71+IF(54&gt;=assumptions!$G$73,assumptions!$G$72,0))+assumptions!$G$74/12)+IF(54=E10,D10*assumptions!$G$75,0),0)</f>
        <v>11163.5990528</v>
      </c>
      <c r="BI10" s="19" t="n">
        <f aca="false">IF(AND(55&gt;=E10,OR(F10="",55&lt;=F10)),(D10*(1+assumptions!$G$76)^4/12*(1+assumptions!$G$70+assumptions!$G$71+IF(55&gt;=assumptions!$G$73,assumptions!$G$72,0))+assumptions!$G$74/12)+IF(55=E10,D10*assumptions!$G$75,0),0)</f>
        <v>11163.5990528</v>
      </c>
      <c r="BJ10" s="19" t="n">
        <f aca="false">IF(AND(56&gt;=E10,OR(F10="",56&lt;=F10)),(D10*(1+assumptions!$G$76)^4/12*(1+assumptions!$G$70+assumptions!$G$71+IF(56&gt;=assumptions!$G$73,assumptions!$G$72,0))+assumptions!$G$74/12)+IF(56=E10,D10*assumptions!$G$75,0),0)</f>
        <v>11163.5990528</v>
      </c>
      <c r="BK10" s="19" t="n">
        <f aca="false">IF(AND(57&gt;=E10,OR(F10="",57&lt;=F10)),(D10*(1+assumptions!$G$76)^4/12*(1+assumptions!$G$70+assumptions!$G$71+IF(57&gt;=assumptions!$G$73,assumptions!$G$72,0))+assumptions!$G$74/12)+IF(57=E10,D10*assumptions!$G$75,0),0)</f>
        <v>11163.5990528</v>
      </c>
      <c r="BL10" s="19" t="n">
        <f aca="false">IF(AND(58&gt;=E10,OR(F10="",58&lt;=F10)),(D10*(1+assumptions!$G$76)^4/12*(1+assumptions!$G$70+assumptions!$G$71+IF(58&gt;=assumptions!$G$73,assumptions!$G$72,0))+assumptions!$G$74/12)+IF(58=E10,D10*assumptions!$G$75,0),0)</f>
        <v>11163.5990528</v>
      </c>
      <c r="BM10" s="19" t="n">
        <f aca="false">IF(AND(59&gt;=E10,OR(F10="",59&lt;=F10)),(D10*(1+assumptions!$G$76)^4/12*(1+assumptions!$G$70+assumptions!$G$71+IF(59&gt;=assumptions!$G$73,assumptions!$G$72,0))+assumptions!$G$74/12)+IF(59=E10,D10*assumptions!$G$75,0),0)</f>
        <v>11163.5990528</v>
      </c>
      <c r="BN10" s="19" t="n">
        <f aca="false">IF(AND(60&gt;=E10,OR(F10="",60&lt;=F10)),(D10*(1+assumptions!$G$76)^4/12*(1+assumptions!$G$70+assumptions!$G$71+IF(60&gt;=assumptions!$G$73,assumptions!$G$72,0))+assumptions!$G$74/12)+IF(60=E10,D10*assumptions!$G$75,0),0)</f>
        <v>11163.5990528</v>
      </c>
    </row>
    <row r="11" customFormat="false" ht="14.25" hidden="false" customHeight="false" outlineLevel="0" collapsed="false">
      <c r="A11" s="7" t="n">
        <v>8</v>
      </c>
      <c r="B11" s="7" t="s">
        <v>347</v>
      </c>
      <c r="C11" s="7" t="s">
        <v>342</v>
      </c>
      <c r="D11" s="17" t="n">
        <v>55000</v>
      </c>
      <c r="E11" s="49" t="n">
        <v>4</v>
      </c>
      <c r="F11" s="49"/>
      <c r="G11" s="19" t="n">
        <f aca="false">IF(AND(1&gt;=E11,OR(F11="",1&lt;=F11)),(D11*(1+assumptions!$G$76)^0/12*(1+assumptions!$G$70+assumptions!$G$71+IF(1&gt;=assumptions!$G$73,assumptions!$G$72,0))+assumptions!$G$74/12)+IF(1=E11,D11*assumptions!$G$75,0),0)</f>
        <v>0</v>
      </c>
      <c r="H11" s="19" t="n">
        <f aca="false">IF(AND(2&gt;=E11,OR(F11="",2&lt;=F11)),(D11*(1+assumptions!$G$76)^0/12*(1+assumptions!$G$70+assumptions!$G$71+IF(2&gt;=assumptions!$G$73,assumptions!$G$72,0))+assumptions!$G$74/12)+IF(2=E11,D11*assumptions!$G$75,0),0)</f>
        <v>0</v>
      </c>
      <c r="I11" s="19" t="n">
        <f aca="false">IF(AND(3&gt;=E11,OR(F11="",3&lt;=F11)),(D11*(1+assumptions!$G$76)^0/12*(1+assumptions!$G$70+assumptions!$G$71+IF(3&gt;=assumptions!$G$73,assumptions!$G$72,0))+assumptions!$G$74/12)+IF(3=E11,D11*assumptions!$G$75,0),0)</f>
        <v>0</v>
      </c>
      <c r="J11" s="19" t="n">
        <f aca="false">IF(AND(4&gt;=E11,OR(F11="",4&lt;=F11)),(D11*(1+assumptions!$G$76)^0/12*(1+assumptions!$G$70+assumptions!$G$71+IF(4&gt;=assumptions!$G$73,assumptions!$G$72,0))+assumptions!$G$74/12)+IF(4=E11,D11*assumptions!$G$75,0),0)</f>
        <v>13903.3333333333</v>
      </c>
      <c r="K11" s="19" t="n">
        <f aca="false">IF(AND(5&gt;=E11,OR(F11="",5&lt;=F11)),(D11*(1+assumptions!$G$76)^0/12*(1+assumptions!$G$70+assumptions!$G$71+IF(5&gt;=assumptions!$G$73,assumptions!$G$72,0))+assumptions!$G$74/12)+IF(5=E11,D11*assumptions!$G$75,0),0)</f>
        <v>5653.33333333333</v>
      </c>
      <c r="L11" s="19" t="n">
        <f aca="false">IF(AND(6&gt;=E11,OR(F11="",6&lt;=F11)),(D11*(1+assumptions!$G$76)^0/12*(1+assumptions!$G$70+assumptions!$G$71+IF(6&gt;=assumptions!$G$73,assumptions!$G$72,0))+assumptions!$G$74/12)+IF(6=E11,D11*assumptions!$G$75,0),0)</f>
        <v>5653.33333333333</v>
      </c>
      <c r="M11" s="19" t="n">
        <f aca="false">IF(AND(7&gt;=E11,OR(F11="",7&lt;=F11)),(D11*(1+assumptions!$G$76)^0/12*(1+assumptions!$G$70+assumptions!$G$71+IF(7&gt;=assumptions!$G$73,assumptions!$G$72,0))+assumptions!$G$74/12)+IF(7=E11,D11*assumptions!$G$75,0),0)</f>
        <v>5653.33333333333</v>
      </c>
      <c r="N11" s="19" t="n">
        <f aca="false">IF(AND(8&gt;=E11,OR(F11="",8&lt;=F11)),(D11*(1+assumptions!$G$76)^0/12*(1+assumptions!$G$70+assumptions!$G$71+IF(8&gt;=assumptions!$G$73,assumptions!$G$72,0))+assumptions!$G$74/12)+IF(8=E11,D11*assumptions!$G$75,0),0)</f>
        <v>5653.33333333333</v>
      </c>
      <c r="O11" s="19" t="n">
        <f aca="false">IF(AND(9&gt;=E11,OR(F11="",9&lt;=F11)),(D11*(1+assumptions!$G$76)^0/12*(1+assumptions!$G$70+assumptions!$G$71+IF(9&gt;=assumptions!$G$73,assumptions!$G$72,0))+assumptions!$G$74/12)+IF(9=E11,D11*assumptions!$G$75,0),0)</f>
        <v>5653.33333333333</v>
      </c>
      <c r="P11" s="19" t="n">
        <f aca="false">IF(AND(10&gt;=E11,OR(F11="",10&lt;=F11)),(D11*(1+assumptions!$G$76)^0/12*(1+assumptions!$G$70+assumptions!$G$71+IF(10&gt;=assumptions!$G$73,assumptions!$G$72,0))+assumptions!$G$74/12)+IF(10=E11,D11*assumptions!$G$75,0),0)</f>
        <v>5653.33333333333</v>
      </c>
      <c r="Q11" s="19" t="n">
        <f aca="false">IF(AND(11&gt;=E11,OR(F11="",11&lt;=F11)),(D11*(1+assumptions!$G$76)^0/12*(1+assumptions!$G$70+assumptions!$G$71+IF(11&gt;=assumptions!$G$73,assumptions!$G$72,0))+assumptions!$G$74/12)+IF(11=E11,D11*assumptions!$G$75,0),0)</f>
        <v>5653.33333333333</v>
      </c>
      <c r="R11" s="19" t="n">
        <f aca="false">IF(AND(12&gt;=E11,OR(F11="",12&lt;=F11)),(D11*(1+assumptions!$G$76)^0/12*(1+assumptions!$G$70+assumptions!$G$71+IF(12&gt;=assumptions!$G$73,assumptions!$G$72,0))+assumptions!$G$74/12)+IF(12=E11,D11*assumptions!$G$75,0),0)</f>
        <v>5653.33333333333</v>
      </c>
      <c r="S11" s="19" t="n">
        <f aca="false">IF(AND(13&gt;=E11,OR(F11="",13&lt;=F11)),(D11*(1+assumptions!$G$76)^1/12*(1+assumptions!$G$70+assumptions!$G$71+IF(13&gt;=assumptions!$G$73,assumptions!$G$72,0))+assumptions!$G$74/12)+IF(13=E11,D11*assumptions!$G$75,0),0)</f>
        <v>5867.46666666667</v>
      </c>
      <c r="T11" s="19" t="n">
        <f aca="false">IF(AND(14&gt;=E11,OR(F11="",14&lt;=F11)),(D11*(1+assumptions!$G$76)^1/12*(1+assumptions!$G$70+assumptions!$G$71+IF(14&gt;=assumptions!$G$73,assumptions!$G$72,0))+assumptions!$G$74/12)+IF(14=E11,D11*assumptions!$G$75,0),0)</f>
        <v>5867.46666666667</v>
      </c>
      <c r="U11" s="19" t="n">
        <f aca="false">IF(AND(15&gt;=E11,OR(F11="",15&lt;=F11)),(D11*(1+assumptions!$G$76)^1/12*(1+assumptions!$G$70+assumptions!$G$71+IF(15&gt;=assumptions!$G$73,assumptions!$G$72,0))+assumptions!$G$74/12)+IF(15=E11,D11*assumptions!$G$75,0),0)</f>
        <v>5867.46666666667</v>
      </c>
      <c r="V11" s="19" t="n">
        <f aca="false">IF(AND(16&gt;=E11,OR(F11="",16&lt;=F11)),(D11*(1+assumptions!$G$76)^1/12*(1+assumptions!$G$70+assumptions!$G$71+IF(16&gt;=assumptions!$G$73,assumptions!$G$72,0))+assumptions!$G$74/12)+IF(16=E11,D11*assumptions!$G$75,0),0)</f>
        <v>5867.46666666667</v>
      </c>
      <c r="W11" s="19" t="n">
        <f aca="false">IF(AND(17&gt;=E11,OR(F11="",17&lt;=F11)),(D11*(1+assumptions!$G$76)^1/12*(1+assumptions!$G$70+assumptions!$G$71+IF(17&gt;=assumptions!$G$73,assumptions!$G$72,0))+assumptions!$G$74/12)+IF(17=E11,D11*assumptions!$G$75,0),0)</f>
        <v>5867.46666666667</v>
      </c>
      <c r="X11" s="19" t="n">
        <f aca="false">IF(AND(18&gt;=E11,OR(F11="",18&lt;=F11)),(D11*(1+assumptions!$G$76)^1/12*(1+assumptions!$G$70+assumptions!$G$71+IF(18&gt;=assumptions!$G$73,assumptions!$G$72,0))+assumptions!$G$74/12)+IF(18=E11,D11*assumptions!$G$75,0),0)</f>
        <v>5867.46666666667</v>
      </c>
      <c r="Y11" s="19" t="n">
        <f aca="false">IF(AND(19&gt;=E11,OR(F11="",19&lt;=F11)),(D11*(1+assumptions!$G$76)^1/12*(1+assumptions!$G$70+assumptions!$G$71+IF(19&gt;=assumptions!$G$73,assumptions!$G$72,0))+assumptions!$G$74/12)+IF(19=E11,D11*assumptions!$G$75,0),0)</f>
        <v>5867.46666666667</v>
      </c>
      <c r="Z11" s="19" t="n">
        <f aca="false">IF(AND(20&gt;=E11,OR(F11="",20&lt;=F11)),(D11*(1+assumptions!$G$76)^1/12*(1+assumptions!$G$70+assumptions!$G$71+IF(20&gt;=assumptions!$G$73,assumptions!$G$72,0))+assumptions!$G$74/12)+IF(20=E11,D11*assumptions!$G$75,0),0)</f>
        <v>5867.46666666667</v>
      </c>
      <c r="AA11" s="19" t="n">
        <f aca="false">IF(AND(21&gt;=E11,OR(F11="",21&lt;=F11)),(D11*(1+assumptions!$G$76)^1/12*(1+assumptions!$G$70+assumptions!$G$71+IF(21&gt;=assumptions!$G$73,assumptions!$G$72,0))+assumptions!$G$74/12)+IF(21=E11,D11*assumptions!$G$75,0),0)</f>
        <v>5867.46666666667</v>
      </c>
      <c r="AB11" s="19" t="n">
        <f aca="false">IF(AND(22&gt;=E11,OR(F11="",22&lt;=F11)),(D11*(1+assumptions!$G$76)^1/12*(1+assumptions!$G$70+assumptions!$G$71+IF(22&gt;=assumptions!$G$73,assumptions!$G$72,0))+assumptions!$G$74/12)+IF(22=E11,D11*assumptions!$G$75,0),0)</f>
        <v>5867.46666666667</v>
      </c>
      <c r="AC11" s="19" t="n">
        <f aca="false">IF(AND(23&gt;=E11,OR(F11="",23&lt;=F11)),(D11*(1+assumptions!$G$76)^1/12*(1+assumptions!$G$70+assumptions!$G$71+IF(23&gt;=assumptions!$G$73,assumptions!$G$72,0))+assumptions!$G$74/12)+IF(23=E11,D11*assumptions!$G$75,0),0)</f>
        <v>5867.46666666667</v>
      </c>
      <c r="AD11" s="19" t="n">
        <f aca="false">IF(AND(24&gt;=E11,OR(F11="",24&lt;=F11)),(D11*(1+assumptions!$G$76)^1/12*(1+assumptions!$G$70+assumptions!$G$71+IF(24&gt;=assumptions!$G$73,assumptions!$G$72,0))+assumptions!$G$74/12)+IF(24=E11,D11*assumptions!$G$75,0),0)</f>
        <v>5891.3</v>
      </c>
      <c r="AE11" s="19" t="n">
        <f aca="false">IF(AND(25&gt;=E11,OR(F11="",25&lt;=F11)),(D11*(1+assumptions!$G$76)^2/12*(1+assumptions!$G$70+assumptions!$G$71+IF(25&gt;=assumptions!$G$73,assumptions!$G$72,0))+assumptions!$G$74/12)+IF(25=E11,D11*assumptions!$G$75,0),0)</f>
        <v>6114.952</v>
      </c>
      <c r="AF11" s="19" t="n">
        <f aca="false">IF(AND(26&gt;=E11,OR(F11="",26&lt;=F11)),(D11*(1+assumptions!$G$76)^2/12*(1+assumptions!$G$70+assumptions!$G$71+IF(26&gt;=assumptions!$G$73,assumptions!$G$72,0))+assumptions!$G$74/12)+IF(26=E11,D11*assumptions!$G$75,0),0)</f>
        <v>6114.952</v>
      </c>
      <c r="AG11" s="19" t="n">
        <f aca="false">IF(AND(27&gt;=E11,OR(F11="",27&lt;=F11)),(D11*(1+assumptions!$G$76)^2/12*(1+assumptions!$G$70+assumptions!$G$71+IF(27&gt;=assumptions!$G$73,assumptions!$G$72,0))+assumptions!$G$74/12)+IF(27=E11,D11*assumptions!$G$75,0),0)</f>
        <v>6114.952</v>
      </c>
      <c r="AH11" s="19" t="n">
        <f aca="false">IF(AND(28&gt;=E11,OR(F11="",28&lt;=F11)),(D11*(1+assumptions!$G$76)^2/12*(1+assumptions!$G$70+assumptions!$G$71+IF(28&gt;=assumptions!$G$73,assumptions!$G$72,0))+assumptions!$G$74/12)+IF(28=E11,D11*assumptions!$G$75,0),0)</f>
        <v>6114.952</v>
      </c>
      <c r="AI11" s="19" t="n">
        <f aca="false">IF(AND(29&gt;=E11,OR(F11="",29&lt;=F11)),(D11*(1+assumptions!$G$76)^2/12*(1+assumptions!$G$70+assumptions!$G$71+IF(29&gt;=assumptions!$G$73,assumptions!$G$72,0))+assumptions!$G$74/12)+IF(29=E11,D11*assumptions!$G$75,0),0)</f>
        <v>6114.952</v>
      </c>
      <c r="AJ11" s="19" t="n">
        <f aca="false">IF(AND(30&gt;=E11,OR(F11="",30&lt;=F11)),(D11*(1+assumptions!$G$76)^2/12*(1+assumptions!$G$70+assumptions!$G$71+IF(30&gt;=assumptions!$G$73,assumptions!$G$72,0))+assumptions!$G$74/12)+IF(30=E11,D11*assumptions!$G$75,0),0)</f>
        <v>6114.952</v>
      </c>
      <c r="AK11" s="19" t="n">
        <f aca="false">IF(AND(31&gt;=E11,OR(F11="",31&lt;=F11)),(D11*(1+assumptions!$G$76)^2/12*(1+assumptions!$G$70+assumptions!$G$71+IF(31&gt;=assumptions!$G$73,assumptions!$G$72,0))+assumptions!$G$74/12)+IF(31=E11,D11*assumptions!$G$75,0),0)</f>
        <v>6114.952</v>
      </c>
      <c r="AL11" s="19" t="n">
        <f aca="false">IF(AND(32&gt;=E11,OR(F11="",32&lt;=F11)),(D11*(1+assumptions!$G$76)^2/12*(1+assumptions!$G$70+assumptions!$G$71+IF(32&gt;=assumptions!$G$73,assumptions!$G$72,0))+assumptions!$G$74/12)+IF(32=E11,D11*assumptions!$G$75,0),0)</f>
        <v>6114.952</v>
      </c>
      <c r="AM11" s="19" t="n">
        <f aca="false">IF(AND(33&gt;=E11,OR(F11="",33&lt;=F11)),(D11*(1+assumptions!$G$76)^2/12*(1+assumptions!$G$70+assumptions!$G$71+IF(33&gt;=assumptions!$G$73,assumptions!$G$72,0))+assumptions!$G$74/12)+IF(33=E11,D11*assumptions!$G$75,0),0)</f>
        <v>6114.952</v>
      </c>
      <c r="AN11" s="19" t="n">
        <f aca="false">IF(AND(34&gt;=E11,OR(F11="",34&lt;=F11)),(D11*(1+assumptions!$G$76)^2/12*(1+assumptions!$G$70+assumptions!$G$71+IF(34&gt;=assumptions!$G$73,assumptions!$G$72,0))+assumptions!$G$74/12)+IF(34=E11,D11*assumptions!$G$75,0),0)</f>
        <v>6114.952</v>
      </c>
      <c r="AO11" s="19" t="n">
        <f aca="false">IF(AND(35&gt;=E11,OR(F11="",35&lt;=F11)),(D11*(1+assumptions!$G$76)^2/12*(1+assumptions!$G$70+assumptions!$G$71+IF(35&gt;=assumptions!$G$73,assumptions!$G$72,0))+assumptions!$G$74/12)+IF(35=E11,D11*assumptions!$G$75,0),0)</f>
        <v>6114.952</v>
      </c>
      <c r="AP11" s="19" t="n">
        <f aca="false">IF(AND(36&gt;=E11,OR(F11="",36&lt;=F11)),(D11*(1+assumptions!$G$76)^2/12*(1+assumptions!$G$70+assumptions!$G$71+IF(36&gt;=assumptions!$G$73,assumptions!$G$72,0))+assumptions!$G$74/12)+IF(36=E11,D11*assumptions!$G$75,0),0)</f>
        <v>6114.952</v>
      </c>
      <c r="AQ11" s="19" t="n">
        <f aca="false">IF(AND(37&gt;=E11,OR(F11="",37&lt;=F11)),(D11*(1+assumptions!$G$76)^3/12*(1+assumptions!$G$70+assumptions!$G$71+IF(37&gt;=assumptions!$G$73,assumptions!$G$72,0))+assumptions!$G$74/12)+IF(37=E11,D11*assumptions!$G$75,0),0)</f>
        <v>6347.55008</v>
      </c>
      <c r="AR11" s="19" t="n">
        <f aca="false">IF(AND(38&gt;=E11,OR(F11="",38&lt;=F11)),(D11*(1+assumptions!$G$76)^3/12*(1+assumptions!$G$70+assumptions!$G$71+IF(38&gt;=assumptions!$G$73,assumptions!$G$72,0))+assumptions!$G$74/12)+IF(38=E11,D11*assumptions!$G$75,0),0)</f>
        <v>6347.55008</v>
      </c>
      <c r="AS11" s="19" t="n">
        <f aca="false">IF(AND(39&gt;=E11,OR(F11="",39&lt;=F11)),(D11*(1+assumptions!$G$76)^3/12*(1+assumptions!$G$70+assumptions!$G$71+IF(39&gt;=assumptions!$G$73,assumptions!$G$72,0))+assumptions!$G$74/12)+IF(39=E11,D11*assumptions!$G$75,0),0)</f>
        <v>6347.55008</v>
      </c>
      <c r="AT11" s="19" t="n">
        <f aca="false">IF(AND(40&gt;=E11,OR(F11="",40&lt;=F11)),(D11*(1+assumptions!$G$76)^3/12*(1+assumptions!$G$70+assumptions!$G$71+IF(40&gt;=assumptions!$G$73,assumptions!$G$72,0))+assumptions!$G$74/12)+IF(40=E11,D11*assumptions!$G$75,0),0)</f>
        <v>6347.55008</v>
      </c>
      <c r="AU11" s="19" t="n">
        <f aca="false">IF(AND(41&gt;=E11,OR(F11="",41&lt;=F11)),(D11*(1+assumptions!$G$76)^3/12*(1+assumptions!$G$70+assumptions!$G$71+IF(41&gt;=assumptions!$G$73,assumptions!$G$72,0))+assumptions!$G$74/12)+IF(41=E11,D11*assumptions!$G$75,0),0)</f>
        <v>6347.55008</v>
      </c>
      <c r="AV11" s="19" t="n">
        <f aca="false">IF(AND(42&gt;=E11,OR(F11="",42&lt;=F11)),(D11*(1+assumptions!$G$76)^3/12*(1+assumptions!$G$70+assumptions!$G$71+IF(42&gt;=assumptions!$G$73,assumptions!$G$72,0))+assumptions!$G$74/12)+IF(42=E11,D11*assumptions!$G$75,0),0)</f>
        <v>6347.55008</v>
      </c>
      <c r="AW11" s="19" t="n">
        <f aca="false">IF(AND(43&gt;=E11,OR(F11="",43&lt;=F11)),(D11*(1+assumptions!$G$76)^3/12*(1+assumptions!$G$70+assumptions!$G$71+IF(43&gt;=assumptions!$G$73,assumptions!$G$72,0))+assumptions!$G$74/12)+IF(43=E11,D11*assumptions!$G$75,0),0)</f>
        <v>6347.55008</v>
      </c>
      <c r="AX11" s="19" t="n">
        <f aca="false">IF(AND(44&gt;=E11,OR(F11="",44&lt;=F11)),(D11*(1+assumptions!$G$76)^3/12*(1+assumptions!$G$70+assumptions!$G$71+IF(44&gt;=assumptions!$G$73,assumptions!$G$72,0))+assumptions!$G$74/12)+IF(44=E11,D11*assumptions!$G$75,0),0)</f>
        <v>6347.55008</v>
      </c>
      <c r="AY11" s="19" t="n">
        <f aca="false">IF(AND(45&gt;=E11,OR(F11="",45&lt;=F11)),(D11*(1+assumptions!$G$76)^3/12*(1+assumptions!$G$70+assumptions!$G$71+IF(45&gt;=assumptions!$G$73,assumptions!$G$72,0))+assumptions!$G$74/12)+IF(45=E11,D11*assumptions!$G$75,0),0)</f>
        <v>6347.55008</v>
      </c>
      <c r="AZ11" s="19" t="n">
        <f aca="false">IF(AND(46&gt;=E11,OR(F11="",46&lt;=F11)),(D11*(1+assumptions!$G$76)^3/12*(1+assumptions!$G$70+assumptions!$G$71+IF(46&gt;=assumptions!$G$73,assumptions!$G$72,0))+assumptions!$G$74/12)+IF(46=E11,D11*assumptions!$G$75,0),0)</f>
        <v>6347.55008</v>
      </c>
      <c r="BA11" s="19" t="n">
        <f aca="false">IF(AND(47&gt;=E11,OR(F11="",47&lt;=F11)),(D11*(1+assumptions!$G$76)^3/12*(1+assumptions!$G$70+assumptions!$G$71+IF(47&gt;=assumptions!$G$73,assumptions!$G$72,0))+assumptions!$G$74/12)+IF(47=E11,D11*assumptions!$G$75,0),0)</f>
        <v>6347.55008</v>
      </c>
      <c r="BB11" s="19" t="n">
        <f aca="false">IF(AND(48&gt;=E11,OR(F11="",48&lt;=F11)),(D11*(1+assumptions!$G$76)^3/12*(1+assumptions!$G$70+assumptions!$G$71+IF(48&gt;=assumptions!$G$73,assumptions!$G$72,0))+assumptions!$G$74/12)+IF(48=E11,D11*assumptions!$G$75,0),0)</f>
        <v>6347.55008</v>
      </c>
      <c r="BC11" s="19" t="n">
        <f aca="false">IF(AND(49&gt;=E11,OR(F11="",49&lt;=F11)),(D11*(1+assumptions!$G$76)^4/12*(1+assumptions!$G$70+assumptions!$G$71+IF(49&gt;=assumptions!$G$73,assumptions!$G$72,0))+assumptions!$G$74/12)+IF(49=E11,D11*assumptions!$G$75,0),0)</f>
        <v>6589.4520832</v>
      </c>
      <c r="BD11" s="19" t="n">
        <f aca="false">IF(AND(50&gt;=E11,OR(F11="",50&lt;=F11)),(D11*(1+assumptions!$G$76)^4/12*(1+assumptions!$G$70+assumptions!$G$71+IF(50&gt;=assumptions!$G$73,assumptions!$G$72,0))+assumptions!$G$74/12)+IF(50=E11,D11*assumptions!$G$75,0),0)</f>
        <v>6589.4520832</v>
      </c>
      <c r="BE11" s="19" t="n">
        <f aca="false">IF(AND(51&gt;=E11,OR(F11="",51&lt;=F11)),(D11*(1+assumptions!$G$76)^4/12*(1+assumptions!$G$70+assumptions!$G$71+IF(51&gt;=assumptions!$G$73,assumptions!$G$72,0))+assumptions!$G$74/12)+IF(51=E11,D11*assumptions!$G$75,0),0)</f>
        <v>6589.4520832</v>
      </c>
      <c r="BF11" s="19" t="n">
        <f aca="false">IF(AND(52&gt;=E11,OR(F11="",52&lt;=F11)),(D11*(1+assumptions!$G$76)^4/12*(1+assumptions!$G$70+assumptions!$G$71+IF(52&gt;=assumptions!$G$73,assumptions!$G$72,0))+assumptions!$G$74/12)+IF(52=E11,D11*assumptions!$G$75,0),0)</f>
        <v>6589.4520832</v>
      </c>
      <c r="BG11" s="19" t="n">
        <f aca="false">IF(AND(53&gt;=E11,OR(F11="",53&lt;=F11)),(D11*(1+assumptions!$G$76)^4/12*(1+assumptions!$G$70+assumptions!$G$71+IF(53&gt;=assumptions!$G$73,assumptions!$G$72,0))+assumptions!$G$74/12)+IF(53=E11,D11*assumptions!$G$75,0),0)</f>
        <v>6589.4520832</v>
      </c>
      <c r="BH11" s="19" t="n">
        <f aca="false">IF(AND(54&gt;=E11,OR(F11="",54&lt;=F11)),(D11*(1+assumptions!$G$76)^4/12*(1+assumptions!$G$70+assumptions!$G$71+IF(54&gt;=assumptions!$G$73,assumptions!$G$72,0))+assumptions!$G$74/12)+IF(54=E11,D11*assumptions!$G$75,0),0)</f>
        <v>6589.4520832</v>
      </c>
      <c r="BI11" s="19" t="n">
        <f aca="false">IF(AND(55&gt;=E11,OR(F11="",55&lt;=F11)),(D11*(1+assumptions!$G$76)^4/12*(1+assumptions!$G$70+assumptions!$G$71+IF(55&gt;=assumptions!$G$73,assumptions!$G$72,0))+assumptions!$G$74/12)+IF(55=E11,D11*assumptions!$G$75,0),0)</f>
        <v>6589.4520832</v>
      </c>
      <c r="BJ11" s="19" t="n">
        <f aca="false">IF(AND(56&gt;=E11,OR(F11="",56&lt;=F11)),(D11*(1+assumptions!$G$76)^4/12*(1+assumptions!$G$70+assumptions!$G$71+IF(56&gt;=assumptions!$G$73,assumptions!$G$72,0))+assumptions!$G$74/12)+IF(56=E11,D11*assumptions!$G$75,0),0)</f>
        <v>6589.4520832</v>
      </c>
      <c r="BK11" s="19" t="n">
        <f aca="false">IF(AND(57&gt;=E11,OR(F11="",57&lt;=F11)),(D11*(1+assumptions!$G$76)^4/12*(1+assumptions!$G$70+assumptions!$G$71+IF(57&gt;=assumptions!$G$73,assumptions!$G$72,0))+assumptions!$G$74/12)+IF(57=E11,D11*assumptions!$G$75,0),0)</f>
        <v>6589.4520832</v>
      </c>
      <c r="BL11" s="19" t="n">
        <f aca="false">IF(AND(58&gt;=E11,OR(F11="",58&lt;=F11)),(D11*(1+assumptions!$G$76)^4/12*(1+assumptions!$G$70+assumptions!$G$71+IF(58&gt;=assumptions!$G$73,assumptions!$G$72,0))+assumptions!$G$74/12)+IF(58=E11,D11*assumptions!$G$75,0),0)</f>
        <v>6589.4520832</v>
      </c>
      <c r="BM11" s="19" t="n">
        <f aca="false">IF(AND(59&gt;=E11,OR(F11="",59&lt;=F11)),(D11*(1+assumptions!$G$76)^4/12*(1+assumptions!$G$70+assumptions!$G$71+IF(59&gt;=assumptions!$G$73,assumptions!$G$72,0))+assumptions!$G$74/12)+IF(59=E11,D11*assumptions!$G$75,0),0)</f>
        <v>6589.4520832</v>
      </c>
      <c r="BN11" s="19" t="n">
        <f aca="false">IF(AND(60&gt;=E11,OR(F11="",60&lt;=F11)),(D11*(1+assumptions!$G$76)^4/12*(1+assumptions!$G$70+assumptions!$G$71+IF(60&gt;=assumptions!$G$73,assumptions!$G$72,0))+assumptions!$G$74/12)+IF(60=E11,D11*assumptions!$G$75,0),0)</f>
        <v>6589.4520832</v>
      </c>
    </row>
    <row r="12" customFormat="false" ht="14.25" hidden="false" customHeight="false" outlineLevel="0" collapsed="false">
      <c r="A12" s="7" t="n">
        <v>9</v>
      </c>
      <c r="B12" s="7" t="s">
        <v>348</v>
      </c>
      <c r="C12" s="7" t="s">
        <v>349</v>
      </c>
      <c r="D12" s="17" t="n">
        <v>80000</v>
      </c>
      <c r="E12" s="49" t="n">
        <v>6</v>
      </c>
      <c r="F12" s="49"/>
      <c r="G12" s="19" t="n">
        <f aca="false">IF(AND(1&gt;=E12,OR(F12="",1&lt;=F12)),(D12*(1+assumptions!$G$76)^0/12*(1+assumptions!$G$70+assumptions!$G$71+IF(1&gt;=assumptions!$G$73,assumptions!$G$72,0))+assumptions!$G$74/12)+IF(1=E12,D12*assumptions!$G$75,0),0)</f>
        <v>0</v>
      </c>
      <c r="H12" s="19" t="n">
        <f aca="false">IF(AND(2&gt;=E12,OR(F12="",2&lt;=F12)),(D12*(1+assumptions!$G$76)^0/12*(1+assumptions!$G$70+assumptions!$G$71+IF(2&gt;=assumptions!$G$73,assumptions!$G$72,0))+assumptions!$G$74/12)+IF(2=E12,D12*assumptions!$G$75,0),0)</f>
        <v>0</v>
      </c>
      <c r="I12" s="19" t="n">
        <f aca="false">IF(AND(3&gt;=E12,OR(F12="",3&lt;=F12)),(D12*(1+assumptions!$G$76)^0/12*(1+assumptions!$G$70+assumptions!$G$71+IF(3&gt;=assumptions!$G$73,assumptions!$G$72,0))+assumptions!$G$74/12)+IF(3=E12,D12*assumptions!$G$75,0),0)</f>
        <v>0</v>
      </c>
      <c r="J12" s="19" t="n">
        <f aca="false">IF(AND(4&gt;=E12,OR(F12="",4&lt;=F12)),(D12*(1+assumptions!$G$76)^0/12*(1+assumptions!$G$70+assumptions!$G$71+IF(4&gt;=assumptions!$G$73,assumptions!$G$72,0))+assumptions!$G$74/12)+IF(4=E12,D12*assumptions!$G$75,0),0)</f>
        <v>0</v>
      </c>
      <c r="K12" s="19" t="n">
        <f aca="false">IF(AND(5&gt;=E12,OR(F12="",5&lt;=F12)),(D12*(1+assumptions!$G$76)^0/12*(1+assumptions!$G$70+assumptions!$G$71+IF(5&gt;=assumptions!$G$73,assumptions!$G$72,0))+assumptions!$G$74/12)+IF(5=E12,D12*assumptions!$G$75,0),0)</f>
        <v>0</v>
      </c>
      <c r="L12" s="19" t="n">
        <f aca="false">IF(AND(6&gt;=E12,OR(F12="",6&lt;=F12)),(D12*(1+assumptions!$G$76)^0/12*(1+assumptions!$G$70+assumptions!$G$71+IF(6&gt;=assumptions!$G$73,assumptions!$G$72,0))+assumptions!$G$74/12)+IF(6=E12,D12*assumptions!$G$75,0),0)</f>
        <v>20086.6666666667</v>
      </c>
      <c r="M12" s="19" t="n">
        <f aca="false">IF(AND(7&gt;=E12,OR(F12="",7&lt;=F12)),(D12*(1+assumptions!$G$76)^0/12*(1+assumptions!$G$70+assumptions!$G$71+IF(7&gt;=assumptions!$G$73,assumptions!$G$72,0))+assumptions!$G$74/12)+IF(7=E12,D12*assumptions!$G$75,0),0)</f>
        <v>8086.66666666667</v>
      </c>
      <c r="N12" s="19" t="n">
        <f aca="false">IF(AND(8&gt;=E12,OR(F12="",8&lt;=F12)),(D12*(1+assumptions!$G$76)^0/12*(1+assumptions!$G$70+assumptions!$G$71+IF(8&gt;=assumptions!$G$73,assumptions!$G$72,0))+assumptions!$G$74/12)+IF(8=E12,D12*assumptions!$G$75,0),0)</f>
        <v>8086.66666666667</v>
      </c>
      <c r="O12" s="19" t="n">
        <f aca="false">IF(AND(9&gt;=E12,OR(F12="",9&lt;=F12)),(D12*(1+assumptions!$G$76)^0/12*(1+assumptions!$G$70+assumptions!$G$71+IF(9&gt;=assumptions!$G$73,assumptions!$G$72,0))+assumptions!$G$74/12)+IF(9=E12,D12*assumptions!$G$75,0),0)</f>
        <v>8086.66666666667</v>
      </c>
      <c r="P12" s="19" t="n">
        <f aca="false">IF(AND(10&gt;=E12,OR(F12="",10&lt;=F12)),(D12*(1+assumptions!$G$76)^0/12*(1+assumptions!$G$70+assumptions!$G$71+IF(10&gt;=assumptions!$G$73,assumptions!$G$72,0))+assumptions!$G$74/12)+IF(10=E12,D12*assumptions!$G$75,0),0)</f>
        <v>8086.66666666667</v>
      </c>
      <c r="Q12" s="19" t="n">
        <f aca="false">IF(AND(11&gt;=E12,OR(F12="",11&lt;=F12)),(D12*(1+assumptions!$G$76)^0/12*(1+assumptions!$G$70+assumptions!$G$71+IF(11&gt;=assumptions!$G$73,assumptions!$G$72,0))+assumptions!$G$74/12)+IF(11=E12,D12*assumptions!$G$75,0),0)</f>
        <v>8086.66666666667</v>
      </c>
      <c r="R12" s="19" t="n">
        <f aca="false">IF(AND(12&gt;=E12,OR(F12="",12&lt;=F12)),(D12*(1+assumptions!$G$76)^0/12*(1+assumptions!$G$70+assumptions!$G$71+IF(12&gt;=assumptions!$G$73,assumptions!$G$72,0))+assumptions!$G$74/12)+IF(12=E12,D12*assumptions!$G$75,0),0)</f>
        <v>8086.66666666667</v>
      </c>
      <c r="S12" s="19" t="n">
        <f aca="false">IF(AND(13&gt;=E12,OR(F12="",13&lt;=F12)),(D12*(1+assumptions!$G$76)^1/12*(1+assumptions!$G$70+assumptions!$G$71+IF(13&gt;=assumptions!$G$73,assumptions!$G$72,0))+assumptions!$G$74/12)+IF(13=E12,D12*assumptions!$G$75,0),0)</f>
        <v>8398.13333333333</v>
      </c>
      <c r="T12" s="19" t="n">
        <f aca="false">IF(AND(14&gt;=E12,OR(F12="",14&lt;=F12)),(D12*(1+assumptions!$G$76)^1/12*(1+assumptions!$G$70+assumptions!$G$71+IF(14&gt;=assumptions!$G$73,assumptions!$G$72,0))+assumptions!$G$74/12)+IF(14=E12,D12*assumptions!$G$75,0),0)</f>
        <v>8398.13333333333</v>
      </c>
      <c r="U12" s="19" t="n">
        <f aca="false">IF(AND(15&gt;=E12,OR(F12="",15&lt;=F12)),(D12*(1+assumptions!$G$76)^1/12*(1+assumptions!$G$70+assumptions!$G$71+IF(15&gt;=assumptions!$G$73,assumptions!$G$72,0))+assumptions!$G$74/12)+IF(15=E12,D12*assumptions!$G$75,0),0)</f>
        <v>8398.13333333333</v>
      </c>
      <c r="V12" s="19" t="n">
        <f aca="false">IF(AND(16&gt;=E12,OR(F12="",16&lt;=F12)),(D12*(1+assumptions!$G$76)^1/12*(1+assumptions!$G$70+assumptions!$G$71+IF(16&gt;=assumptions!$G$73,assumptions!$G$72,0))+assumptions!$G$74/12)+IF(16=E12,D12*assumptions!$G$75,0),0)</f>
        <v>8398.13333333333</v>
      </c>
      <c r="W12" s="19" t="n">
        <f aca="false">IF(AND(17&gt;=E12,OR(F12="",17&lt;=F12)),(D12*(1+assumptions!$G$76)^1/12*(1+assumptions!$G$70+assumptions!$G$71+IF(17&gt;=assumptions!$G$73,assumptions!$G$72,0))+assumptions!$G$74/12)+IF(17=E12,D12*assumptions!$G$75,0),0)</f>
        <v>8398.13333333333</v>
      </c>
      <c r="X12" s="19" t="n">
        <f aca="false">IF(AND(18&gt;=E12,OR(F12="",18&lt;=F12)),(D12*(1+assumptions!$G$76)^1/12*(1+assumptions!$G$70+assumptions!$G$71+IF(18&gt;=assumptions!$G$73,assumptions!$G$72,0))+assumptions!$G$74/12)+IF(18=E12,D12*assumptions!$G$75,0),0)</f>
        <v>8398.13333333333</v>
      </c>
      <c r="Y12" s="19" t="n">
        <f aca="false">IF(AND(19&gt;=E12,OR(F12="",19&lt;=F12)),(D12*(1+assumptions!$G$76)^1/12*(1+assumptions!$G$70+assumptions!$G$71+IF(19&gt;=assumptions!$G$73,assumptions!$G$72,0))+assumptions!$G$74/12)+IF(19=E12,D12*assumptions!$G$75,0),0)</f>
        <v>8398.13333333333</v>
      </c>
      <c r="Z12" s="19" t="n">
        <f aca="false">IF(AND(20&gt;=E12,OR(F12="",20&lt;=F12)),(D12*(1+assumptions!$G$76)^1/12*(1+assumptions!$G$70+assumptions!$G$71+IF(20&gt;=assumptions!$G$73,assumptions!$G$72,0))+assumptions!$G$74/12)+IF(20=E12,D12*assumptions!$G$75,0),0)</f>
        <v>8398.13333333333</v>
      </c>
      <c r="AA12" s="19" t="n">
        <f aca="false">IF(AND(21&gt;=E12,OR(F12="",21&lt;=F12)),(D12*(1+assumptions!$G$76)^1/12*(1+assumptions!$G$70+assumptions!$G$71+IF(21&gt;=assumptions!$G$73,assumptions!$G$72,0))+assumptions!$G$74/12)+IF(21=E12,D12*assumptions!$G$75,0),0)</f>
        <v>8398.13333333333</v>
      </c>
      <c r="AB12" s="19" t="n">
        <f aca="false">IF(AND(22&gt;=E12,OR(F12="",22&lt;=F12)),(D12*(1+assumptions!$G$76)^1/12*(1+assumptions!$G$70+assumptions!$G$71+IF(22&gt;=assumptions!$G$73,assumptions!$G$72,0))+assumptions!$G$74/12)+IF(22=E12,D12*assumptions!$G$75,0),0)</f>
        <v>8398.13333333333</v>
      </c>
      <c r="AC12" s="19" t="n">
        <f aca="false">IF(AND(23&gt;=E12,OR(F12="",23&lt;=F12)),(D12*(1+assumptions!$G$76)^1/12*(1+assumptions!$G$70+assumptions!$G$71+IF(23&gt;=assumptions!$G$73,assumptions!$G$72,0))+assumptions!$G$74/12)+IF(23=E12,D12*assumptions!$G$75,0),0)</f>
        <v>8398.13333333333</v>
      </c>
      <c r="AD12" s="19" t="n">
        <f aca="false">IF(AND(24&gt;=E12,OR(F12="",24&lt;=F12)),(D12*(1+assumptions!$G$76)^1/12*(1+assumptions!$G$70+assumptions!$G$71+IF(24&gt;=assumptions!$G$73,assumptions!$G$72,0))+assumptions!$G$74/12)+IF(24=E12,D12*assumptions!$G$75,0),0)</f>
        <v>8432.8</v>
      </c>
      <c r="AE12" s="19" t="n">
        <f aca="false">IF(AND(25&gt;=E12,OR(F12="",25&lt;=F12)),(D12*(1+assumptions!$G$76)^2/12*(1+assumptions!$G$70+assumptions!$G$71+IF(25&gt;=assumptions!$G$73,assumptions!$G$72,0))+assumptions!$G$74/12)+IF(25=E12,D12*assumptions!$G$75,0),0)</f>
        <v>8758.112</v>
      </c>
      <c r="AF12" s="19" t="n">
        <f aca="false">IF(AND(26&gt;=E12,OR(F12="",26&lt;=F12)),(D12*(1+assumptions!$G$76)^2/12*(1+assumptions!$G$70+assumptions!$G$71+IF(26&gt;=assumptions!$G$73,assumptions!$G$72,0))+assumptions!$G$74/12)+IF(26=E12,D12*assumptions!$G$75,0),0)</f>
        <v>8758.112</v>
      </c>
      <c r="AG12" s="19" t="n">
        <f aca="false">IF(AND(27&gt;=E12,OR(F12="",27&lt;=F12)),(D12*(1+assumptions!$G$76)^2/12*(1+assumptions!$G$70+assumptions!$G$71+IF(27&gt;=assumptions!$G$73,assumptions!$G$72,0))+assumptions!$G$74/12)+IF(27=E12,D12*assumptions!$G$75,0),0)</f>
        <v>8758.112</v>
      </c>
      <c r="AH12" s="19" t="n">
        <f aca="false">IF(AND(28&gt;=E12,OR(F12="",28&lt;=F12)),(D12*(1+assumptions!$G$76)^2/12*(1+assumptions!$G$70+assumptions!$G$71+IF(28&gt;=assumptions!$G$73,assumptions!$G$72,0))+assumptions!$G$74/12)+IF(28=E12,D12*assumptions!$G$75,0),0)</f>
        <v>8758.112</v>
      </c>
      <c r="AI12" s="19" t="n">
        <f aca="false">IF(AND(29&gt;=E12,OR(F12="",29&lt;=F12)),(D12*(1+assumptions!$G$76)^2/12*(1+assumptions!$G$70+assumptions!$G$71+IF(29&gt;=assumptions!$G$73,assumptions!$G$72,0))+assumptions!$G$74/12)+IF(29=E12,D12*assumptions!$G$75,0),0)</f>
        <v>8758.112</v>
      </c>
      <c r="AJ12" s="19" t="n">
        <f aca="false">IF(AND(30&gt;=E12,OR(F12="",30&lt;=F12)),(D12*(1+assumptions!$G$76)^2/12*(1+assumptions!$G$70+assumptions!$G$71+IF(30&gt;=assumptions!$G$73,assumptions!$G$72,0))+assumptions!$G$74/12)+IF(30=E12,D12*assumptions!$G$75,0),0)</f>
        <v>8758.112</v>
      </c>
      <c r="AK12" s="19" t="n">
        <f aca="false">IF(AND(31&gt;=E12,OR(F12="",31&lt;=F12)),(D12*(1+assumptions!$G$76)^2/12*(1+assumptions!$G$70+assumptions!$G$71+IF(31&gt;=assumptions!$G$73,assumptions!$G$72,0))+assumptions!$G$74/12)+IF(31=E12,D12*assumptions!$G$75,0),0)</f>
        <v>8758.112</v>
      </c>
      <c r="AL12" s="19" t="n">
        <f aca="false">IF(AND(32&gt;=E12,OR(F12="",32&lt;=F12)),(D12*(1+assumptions!$G$76)^2/12*(1+assumptions!$G$70+assumptions!$G$71+IF(32&gt;=assumptions!$G$73,assumptions!$G$72,0))+assumptions!$G$74/12)+IF(32=E12,D12*assumptions!$G$75,0),0)</f>
        <v>8758.112</v>
      </c>
      <c r="AM12" s="19" t="n">
        <f aca="false">IF(AND(33&gt;=E12,OR(F12="",33&lt;=F12)),(D12*(1+assumptions!$G$76)^2/12*(1+assumptions!$G$70+assumptions!$G$71+IF(33&gt;=assumptions!$G$73,assumptions!$G$72,0))+assumptions!$G$74/12)+IF(33=E12,D12*assumptions!$G$75,0),0)</f>
        <v>8758.112</v>
      </c>
      <c r="AN12" s="19" t="n">
        <f aca="false">IF(AND(34&gt;=E12,OR(F12="",34&lt;=F12)),(D12*(1+assumptions!$G$76)^2/12*(1+assumptions!$G$70+assumptions!$G$71+IF(34&gt;=assumptions!$G$73,assumptions!$G$72,0))+assumptions!$G$74/12)+IF(34=E12,D12*assumptions!$G$75,0),0)</f>
        <v>8758.112</v>
      </c>
      <c r="AO12" s="19" t="n">
        <f aca="false">IF(AND(35&gt;=E12,OR(F12="",35&lt;=F12)),(D12*(1+assumptions!$G$76)^2/12*(1+assumptions!$G$70+assumptions!$G$71+IF(35&gt;=assumptions!$G$73,assumptions!$G$72,0))+assumptions!$G$74/12)+IF(35=E12,D12*assumptions!$G$75,0),0)</f>
        <v>8758.112</v>
      </c>
      <c r="AP12" s="19" t="n">
        <f aca="false">IF(AND(36&gt;=E12,OR(F12="",36&lt;=F12)),(D12*(1+assumptions!$G$76)^2/12*(1+assumptions!$G$70+assumptions!$G$71+IF(36&gt;=assumptions!$G$73,assumptions!$G$72,0))+assumptions!$G$74/12)+IF(36=E12,D12*assumptions!$G$75,0),0)</f>
        <v>8758.112</v>
      </c>
      <c r="AQ12" s="19" t="n">
        <f aca="false">IF(AND(37&gt;=E12,OR(F12="",37&lt;=F12)),(D12*(1+assumptions!$G$76)^3/12*(1+assumptions!$G$70+assumptions!$G$71+IF(37&gt;=assumptions!$G$73,assumptions!$G$72,0))+assumptions!$G$74/12)+IF(37=E12,D12*assumptions!$G$75,0),0)</f>
        <v>9096.43648</v>
      </c>
      <c r="AR12" s="19" t="n">
        <f aca="false">IF(AND(38&gt;=E12,OR(F12="",38&lt;=F12)),(D12*(1+assumptions!$G$76)^3/12*(1+assumptions!$G$70+assumptions!$G$71+IF(38&gt;=assumptions!$G$73,assumptions!$G$72,0))+assumptions!$G$74/12)+IF(38=E12,D12*assumptions!$G$75,0),0)</f>
        <v>9096.43648</v>
      </c>
      <c r="AS12" s="19" t="n">
        <f aca="false">IF(AND(39&gt;=E12,OR(F12="",39&lt;=F12)),(D12*(1+assumptions!$G$76)^3/12*(1+assumptions!$G$70+assumptions!$G$71+IF(39&gt;=assumptions!$G$73,assumptions!$G$72,0))+assumptions!$G$74/12)+IF(39=E12,D12*assumptions!$G$75,0),0)</f>
        <v>9096.43648</v>
      </c>
      <c r="AT12" s="19" t="n">
        <f aca="false">IF(AND(40&gt;=E12,OR(F12="",40&lt;=F12)),(D12*(1+assumptions!$G$76)^3/12*(1+assumptions!$G$70+assumptions!$G$71+IF(40&gt;=assumptions!$G$73,assumptions!$G$72,0))+assumptions!$G$74/12)+IF(40=E12,D12*assumptions!$G$75,0),0)</f>
        <v>9096.43648</v>
      </c>
      <c r="AU12" s="19" t="n">
        <f aca="false">IF(AND(41&gt;=E12,OR(F12="",41&lt;=F12)),(D12*(1+assumptions!$G$76)^3/12*(1+assumptions!$G$70+assumptions!$G$71+IF(41&gt;=assumptions!$G$73,assumptions!$G$72,0))+assumptions!$G$74/12)+IF(41=E12,D12*assumptions!$G$75,0),0)</f>
        <v>9096.43648</v>
      </c>
      <c r="AV12" s="19" t="n">
        <f aca="false">IF(AND(42&gt;=E12,OR(F12="",42&lt;=F12)),(D12*(1+assumptions!$G$76)^3/12*(1+assumptions!$G$70+assumptions!$G$71+IF(42&gt;=assumptions!$G$73,assumptions!$G$72,0))+assumptions!$G$74/12)+IF(42=E12,D12*assumptions!$G$75,0),0)</f>
        <v>9096.43648</v>
      </c>
      <c r="AW12" s="19" t="n">
        <f aca="false">IF(AND(43&gt;=E12,OR(F12="",43&lt;=F12)),(D12*(1+assumptions!$G$76)^3/12*(1+assumptions!$G$70+assumptions!$G$71+IF(43&gt;=assumptions!$G$73,assumptions!$G$72,0))+assumptions!$G$74/12)+IF(43=E12,D12*assumptions!$G$75,0),0)</f>
        <v>9096.43648</v>
      </c>
      <c r="AX12" s="19" t="n">
        <f aca="false">IF(AND(44&gt;=E12,OR(F12="",44&lt;=F12)),(D12*(1+assumptions!$G$76)^3/12*(1+assumptions!$G$70+assumptions!$G$71+IF(44&gt;=assumptions!$G$73,assumptions!$G$72,0))+assumptions!$G$74/12)+IF(44=E12,D12*assumptions!$G$75,0),0)</f>
        <v>9096.43648</v>
      </c>
      <c r="AY12" s="19" t="n">
        <f aca="false">IF(AND(45&gt;=E12,OR(F12="",45&lt;=F12)),(D12*(1+assumptions!$G$76)^3/12*(1+assumptions!$G$70+assumptions!$G$71+IF(45&gt;=assumptions!$G$73,assumptions!$G$72,0))+assumptions!$G$74/12)+IF(45=E12,D12*assumptions!$G$75,0),0)</f>
        <v>9096.43648</v>
      </c>
      <c r="AZ12" s="19" t="n">
        <f aca="false">IF(AND(46&gt;=E12,OR(F12="",46&lt;=F12)),(D12*(1+assumptions!$G$76)^3/12*(1+assumptions!$G$70+assumptions!$G$71+IF(46&gt;=assumptions!$G$73,assumptions!$G$72,0))+assumptions!$G$74/12)+IF(46=E12,D12*assumptions!$G$75,0),0)</f>
        <v>9096.43648</v>
      </c>
      <c r="BA12" s="19" t="n">
        <f aca="false">IF(AND(47&gt;=E12,OR(F12="",47&lt;=F12)),(D12*(1+assumptions!$G$76)^3/12*(1+assumptions!$G$70+assumptions!$G$71+IF(47&gt;=assumptions!$G$73,assumptions!$G$72,0))+assumptions!$G$74/12)+IF(47=E12,D12*assumptions!$G$75,0),0)</f>
        <v>9096.43648</v>
      </c>
      <c r="BB12" s="19" t="n">
        <f aca="false">IF(AND(48&gt;=E12,OR(F12="",48&lt;=F12)),(D12*(1+assumptions!$G$76)^3/12*(1+assumptions!$G$70+assumptions!$G$71+IF(48&gt;=assumptions!$G$73,assumptions!$G$72,0))+assumptions!$G$74/12)+IF(48=E12,D12*assumptions!$G$75,0),0)</f>
        <v>9096.43648</v>
      </c>
      <c r="BC12" s="19" t="n">
        <f aca="false">IF(AND(49&gt;=E12,OR(F12="",49&lt;=F12)),(D12*(1+assumptions!$G$76)^4/12*(1+assumptions!$G$70+assumptions!$G$71+IF(49&gt;=assumptions!$G$73,assumptions!$G$72,0))+assumptions!$G$74/12)+IF(49=E12,D12*assumptions!$G$75,0),0)</f>
        <v>9448.2939392</v>
      </c>
      <c r="BD12" s="19" t="n">
        <f aca="false">IF(AND(50&gt;=E12,OR(F12="",50&lt;=F12)),(D12*(1+assumptions!$G$76)^4/12*(1+assumptions!$G$70+assumptions!$G$71+IF(50&gt;=assumptions!$G$73,assumptions!$G$72,0))+assumptions!$G$74/12)+IF(50=E12,D12*assumptions!$G$75,0),0)</f>
        <v>9448.2939392</v>
      </c>
      <c r="BE12" s="19" t="n">
        <f aca="false">IF(AND(51&gt;=E12,OR(F12="",51&lt;=F12)),(D12*(1+assumptions!$G$76)^4/12*(1+assumptions!$G$70+assumptions!$G$71+IF(51&gt;=assumptions!$G$73,assumptions!$G$72,0))+assumptions!$G$74/12)+IF(51=E12,D12*assumptions!$G$75,0),0)</f>
        <v>9448.2939392</v>
      </c>
      <c r="BF12" s="19" t="n">
        <f aca="false">IF(AND(52&gt;=E12,OR(F12="",52&lt;=F12)),(D12*(1+assumptions!$G$76)^4/12*(1+assumptions!$G$70+assumptions!$G$71+IF(52&gt;=assumptions!$G$73,assumptions!$G$72,0))+assumptions!$G$74/12)+IF(52=E12,D12*assumptions!$G$75,0),0)</f>
        <v>9448.2939392</v>
      </c>
      <c r="BG12" s="19" t="n">
        <f aca="false">IF(AND(53&gt;=E12,OR(F12="",53&lt;=F12)),(D12*(1+assumptions!$G$76)^4/12*(1+assumptions!$G$70+assumptions!$G$71+IF(53&gt;=assumptions!$G$73,assumptions!$G$72,0))+assumptions!$G$74/12)+IF(53=E12,D12*assumptions!$G$75,0),0)</f>
        <v>9448.2939392</v>
      </c>
      <c r="BH12" s="19" t="n">
        <f aca="false">IF(AND(54&gt;=E12,OR(F12="",54&lt;=F12)),(D12*(1+assumptions!$G$76)^4/12*(1+assumptions!$G$70+assumptions!$G$71+IF(54&gt;=assumptions!$G$73,assumptions!$G$72,0))+assumptions!$G$74/12)+IF(54=E12,D12*assumptions!$G$75,0),0)</f>
        <v>9448.2939392</v>
      </c>
      <c r="BI12" s="19" t="n">
        <f aca="false">IF(AND(55&gt;=E12,OR(F12="",55&lt;=F12)),(D12*(1+assumptions!$G$76)^4/12*(1+assumptions!$G$70+assumptions!$G$71+IF(55&gt;=assumptions!$G$73,assumptions!$G$72,0))+assumptions!$G$74/12)+IF(55=E12,D12*assumptions!$G$75,0),0)</f>
        <v>9448.2939392</v>
      </c>
      <c r="BJ12" s="19" t="n">
        <f aca="false">IF(AND(56&gt;=E12,OR(F12="",56&lt;=F12)),(D12*(1+assumptions!$G$76)^4/12*(1+assumptions!$G$70+assumptions!$G$71+IF(56&gt;=assumptions!$G$73,assumptions!$G$72,0))+assumptions!$G$74/12)+IF(56=E12,D12*assumptions!$G$75,0),0)</f>
        <v>9448.2939392</v>
      </c>
      <c r="BK12" s="19" t="n">
        <f aca="false">IF(AND(57&gt;=E12,OR(F12="",57&lt;=F12)),(D12*(1+assumptions!$G$76)^4/12*(1+assumptions!$G$70+assumptions!$G$71+IF(57&gt;=assumptions!$G$73,assumptions!$G$72,0))+assumptions!$G$74/12)+IF(57=E12,D12*assumptions!$G$75,0),0)</f>
        <v>9448.2939392</v>
      </c>
      <c r="BL12" s="19" t="n">
        <f aca="false">IF(AND(58&gt;=E12,OR(F12="",58&lt;=F12)),(D12*(1+assumptions!$G$76)^4/12*(1+assumptions!$G$70+assumptions!$G$71+IF(58&gt;=assumptions!$G$73,assumptions!$G$72,0))+assumptions!$G$74/12)+IF(58=E12,D12*assumptions!$G$75,0),0)</f>
        <v>9448.2939392</v>
      </c>
      <c r="BM12" s="19" t="n">
        <f aca="false">IF(AND(59&gt;=E12,OR(F12="",59&lt;=F12)),(D12*(1+assumptions!$G$76)^4/12*(1+assumptions!$G$70+assumptions!$G$71+IF(59&gt;=assumptions!$G$73,assumptions!$G$72,0))+assumptions!$G$74/12)+IF(59=E12,D12*assumptions!$G$75,0),0)</f>
        <v>9448.2939392</v>
      </c>
      <c r="BN12" s="19" t="n">
        <f aca="false">IF(AND(60&gt;=E12,OR(F12="",60&lt;=F12)),(D12*(1+assumptions!$G$76)^4/12*(1+assumptions!$G$70+assumptions!$G$71+IF(60&gt;=assumptions!$G$73,assumptions!$G$72,0))+assumptions!$G$74/12)+IF(60=E12,D12*assumptions!$G$75,0),0)</f>
        <v>9448.2939392</v>
      </c>
    </row>
    <row r="13" customFormat="false" ht="14.25" hidden="false" customHeight="false" outlineLevel="0" collapsed="false">
      <c r="A13" s="7" t="n">
        <v>10</v>
      </c>
      <c r="B13" s="7" t="s">
        <v>350</v>
      </c>
      <c r="C13" s="7" t="s">
        <v>340</v>
      </c>
      <c r="D13" s="17" t="n">
        <v>90000</v>
      </c>
      <c r="E13" s="49" t="n">
        <v>6</v>
      </c>
      <c r="F13" s="49"/>
      <c r="G13" s="19" t="n">
        <f aca="false">IF(AND(1&gt;=E13,OR(F13="",1&lt;=F13)),(D13*(1+assumptions!$G$76)^0/12*(1+assumptions!$G$70+assumptions!$G$71+IF(1&gt;=assumptions!$G$73,assumptions!$G$72,0))+assumptions!$G$74/12)+IF(1=E13,D13*assumptions!$G$75,0),0)</f>
        <v>0</v>
      </c>
      <c r="H13" s="19" t="n">
        <f aca="false">IF(AND(2&gt;=E13,OR(F13="",2&lt;=F13)),(D13*(1+assumptions!$G$76)^0/12*(1+assumptions!$G$70+assumptions!$G$71+IF(2&gt;=assumptions!$G$73,assumptions!$G$72,0))+assumptions!$G$74/12)+IF(2=E13,D13*assumptions!$G$75,0),0)</f>
        <v>0</v>
      </c>
      <c r="I13" s="19" t="n">
        <f aca="false">IF(AND(3&gt;=E13,OR(F13="",3&lt;=F13)),(D13*(1+assumptions!$G$76)^0/12*(1+assumptions!$G$70+assumptions!$G$71+IF(3&gt;=assumptions!$G$73,assumptions!$G$72,0))+assumptions!$G$74/12)+IF(3=E13,D13*assumptions!$G$75,0),0)</f>
        <v>0</v>
      </c>
      <c r="J13" s="19" t="n">
        <f aca="false">IF(AND(4&gt;=E13,OR(F13="",4&lt;=F13)),(D13*(1+assumptions!$G$76)^0/12*(1+assumptions!$G$70+assumptions!$G$71+IF(4&gt;=assumptions!$G$73,assumptions!$G$72,0))+assumptions!$G$74/12)+IF(4=E13,D13*assumptions!$G$75,0),0)</f>
        <v>0</v>
      </c>
      <c r="K13" s="19" t="n">
        <f aca="false">IF(AND(5&gt;=E13,OR(F13="",5&lt;=F13)),(D13*(1+assumptions!$G$76)^0/12*(1+assumptions!$G$70+assumptions!$G$71+IF(5&gt;=assumptions!$G$73,assumptions!$G$72,0))+assumptions!$G$74/12)+IF(5=E13,D13*assumptions!$G$75,0),0)</f>
        <v>0</v>
      </c>
      <c r="L13" s="19" t="n">
        <f aca="false">IF(AND(6&gt;=E13,OR(F13="",6&lt;=F13)),(D13*(1+assumptions!$G$76)^0/12*(1+assumptions!$G$70+assumptions!$G$71+IF(6&gt;=assumptions!$G$73,assumptions!$G$72,0))+assumptions!$G$74/12)+IF(6=E13,D13*assumptions!$G$75,0),0)</f>
        <v>22560</v>
      </c>
      <c r="M13" s="19" t="n">
        <f aca="false">IF(AND(7&gt;=E13,OR(F13="",7&lt;=F13)),(D13*(1+assumptions!$G$76)^0/12*(1+assumptions!$G$70+assumptions!$G$71+IF(7&gt;=assumptions!$G$73,assumptions!$G$72,0))+assumptions!$G$74/12)+IF(7=E13,D13*assumptions!$G$75,0),0)</f>
        <v>9060</v>
      </c>
      <c r="N13" s="19" t="n">
        <f aca="false">IF(AND(8&gt;=E13,OR(F13="",8&lt;=F13)),(D13*(1+assumptions!$G$76)^0/12*(1+assumptions!$G$70+assumptions!$G$71+IF(8&gt;=assumptions!$G$73,assumptions!$G$72,0))+assumptions!$G$74/12)+IF(8=E13,D13*assumptions!$G$75,0),0)</f>
        <v>9060</v>
      </c>
      <c r="O13" s="19" t="n">
        <f aca="false">IF(AND(9&gt;=E13,OR(F13="",9&lt;=F13)),(D13*(1+assumptions!$G$76)^0/12*(1+assumptions!$G$70+assumptions!$G$71+IF(9&gt;=assumptions!$G$73,assumptions!$G$72,0))+assumptions!$G$74/12)+IF(9=E13,D13*assumptions!$G$75,0),0)</f>
        <v>9060</v>
      </c>
      <c r="P13" s="19" t="n">
        <f aca="false">IF(AND(10&gt;=E13,OR(F13="",10&lt;=F13)),(D13*(1+assumptions!$G$76)^0/12*(1+assumptions!$G$70+assumptions!$G$71+IF(10&gt;=assumptions!$G$73,assumptions!$G$72,0))+assumptions!$G$74/12)+IF(10=E13,D13*assumptions!$G$75,0),0)</f>
        <v>9060</v>
      </c>
      <c r="Q13" s="19" t="n">
        <f aca="false">IF(AND(11&gt;=E13,OR(F13="",11&lt;=F13)),(D13*(1+assumptions!$G$76)^0/12*(1+assumptions!$G$70+assumptions!$G$71+IF(11&gt;=assumptions!$G$73,assumptions!$G$72,0))+assumptions!$G$74/12)+IF(11=E13,D13*assumptions!$G$75,0),0)</f>
        <v>9060</v>
      </c>
      <c r="R13" s="19" t="n">
        <f aca="false">IF(AND(12&gt;=E13,OR(F13="",12&lt;=F13)),(D13*(1+assumptions!$G$76)^0/12*(1+assumptions!$G$70+assumptions!$G$71+IF(12&gt;=assumptions!$G$73,assumptions!$G$72,0))+assumptions!$G$74/12)+IF(12=E13,D13*assumptions!$G$75,0),0)</f>
        <v>9060</v>
      </c>
      <c r="S13" s="19" t="n">
        <f aca="false">IF(AND(13&gt;=E13,OR(F13="",13&lt;=F13)),(D13*(1+assumptions!$G$76)^1/12*(1+assumptions!$G$70+assumptions!$G$71+IF(13&gt;=assumptions!$G$73,assumptions!$G$72,0))+assumptions!$G$74/12)+IF(13=E13,D13*assumptions!$G$75,0),0)</f>
        <v>9410.4</v>
      </c>
      <c r="T13" s="19" t="n">
        <f aca="false">IF(AND(14&gt;=E13,OR(F13="",14&lt;=F13)),(D13*(1+assumptions!$G$76)^1/12*(1+assumptions!$G$70+assumptions!$G$71+IF(14&gt;=assumptions!$G$73,assumptions!$G$72,0))+assumptions!$G$74/12)+IF(14=E13,D13*assumptions!$G$75,0),0)</f>
        <v>9410.4</v>
      </c>
      <c r="U13" s="19" t="n">
        <f aca="false">IF(AND(15&gt;=E13,OR(F13="",15&lt;=F13)),(D13*(1+assumptions!$G$76)^1/12*(1+assumptions!$G$70+assumptions!$G$71+IF(15&gt;=assumptions!$G$73,assumptions!$G$72,0))+assumptions!$G$74/12)+IF(15=E13,D13*assumptions!$G$75,0),0)</f>
        <v>9410.4</v>
      </c>
      <c r="V13" s="19" t="n">
        <f aca="false">IF(AND(16&gt;=E13,OR(F13="",16&lt;=F13)),(D13*(1+assumptions!$G$76)^1/12*(1+assumptions!$G$70+assumptions!$G$71+IF(16&gt;=assumptions!$G$73,assumptions!$G$72,0))+assumptions!$G$74/12)+IF(16=E13,D13*assumptions!$G$75,0),0)</f>
        <v>9410.4</v>
      </c>
      <c r="W13" s="19" t="n">
        <f aca="false">IF(AND(17&gt;=E13,OR(F13="",17&lt;=F13)),(D13*(1+assumptions!$G$76)^1/12*(1+assumptions!$G$70+assumptions!$G$71+IF(17&gt;=assumptions!$G$73,assumptions!$G$72,0))+assumptions!$G$74/12)+IF(17=E13,D13*assumptions!$G$75,0),0)</f>
        <v>9410.4</v>
      </c>
      <c r="X13" s="19" t="n">
        <f aca="false">IF(AND(18&gt;=E13,OR(F13="",18&lt;=F13)),(D13*(1+assumptions!$G$76)^1/12*(1+assumptions!$G$70+assumptions!$G$71+IF(18&gt;=assumptions!$G$73,assumptions!$G$72,0))+assumptions!$G$74/12)+IF(18=E13,D13*assumptions!$G$75,0),0)</f>
        <v>9410.4</v>
      </c>
      <c r="Y13" s="19" t="n">
        <f aca="false">IF(AND(19&gt;=E13,OR(F13="",19&lt;=F13)),(D13*(1+assumptions!$G$76)^1/12*(1+assumptions!$G$70+assumptions!$G$71+IF(19&gt;=assumptions!$G$73,assumptions!$G$72,0))+assumptions!$G$74/12)+IF(19=E13,D13*assumptions!$G$75,0),0)</f>
        <v>9410.4</v>
      </c>
      <c r="Z13" s="19" t="n">
        <f aca="false">IF(AND(20&gt;=E13,OR(F13="",20&lt;=F13)),(D13*(1+assumptions!$G$76)^1/12*(1+assumptions!$G$70+assumptions!$G$71+IF(20&gt;=assumptions!$G$73,assumptions!$G$72,0))+assumptions!$G$74/12)+IF(20=E13,D13*assumptions!$G$75,0),0)</f>
        <v>9410.4</v>
      </c>
      <c r="AA13" s="19" t="n">
        <f aca="false">IF(AND(21&gt;=E13,OR(F13="",21&lt;=F13)),(D13*(1+assumptions!$G$76)^1/12*(1+assumptions!$G$70+assumptions!$G$71+IF(21&gt;=assumptions!$G$73,assumptions!$G$72,0))+assumptions!$G$74/12)+IF(21=E13,D13*assumptions!$G$75,0),0)</f>
        <v>9410.4</v>
      </c>
      <c r="AB13" s="19" t="n">
        <f aca="false">IF(AND(22&gt;=E13,OR(F13="",22&lt;=F13)),(D13*(1+assumptions!$G$76)^1/12*(1+assumptions!$G$70+assumptions!$G$71+IF(22&gt;=assumptions!$G$73,assumptions!$G$72,0))+assumptions!$G$74/12)+IF(22=E13,D13*assumptions!$G$75,0),0)</f>
        <v>9410.4</v>
      </c>
      <c r="AC13" s="19" t="n">
        <f aca="false">IF(AND(23&gt;=E13,OR(F13="",23&lt;=F13)),(D13*(1+assumptions!$G$76)^1/12*(1+assumptions!$G$70+assumptions!$G$71+IF(23&gt;=assumptions!$G$73,assumptions!$G$72,0))+assumptions!$G$74/12)+IF(23=E13,D13*assumptions!$G$75,0),0)</f>
        <v>9410.4</v>
      </c>
      <c r="AD13" s="19" t="n">
        <f aca="false">IF(AND(24&gt;=E13,OR(F13="",24&lt;=F13)),(D13*(1+assumptions!$G$76)^1/12*(1+assumptions!$G$70+assumptions!$G$71+IF(24&gt;=assumptions!$G$73,assumptions!$G$72,0))+assumptions!$G$74/12)+IF(24=E13,D13*assumptions!$G$75,0),0)</f>
        <v>9449.4</v>
      </c>
      <c r="AE13" s="19" t="n">
        <f aca="false">IF(AND(25&gt;=E13,OR(F13="",25&lt;=F13)),(D13*(1+assumptions!$G$76)^2/12*(1+assumptions!$G$70+assumptions!$G$71+IF(25&gt;=assumptions!$G$73,assumptions!$G$72,0))+assumptions!$G$74/12)+IF(25=E13,D13*assumptions!$G$75,0),0)</f>
        <v>9815.376</v>
      </c>
      <c r="AF13" s="19" t="n">
        <f aca="false">IF(AND(26&gt;=E13,OR(F13="",26&lt;=F13)),(D13*(1+assumptions!$G$76)^2/12*(1+assumptions!$G$70+assumptions!$G$71+IF(26&gt;=assumptions!$G$73,assumptions!$G$72,0))+assumptions!$G$74/12)+IF(26=E13,D13*assumptions!$G$75,0),0)</f>
        <v>9815.376</v>
      </c>
      <c r="AG13" s="19" t="n">
        <f aca="false">IF(AND(27&gt;=E13,OR(F13="",27&lt;=F13)),(D13*(1+assumptions!$G$76)^2/12*(1+assumptions!$G$70+assumptions!$G$71+IF(27&gt;=assumptions!$G$73,assumptions!$G$72,0))+assumptions!$G$74/12)+IF(27=E13,D13*assumptions!$G$75,0),0)</f>
        <v>9815.376</v>
      </c>
      <c r="AH13" s="19" t="n">
        <f aca="false">IF(AND(28&gt;=E13,OR(F13="",28&lt;=F13)),(D13*(1+assumptions!$G$76)^2/12*(1+assumptions!$G$70+assumptions!$G$71+IF(28&gt;=assumptions!$G$73,assumptions!$G$72,0))+assumptions!$G$74/12)+IF(28=E13,D13*assumptions!$G$75,0),0)</f>
        <v>9815.376</v>
      </c>
      <c r="AI13" s="19" t="n">
        <f aca="false">IF(AND(29&gt;=E13,OR(F13="",29&lt;=F13)),(D13*(1+assumptions!$G$76)^2/12*(1+assumptions!$G$70+assumptions!$G$71+IF(29&gt;=assumptions!$G$73,assumptions!$G$72,0))+assumptions!$G$74/12)+IF(29=E13,D13*assumptions!$G$75,0),0)</f>
        <v>9815.376</v>
      </c>
      <c r="AJ13" s="19" t="n">
        <f aca="false">IF(AND(30&gt;=E13,OR(F13="",30&lt;=F13)),(D13*(1+assumptions!$G$76)^2/12*(1+assumptions!$G$70+assumptions!$G$71+IF(30&gt;=assumptions!$G$73,assumptions!$G$72,0))+assumptions!$G$74/12)+IF(30=E13,D13*assumptions!$G$75,0),0)</f>
        <v>9815.376</v>
      </c>
      <c r="AK13" s="19" t="n">
        <f aca="false">IF(AND(31&gt;=E13,OR(F13="",31&lt;=F13)),(D13*(1+assumptions!$G$76)^2/12*(1+assumptions!$G$70+assumptions!$G$71+IF(31&gt;=assumptions!$G$73,assumptions!$G$72,0))+assumptions!$G$74/12)+IF(31=E13,D13*assumptions!$G$75,0),0)</f>
        <v>9815.376</v>
      </c>
      <c r="AL13" s="19" t="n">
        <f aca="false">IF(AND(32&gt;=E13,OR(F13="",32&lt;=F13)),(D13*(1+assumptions!$G$76)^2/12*(1+assumptions!$G$70+assumptions!$G$71+IF(32&gt;=assumptions!$G$73,assumptions!$G$72,0))+assumptions!$G$74/12)+IF(32=E13,D13*assumptions!$G$75,0),0)</f>
        <v>9815.376</v>
      </c>
      <c r="AM13" s="19" t="n">
        <f aca="false">IF(AND(33&gt;=E13,OR(F13="",33&lt;=F13)),(D13*(1+assumptions!$G$76)^2/12*(1+assumptions!$G$70+assumptions!$G$71+IF(33&gt;=assumptions!$G$73,assumptions!$G$72,0))+assumptions!$G$74/12)+IF(33=E13,D13*assumptions!$G$75,0),0)</f>
        <v>9815.376</v>
      </c>
      <c r="AN13" s="19" t="n">
        <f aca="false">IF(AND(34&gt;=E13,OR(F13="",34&lt;=F13)),(D13*(1+assumptions!$G$76)^2/12*(1+assumptions!$G$70+assumptions!$G$71+IF(34&gt;=assumptions!$G$73,assumptions!$G$72,0))+assumptions!$G$74/12)+IF(34=E13,D13*assumptions!$G$75,0),0)</f>
        <v>9815.376</v>
      </c>
      <c r="AO13" s="19" t="n">
        <f aca="false">IF(AND(35&gt;=E13,OR(F13="",35&lt;=F13)),(D13*(1+assumptions!$G$76)^2/12*(1+assumptions!$G$70+assumptions!$G$71+IF(35&gt;=assumptions!$G$73,assumptions!$G$72,0))+assumptions!$G$74/12)+IF(35=E13,D13*assumptions!$G$75,0),0)</f>
        <v>9815.376</v>
      </c>
      <c r="AP13" s="19" t="n">
        <f aca="false">IF(AND(36&gt;=E13,OR(F13="",36&lt;=F13)),(D13*(1+assumptions!$G$76)^2/12*(1+assumptions!$G$70+assumptions!$G$71+IF(36&gt;=assumptions!$G$73,assumptions!$G$72,0))+assumptions!$G$74/12)+IF(36=E13,D13*assumptions!$G$75,0),0)</f>
        <v>9815.376</v>
      </c>
      <c r="AQ13" s="19" t="n">
        <f aca="false">IF(AND(37&gt;=E13,OR(F13="",37&lt;=F13)),(D13*(1+assumptions!$G$76)^3/12*(1+assumptions!$G$70+assumptions!$G$71+IF(37&gt;=assumptions!$G$73,assumptions!$G$72,0))+assumptions!$G$74/12)+IF(37=E13,D13*assumptions!$G$75,0),0)</f>
        <v>10195.99104</v>
      </c>
      <c r="AR13" s="19" t="n">
        <f aca="false">IF(AND(38&gt;=E13,OR(F13="",38&lt;=F13)),(D13*(1+assumptions!$G$76)^3/12*(1+assumptions!$G$70+assumptions!$G$71+IF(38&gt;=assumptions!$G$73,assumptions!$G$72,0))+assumptions!$G$74/12)+IF(38=E13,D13*assumptions!$G$75,0),0)</f>
        <v>10195.99104</v>
      </c>
      <c r="AS13" s="19" t="n">
        <f aca="false">IF(AND(39&gt;=E13,OR(F13="",39&lt;=F13)),(D13*(1+assumptions!$G$76)^3/12*(1+assumptions!$G$70+assumptions!$G$71+IF(39&gt;=assumptions!$G$73,assumptions!$G$72,0))+assumptions!$G$74/12)+IF(39=E13,D13*assumptions!$G$75,0),0)</f>
        <v>10195.99104</v>
      </c>
      <c r="AT13" s="19" t="n">
        <f aca="false">IF(AND(40&gt;=E13,OR(F13="",40&lt;=F13)),(D13*(1+assumptions!$G$76)^3/12*(1+assumptions!$G$70+assumptions!$G$71+IF(40&gt;=assumptions!$G$73,assumptions!$G$72,0))+assumptions!$G$74/12)+IF(40=E13,D13*assumptions!$G$75,0),0)</f>
        <v>10195.99104</v>
      </c>
      <c r="AU13" s="19" t="n">
        <f aca="false">IF(AND(41&gt;=E13,OR(F13="",41&lt;=F13)),(D13*(1+assumptions!$G$76)^3/12*(1+assumptions!$G$70+assumptions!$G$71+IF(41&gt;=assumptions!$G$73,assumptions!$G$72,0))+assumptions!$G$74/12)+IF(41=E13,D13*assumptions!$G$75,0),0)</f>
        <v>10195.99104</v>
      </c>
      <c r="AV13" s="19" t="n">
        <f aca="false">IF(AND(42&gt;=E13,OR(F13="",42&lt;=F13)),(D13*(1+assumptions!$G$76)^3/12*(1+assumptions!$G$70+assumptions!$G$71+IF(42&gt;=assumptions!$G$73,assumptions!$G$72,0))+assumptions!$G$74/12)+IF(42=E13,D13*assumptions!$G$75,0),0)</f>
        <v>10195.99104</v>
      </c>
      <c r="AW13" s="19" t="n">
        <f aca="false">IF(AND(43&gt;=E13,OR(F13="",43&lt;=F13)),(D13*(1+assumptions!$G$76)^3/12*(1+assumptions!$G$70+assumptions!$G$71+IF(43&gt;=assumptions!$G$73,assumptions!$G$72,0))+assumptions!$G$74/12)+IF(43=E13,D13*assumptions!$G$75,0),0)</f>
        <v>10195.99104</v>
      </c>
      <c r="AX13" s="19" t="n">
        <f aca="false">IF(AND(44&gt;=E13,OR(F13="",44&lt;=F13)),(D13*(1+assumptions!$G$76)^3/12*(1+assumptions!$G$70+assumptions!$G$71+IF(44&gt;=assumptions!$G$73,assumptions!$G$72,0))+assumptions!$G$74/12)+IF(44=E13,D13*assumptions!$G$75,0),0)</f>
        <v>10195.99104</v>
      </c>
      <c r="AY13" s="19" t="n">
        <f aca="false">IF(AND(45&gt;=E13,OR(F13="",45&lt;=F13)),(D13*(1+assumptions!$G$76)^3/12*(1+assumptions!$G$70+assumptions!$G$71+IF(45&gt;=assumptions!$G$73,assumptions!$G$72,0))+assumptions!$G$74/12)+IF(45=E13,D13*assumptions!$G$75,0),0)</f>
        <v>10195.99104</v>
      </c>
      <c r="AZ13" s="19" t="n">
        <f aca="false">IF(AND(46&gt;=E13,OR(F13="",46&lt;=F13)),(D13*(1+assumptions!$G$76)^3/12*(1+assumptions!$G$70+assumptions!$G$71+IF(46&gt;=assumptions!$G$73,assumptions!$G$72,0))+assumptions!$G$74/12)+IF(46=E13,D13*assumptions!$G$75,0),0)</f>
        <v>10195.99104</v>
      </c>
      <c r="BA13" s="19" t="n">
        <f aca="false">IF(AND(47&gt;=E13,OR(F13="",47&lt;=F13)),(D13*(1+assumptions!$G$76)^3/12*(1+assumptions!$G$70+assumptions!$G$71+IF(47&gt;=assumptions!$G$73,assumptions!$G$72,0))+assumptions!$G$74/12)+IF(47=E13,D13*assumptions!$G$75,0),0)</f>
        <v>10195.99104</v>
      </c>
      <c r="BB13" s="19" t="n">
        <f aca="false">IF(AND(48&gt;=E13,OR(F13="",48&lt;=F13)),(D13*(1+assumptions!$G$76)^3/12*(1+assumptions!$G$70+assumptions!$G$71+IF(48&gt;=assumptions!$G$73,assumptions!$G$72,0))+assumptions!$G$74/12)+IF(48=E13,D13*assumptions!$G$75,0),0)</f>
        <v>10195.99104</v>
      </c>
      <c r="BC13" s="19" t="n">
        <f aca="false">IF(AND(49&gt;=E13,OR(F13="",49&lt;=F13)),(D13*(1+assumptions!$G$76)^4/12*(1+assumptions!$G$70+assumptions!$G$71+IF(49&gt;=assumptions!$G$73,assumptions!$G$72,0))+assumptions!$G$74/12)+IF(49=E13,D13*assumptions!$G$75,0),0)</f>
        <v>10591.8306816</v>
      </c>
      <c r="BD13" s="19" t="n">
        <f aca="false">IF(AND(50&gt;=E13,OR(F13="",50&lt;=F13)),(D13*(1+assumptions!$G$76)^4/12*(1+assumptions!$G$70+assumptions!$G$71+IF(50&gt;=assumptions!$G$73,assumptions!$G$72,0))+assumptions!$G$74/12)+IF(50=E13,D13*assumptions!$G$75,0),0)</f>
        <v>10591.8306816</v>
      </c>
      <c r="BE13" s="19" t="n">
        <f aca="false">IF(AND(51&gt;=E13,OR(F13="",51&lt;=F13)),(D13*(1+assumptions!$G$76)^4/12*(1+assumptions!$G$70+assumptions!$G$71+IF(51&gt;=assumptions!$G$73,assumptions!$G$72,0))+assumptions!$G$74/12)+IF(51=E13,D13*assumptions!$G$75,0),0)</f>
        <v>10591.8306816</v>
      </c>
      <c r="BF13" s="19" t="n">
        <f aca="false">IF(AND(52&gt;=E13,OR(F13="",52&lt;=F13)),(D13*(1+assumptions!$G$76)^4/12*(1+assumptions!$G$70+assumptions!$G$71+IF(52&gt;=assumptions!$G$73,assumptions!$G$72,0))+assumptions!$G$74/12)+IF(52=E13,D13*assumptions!$G$75,0),0)</f>
        <v>10591.8306816</v>
      </c>
      <c r="BG13" s="19" t="n">
        <f aca="false">IF(AND(53&gt;=E13,OR(F13="",53&lt;=F13)),(D13*(1+assumptions!$G$76)^4/12*(1+assumptions!$G$70+assumptions!$G$71+IF(53&gt;=assumptions!$G$73,assumptions!$G$72,0))+assumptions!$G$74/12)+IF(53=E13,D13*assumptions!$G$75,0),0)</f>
        <v>10591.8306816</v>
      </c>
      <c r="BH13" s="19" t="n">
        <f aca="false">IF(AND(54&gt;=E13,OR(F13="",54&lt;=F13)),(D13*(1+assumptions!$G$76)^4/12*(1+assumptions!$G$70+assumptions!$G$71+IF(54&gt;=assumptions!$G$73,assumptions!$G$72,0))+assumptions!$G$74/12)+IF(54=E13,D13*assumptions!$G$75,0),0)</f>
        <v>10591.8306816</v>
      </c>
      <c r="BI13" s="19" t="n">
        <f aca="false">IF(AND(55&gt;=E13,OR(F13="",55&lt;=F13)),(D13*(1+assumptions!$G$76)^4/12*(1+assumptions!$G$70+assumptions!$G$71+IF(55&gt;=assumptions!$G$73,assumptions!$G$72,0))+assumptions!$G$74/12)+IF(55=E13,D13*assumptions!$G$75,0),0)</f>
        <v>10591.8306816</v>
      </c>
      <c r="BJ13" s="19" t="n">
        <f aca="false">IF(AND(56&gt;=E13,OR(F13="",56&lt;=F13)),(D13*(1+assumptions!$G$76)^4/12*(1+assumptions!$G$70+assumptions!$G$71+IF(56&gt;=assumptions!$G$73,assumptions!$G$72,0))+assumptions!$G$74/12)+IF(56=E13,D13*assumptions!$G$75,0),0)</f>
        <v>10591.8306816</v>
      </c>
      <c r="BK13" s="19" t="n">
        <f aca="false">IF(AND(57&gt;=E13,OR(F13="",57&lt;=F13)),(D13*(1+assumptions!$G$76)^4/12*(1+assumptions!$G$70+assumptions!$G$71+IF(57&gt;=assumptions!$G$73,assumptions!$G$72,0))+assumptions!$G$74/12)+IF(57=E13,D13*assumptions!$G$75,0),0)</f>
        <v>10591.8306816</v>
      </c>
      <c r="BL13" s="19" t="n">
        <f aca="false">IF(AND(58&gt;=E13,OR(F13="",58&lt;=F13)),(D13*(1+assumptions!$G$76)^4/12*(1+assumptions!$G$70+assumptions!$G$71+IF(58&gt;=assumptions!$G$73,assumptions!$G$72,0))+assumptions!$G$74/12)+IF(58=E13,D13*assumptions!$G$75,0),0)</f>
        <v>10591.8306816</v>
      </c>
      <c r="BM13" s="19" t="n">
        <f aca="false">IF(AND(59&gt;=E13,OR(F13="",59&lt;=F13)),(D13*(1+assumptions!$G$76)^4/12*(1+assumptions!$G$70+assumptions!$G$71+IF(59&gt;=assumptions!$G$73,assumptions!$G$72,0))+assumptions!$G$74/12)+IF(59=E13,D13*assumptions!$G$75,0),0)</f>
        <v>10591.8306816</v>
      </c>
      <c r="BN13" s="19" t="n">
        <f aca="false">IF(AND(60&gt;=E13,OR(F13="",60&lt;=F13)),(D13*(1+assumptions!$G$76)^4/12*(1+assumptions!$G$70+assumptions!$G$71+IF(60&gt;=assumptions!$G$73,assumptions!$G$72,0))+assumptions!$G$74/12)+IF(60=E13,D13*assumptions!$G$75,0),0)</f>
        <v>10591.8306816</v>
      </c>
    </row>
    <row r="14" customFormat="false" ht="14.25" hidden="false" customHeight="false" outlineLevel="0" collapsed="false">
      <c r="A14" s="7" t="n">
        <v>11</v>
      </c>
      <c r="B14" s="7" t="s">
        <v>351</v>
      </c>
      <c r="C14" s="7" t="s">
        <v>340</v>
      </c>
      <c r="D14" s="17" t="n">
        <v>80000</v>
      </c>
      <c r="E14" s="49" t="n">
        <v>9</v>
      </c>
      <c r="F14" s="49"/>
      <c r="G14" s="19" t="n">
        <f aca="false">IF(AND(1&gt;=E14,OR(F14="",1&lt;=F14)),(D14*(1+assumptions!$G$76)^0/12*(1+assumptions!$G$70+assumptions!$G$71+IF(1&gt;=assumptions!$G$73,assumptions!$G$72,0))+assumptions!$G$74/12)+IF(1=E14,D14*assumptions!$G$75,0),0)</f>
        <v>0</v>
      </c>
      <c r="H14" s="19" t="n">
        <f aca="false">IF(AND(2&gt;=E14,OR(F14="",2&lt;=F14)),(D14*(1+assumptions!$G$76)^0/12*(1+assumptions!$G$70+assumptions!$G$71+IF(2&gt;=assumptions!$G$73,assumptions!$G$72,0))+assumptions!$G$74/12)+IF(2=E14,D14*assumptions!$G$75,0),0)</f>
        <v>0</v>
      </c>
      <c r="I14" s="19" t="n">
        <f aca="false">IF(AND(3&gt;=E14,OR(F14="",3&lt;=F14)),(D14*(1+assumptions!$G$76)^0/12*(1+assumptions!$G$70+assumptions!$G$71+IF(3&gt;=assumptions!$G$73,assumptions!$G$72,0))+assumptions!$G$74/12)+IF(3=E14,D14*assumptions!$G$75,0),0)</f>
        <v>0</v>
      </c>
      <c r="J14" s="19" t="n">
        <f aca="false">IF(AND(4&gt;=E14,OR(F14="",4&lt;=F14)),(D14*(1+assumptions!$G$76)^0/12*(1+assumptions!$G$70+assumptions!$G$71+IF(4&gt;=assumptions!$G$73,assumptions!$G$72,0))+assumptions!$G$74/12)+IF(4=E14,D14*assumptions!$G$75,0),0)</f>
        <v>0</v>
      </c>
      <c r="K14" s="19" t="n">
        <f aca="false">IF(AND(5&gt;=E14,OR(F14="",5&lt;=F14)),(D14*(1+assumptions!$G$76)^0/12*(1+assumptions!$G$70+assumptions!$G$71+IF(5&gt;=assumptions!$G$73,assumptions!$G$72,0))+assumptions!$G$74/12)+IF(5=E14,D14*assumptions!$G$75,0),0)</f>
        <v>0</v>
      </c>
      <c r="L14" s="19" t="n">
        <f aca="false">IF(AND(6&gt;=E14,OR(F14="",6&lt;=F14)),(D14*(1+assumptions!$G$76)^0/12*(1+assumptions!$G$70+assumptions!$G$71+IF(6&gt;=assumptions!$G$73,assumptions!$G$72,0))+assumptions!$G$74/12)+IF(6=E14,D14*assumptions!$G$75,0),0)</f>
        <v>0</v>
      </c>
      <c r="M14" s="19" t="n">
        <f aca="false">IF(AND(7&gt;=E14,OR(F14="",7&lt;=F14)),(D14*(1+assumptions!$G$76)^0/12*(1+assumptions!$G$70+assumptions!$G$71+IF(7&gt;=assumptions!$G$73,assumptions!$G$72,0))+assumptions!$G$74/12)+IF(7=E14,D14*assumptions!$G$75,0),0)</f>
        <v>0</v>
      </c>
      <c r="N14" s="19" t="n">
        <f aca="false">IF(AND(8&gt;=E14,OR(F14="",8&lt;=F14)),(D14*(1+assumptions!$G$76)^0/12*(1+assumptions!$G$70+assumptions!$G$71+IF(8&gt;=assumptions!$G$73,assumptions!$G$72,0))+assumptions!$G$74/12)+IF(8=E14,D14*assumptions!$G$75,0),0)</f>
        <v>0</v>
      </c>
      <c r="O14" s="19" t="n">
        <f aca="false">IF(AND(9&gt;=E14,OR(F14="",9&lt;=F14)),(D14*(1+assumptions!$G$76)^0/12*(1+assumptions!$G$70+assumptions!$G$71+IF(9&gt;=assumptions!$G$73,assumptions!$G$72,0))+assumptions!$G$74/12)+IF(9=E14,D14*assumptions!$G$75,0),0)</f>
        <v>20086.6666666667</v>
      </c>
      <c r="P14" s="19" t="n">
        <f aca="false">IF(AND(10&gt;=E14,OR(F14="",10&lt;=F14)),(D14*(1+assumptions!$G$76)^0/12*(1+assumptions!$G$70+assumptions!$G$71+IF(10&gt;=assumptions!$G$73,assumptions!$G$72,0))+assumptions!$G$74/12)+IF(10=E14,D14*assumptions!$G$75,0),0)</f>
        <v>8086.66666666667</v>
      </c>
      <c r="Q14" s="19" t="n">
        <f aca="false">IF(AND(11&gt;=E14,OR(F14="",11&lt;=F14)),(D14*(1+assumptions!$G$76)^0/12*(1+assumptions!$G$70+assumptions!$G$71+IF(11&gt;=assumptions!$G$73,assumptions!$G$72,0))+assumptions!$G$74/12)+IF(11=E14,D14*assumptions!$G$75,0),0)</f>
        <v>8086.66666666667</v>
      </c>
      <c r="R14" s="19" t="n">
        <f aca="false">IF(AND(12&gt;=E14,OR(F14="",12&lt;=F14)),(D14*(1+assumptions!$G$76)^0/12*(1+assumptions!$G$70+assumptions!$G$71+IF(12&gt;=assumptions!$G$73,assumptions!$G$72,0))+assumptions!$G$74/12)+IF(12=E14,D14*assumptions!$G$75,0),0)</f>
        <v>8086.66666666667</v>
      </c>
      <c r="S14" s="19" t="n">
        <f aca="false">IF(AND(13&gt;=E14,OR(F14="",13&lt;=F14)),(D14*(1+assumptions!$G$76)^1/12*(1+assumptions!$G$70+assumptions!$G$71+IF(13&gt;=assumptions!$G$73,assumptions!$G$72,0))+assumptions!$G$74/12)+IF(13=E14,D14*assumptions!$G$75,0),0)</f>
        <v>8398.13333333333</v>
      </c>
      <c r="T14" s="19" t="n">
        <f aca="false">IF(AND(14&gt;=E14,OR(F14="",14&lt;=F14)),(D14*(1+assumptions!$G$76)^1/12*(1+assumptions!$G$70+assumptions!$G$71+IF(14&gt;=assumptions!$G$73,assumptions!$G$72,0))+assumptions!$G$74/12)+IF(14=E14,D14*assumptions!$G$75,0),0)</f>
        <v>8398.13333333333</v>
      </c>
      <c r="U14" s="19" t="n">
        <f aca="false">IF(AND(15&gt;=E14,OR(F14="",15&lt;=F14)),(D14*(1+assumptions!$G$76)^1/12*(1+assumptions!$G$70+assumptions!$G$71+IF(15&gt;=assumptions!$G$73,assumptions!$G$72,0))+assumptions!$G$74/12)+IF(15=E14,D14*assumptions!$G$75,0),0)</f>
        <v>8398.13333333333</v>
      </c>
      <c r="V14" s="19" t="n">
        <f aca="false">IF(AND(16&gt;=E14,OR(F14="",16&lt;=F14)),(D14*(1+assumptions!$G$76)^1/12*(1+assumptions!$G$70+assumptions!$G$71+IF(16&gt;=assumptions!$G$73,assumptions!$G$72,0))+assumptions!$G$74/12)+IF(16=E14,D14*assumptions!$G$75,0),0)</f>
        <v>8398.13333333333</v>
      </c>
      <c r="W14" s="19" t="n">
        <f aca="false">IF(AND(17&gt;=E14,OR(F14="",17&lt;=F14)),(D14*(1+assumptions!$G$76)^1/12*(1+assumptions!$G$70+assumptions!$G$71+IF(17&gt;=assumptions!$G$73,assumptions!$G$72,0))+assumptions!$G$74/12)+IF(17=E14,D14*assumptions!$G$75,0),0)</f>
        <v>8398.13333333333</v>
      </c>
      <c r="X14" s="19" t="n">
        <f aca="false">IF(AND(18&gt;=E14,OR(F14="",18&lt;=F14)),(D14*(1+assumptions!$G$76)^1/12*(1+assumptions!$G$70+assumptions!$G$71+IF(18&gt;=assumptions!$G$73,assumptions!$G$72,0))+assumptions!$G$74/12)+IF(18=E14,D14*assumptions!$G$75,0),0)</f>
        <v>8398.13333333333</v>
      </c>
      <c r="Y14" s="19" t="n">
        <f aca="false">IF(AND(19&gt;=E14,OR(F14="",19&lt;=F14)),(D14*(1+assumptions!$G$76)^1/12*(1+assumptions!$G$70+assumptions!$G$71+IF(19&gt;=assumptions!$G$73,assumptions!$G$72,0))+assumptions!$G$74/12)+IF(19=E14,D14*assumptions!$G$75,0),0)</f>
        <v>8398.13333333333</v>
      </c>
      <c r="Z14" s="19" t="n">
        <f aca="false">IF(AND(20&gt;=E14,OR(F14="",20&lt;=F14)),(D14*(1+assumptions!$G$76)^1/12*(1+assumptions!$G$70+assumptions!$G$71+IF(20&gt;=assumptions!$G$73,assumptions!$G$72,0))+assumptions!$G$74/12)+IF(20=E14,D14*assumptions!$G$75,0),0)</f>
        <v>8398.13333333333</v>
      </c>
      <c r="AA14" s="19" t="n">
        <f aca="false">IF(AND(21&gt;=E14,OR(F14="",21&lt;=F14)),(D14*(1+assumptions!$G$76)^1/12*(1+assumptions!$G$70+assumptions!$G$71+IF(21&gt;=assumptions!$G$73,assumptions!$G$72,0))+assumptions!$G$74/12)+IF(21=E14,D14*assumptions!$G$75,0),0)</f>
        <v>8398.13333333333</v>
      </c>
      <c r="AB14" s="19" t="n">
        <f aca="false">IF(AND(22&gt;=E14,OR(F14="",22&lt;=F14)),(D14*(1+assumptions!$G$76)^1/12*(1+assumptions!$G$70+assumptions!$G$71+IF(22&gt;=assumptions!$G$73,assumptions!$G$72,0))+assumptions!$G$74/12)+IF(22=E14,D14*assumptions!$G$75,0),0)</f>
        <v>8398.13333333333</v>
      </c>
      <c r="AC14" s="19" t="n">
        <f aca="false">IF(AND(23&gt;=E14,OR(F14="",23&lt;=F14)),(D14*(1+assumptions!$G$76)^1/12*(1+assumptions!$G$70+assumptions!$G$71+IF(23&gt;=assumptions!$G$73,assumptions!$G$72,0))+assumptions!$G$74/12)+IF(23=E14,D14*assumptions!$G$75,0),0)</f>
        <v>8398.13333333333</v>
      </c>
      <c r="AD14" s="19" t="n">
        <f aca="false">IF(AND(24&gt;=E14,OR(F14="",24&lt;=F14)),(D14*(1+assumptions!$G$76)^1/12*(1+assumptions!$G$70+assumptions!$G$71+IF(24&gt;=assumptions!$G$73,assumptions!$G$72,0))+assumptions!$G$74/12)+IF(24=E14,D14*assumptions!$G$75,0),0)</f>
        <v>8432.8</v>
      </c>
      <c r="AE14" s="19" t="n">
        <f aca="false">IF(AND(25&gt;=E14,OR(F14="",25&lt;=F14)),(D14*(1+assumptions!$G$76)^2/12*(1+assumptions!$G$70+assumptions!$G$71+IF(25&gt;=assumptions!$G$73,assumptions!$G$72,0))+assumptions!$G$74/12)+IF(25=E14,D14*assumptions!$G$75,0),0)</f>
        <v>8758.112</v>
      </c>
      <c r="AF14" s="19" t="n">
        <f aca="false">IF(AND(26&gt;=E14,OR(F14="",26&lt;=F14)),(D14*(1+assumptions!$G$76)^2/12*(1+assumptions!$G$70+assumptions!$G$71+IF(26&gt;=assumptions!$G$73,assumptions!$G$72,0))+assumptions!$G$74/12)+IF(26=E14,D14*assumptions!$G$75,0),0)</f>
        <v>8758.112</v>
      </c>
      <c r="AG14" s="19" t="n">
        <f aca="false">IF(AND(27&gt;=E14,OR(F14="",27&lt;=F14)),(D14*(1+assumptions!$G$76)^2/12*(1+assumptions!$G$70+assumptions!$G$71+IF(27&gt;=assumptions!$G$73,assumptions!$G$72,0))+assumptions!$G$74/12)+IF(27=E14,D14*assumptions!$G$75,0),0)</f>
        <v>8758.112</v>
      </c>
      <c r="AH14" s="19" t="n">
        <f aca="false">IF(AND(28&gt;=E14,OR(F14="",28&lt;=F14)),(D14*(1+assumptions!$G$76)^2/12*(1+assumptions!$G$70+assumptions!$G$71+IF(28&gt;=assumptions!$G$73,assumptions!$G$72,0))+assumptions!$G$74/12)+IF(28=E14,D14*assumptions!$G$75,0),0)</f>
        <v>8758.112</v>
      </c>
      <c r="AI14" s="19" t="n">
        <f aca="false">IF(AND(29&gt;=E14,OR(F14="",29&lt;=F14)),(D14*(1+assumptions!$G$76)^2/12*(1+assumptions!$G$70+assumptions!$G$71+IF(29&gt;=assumptions!$G$73,assumptions!$G$72,0))+assumptions!$G$74/12)+IF(29=E14,D14*assumptions!$G$75,0),0)</f>
        <v>8758.112</v>
      </c>
      <c r="AJ14" s="19" t="n">
        <f aca="false">IF(AND(30&gt;=E14,OR(F14="",30&lt;=F14)),(D14*(1+assumptions!$G$76)^2/12*(1+assumptions!$G$70+assumptions!$G$71+IF(30&gt;=assumptions!$G$73,assumptions!$G$72,0))+assumptions!$G$74/12)+IF(30=E14,D14*assumptions!$G$75,0),0)</f>
        <v>8758.112</v>
      </c>
      <c r="AK14" s="19" t="n">
        <f aca="false">IF(AND(31&gt;=E14,OR(F14="",31&lt;=F14)),(D14*(1+assumptions!$G$76)^2/12*(1+assumptions!$G$70+assumptions!$G$71+IF(31&gt;=assumptions!$G$73,assumptions!$G$72,0))+assumptions!$G$74/12)+IF(31=E14,D14*assumptions!$G$75,0),0)</f>
        <v>8758.112</v>
      </c>
      <c r="AL14" s="19" t="n">
        <f aca="false">IF(AND(32&gt;=E14,OR(F14="",32&lt;=F14)),(D14*(1+assumptions!$G$76)^2/12*(1+assumptions!$G$70+assumptions!$G$71+IF(32&gt;=assumptions!$G$73,assumptions!$G$72,0))+assumptions!$G$74/12)+IF(32=E14,D14*assumptions!$G$75,0),0)</f>
        <v>8758.112</v>
      </c>
      <c r="AM14" s="19" t="n">
        <f aca="false">IF(AND(33&gt;=E14,OR(F14="",33&lt;=F14)),(D14*(1+assumptions!$G$76)^2/12*(1+assumptions!$G$70+assumptions!$G$71+IF(33&gt;=assumptions!$G$73,assumptions!$G$72,0))+assumptions!$G$74/12)+IF(33=E14,D14*assumptions!$G$75,0),0)</f>
        <v>8758.112</v>
      </c>
      <c r="AN14" s="19" t="n">
        <f aca="false">IF(AND(34&gt;=E14,OR(F14="",34&lt;=F14)),(D14*(1+assumptions!$G$76)^2/12*(1+assumptions!$G$70+assumptions!$G$71+IF(34&gt;=assumptions!$G$73,assumptions!$G$72,0))+assumptions!$G$74/12)+IF(34=E14,D14*assumptions!$G$75,0),0)</f>
        <v>8758.112</v>
      </c>
      <c r="AO14" s="19" t="n">
        <f aca="false">IF(AND(35&gt;=E14,OR(F14="",35&lt;=F14)),(D14*(1+assumptions!$G$76)^2/12*(1+assumptions!$G$70+assumptions!$G$71+IF(35&gt;=assumptions!$G$73,assumptions!$G$72,0))+assumptions!$G$74/12)+IF(35=E14,D14*assumptions!$G$75,0),0)</f>
        <v>8758.112</v>
      </c>
      <c r="AP14" s="19" t="n">
        <f aca="false">IF(AND(36&gt;=E14,OR(F14="",36&lt;=F14)),(D14*(1+assumptions!$G$76)^2/12*(1+assumptions!$G$70+assumptions!$G$71+IF(36&gt;=assumptions!$G$73,assumptions!$G$72,0))+assumptions!$G$74/12)+IF(36=E14,D14*assumptions!$G$75,0),0)</f>
        <v>8758.112</v>
      </c>
      <c r="AQ14" s="19" t="n">
        <f aca="false">IF(AND(37&gt;=E14,OR(F14="",37&lt;=F14)),(D14*(1+assumptions!$G$76)^3/12*(1+assumptions!$G$70+assumptions!$G$71+IF(37&gt;=assumptions!$G$73,assumptions!$G$72,0))+assumptions!$G$74/12)+IF(37=E14,D14*assumptions!$G$75,0),0)</f>
        <v>9096.43648</v>
      </c>
      <c r="AR14" s="19" t="n">
        <f aca="false">IF(AND(38&gt;=E14,OR(F14="",38&lt;=F14)),(D14*(1+assumptions!$G$76)^3/12*(1+assumptions!$G$70+assumptions!$G$71+IF(38&gt;=assumptions!$G$73,assumptions!$G$72,0))+assumptions!$G$74/12)+IF(38=E14,D14*assumptions!$G$75,0),0)</f>
        <v>9096.43648</v>
      </c>
      <c r="AS14" s="19" t="n">
        <f aca="false">IF(AND(39&gt;=E14,OR(F14="",39&lt;=F14)),(D14*(1+assumptions!$G$76)^3/12*(1+assumptions!$G$70+assumptions!$G$71+IF(39&gt;=assumptions!$G$73,assumptions!$G$72,0))+assumptions!$G$74/12)+IF(39=E14,D14*assumptions!$G$75,0),0)</f>
        <v>9096.43648</v>
      </c>
      <c r="AT14" s="19" t="n">
        <f aca="false">IF(AND(40&gt;=E14,OR(F14="",40&lt;=F14)),(D14*(1+assumptions!$G$76)^3/12*(1+assumptions!$G$70+assumptions!$G$71+IF(40&gt;=assumptions!$G$73,assumptions!$G$72,0))+assumptions!$G$74/12)+IF(40=E14,D14*assumptions!$G$75,0),0)</f>
        <v>9096.43648</v>
      </c>
      <c r="AU14" s="19" t="n">
        <f aca="false">IF(AND(41&gt;=E14,OR(F14="",41&lt;=F14)),(D14*(1+assumptions!$G$76)^3/12*(1+assumptions!$G$70+assumptions!$G$71+IF(41&gt;=assumptions!$G$73,assumptions!$G$72,0))+assumptions!$G$74/12)+IF(41=E14,D14*assumptions!$G$75,0),0)</f>
        <v>9096.43648</v>
      </c>
      <c r="AV14" s="19" t="n">
        <f aca="false">IF(AND(42&gt;=E14,OR(F14="",42&lt;=F14)),(D14*(1+assumptions!$G$76)^3/12*(1+assumptions!$G$70+assumptions!$G$71+IF(42&gt;=assumptions!$G$73,assumptions!$G$72,0))+assumptions!$G$74/12)+IF(42=E14,D14*assumptions!$G$75,0),0)</f>
        <v>9096.43648</v>
      </c>
      <c r="AW14" s="19" t="n">
        <f aca="false">IF(AND(43&gt;=E14,OR(F14="",43&lt;=F14)),(D14*(1+assumptions!$G$76)^3/12*(1+assumptions!$G$70+assumptions!$G$71+IF(43&gt;=assumptions!$G$73,assumptions!$G$72,0))+assumptions!$G$74/12)+IF(43=E14,D14*assumptions!$G$75,0),0)</f>
        <v>9096.43648</v>
      </c>
      <c r="AX14" s="19" t="n">
        <f aca="false">IF(AND(44&gt;=E14,OR(F14="",44&lt;=F14)),(D14*(1+assumptions!$G$76)^3/12*(1+assumptions!$G$70+assumptions!$G$71+IF(44&gt;=assumptions!$G$73,assumptions!$G$72,0))+assumptions!$G$74/12)+IF(44=E14,D14*assumptions!$G$75,0),0)</f>
        <v>9096.43648</v>
      </c>
      <c r="AY14" s="19" t="n">
        <f aca="false">IF(AND(45&gt;=E14,OR(F14="",45&lt;=F14)),(D14*(1+assumptions!$G$76)^3/12*(1+assumptions!$G$70+assumptions!$G$71+IF(45&gt;=assumptions!$G$73,assumptions!$G$72,0))+assumptions!$G$74/12)+IF(45=E14,D14*assumptions!$G$75,0),0)</f>
        <v>9096.43648</v>
      </c>
      <c r="AZ14" s="19" t="n">
        <f aca="false">IF(AND(46&gt;=E14,OR(F14="",46&lt;=F14)),(D14*(1+assumptions!$G$76)^3/12*(1+assumptions!$G$70+assumptions!$G$71+IF(46&gt;=assumptions!$G$73,assumptions!$G$72,0))+assumptions!$G$74/12)+IF(46=E14,D14*assumptions!$G$75,0),0)</f>
        <v>9096.43648</v>
      </c>
      <c r="BA14" s="19" t="n">
        <f aca="false">IF(AND(47&gt;=E14,OR(F14="",47&lt;=F14)),(D14*(1+assumptions!$G$76)^3/12*(1+assumptions!$G$70+assumptions!$G$71+IF(47&gt;=assumptions!$G$73,assumptions!$G$72,0))+assumptions!$G$74/12)+IF(47=E14,D14*assumptions!$G$75,0),0)</f>
        <v>9096.43648</v>
      </c>
      <c r="BB14" s="19" t="n">
        <f aca="false">IF(AND(48&gt;=E14,OR(F14="",48&lt;=F14)),(D14*(1+assumptions!$G$76)^3/12*(1+assumptions!$G$70+assumptions!$G$71+IF(48&gt;=assumptions!$G$73,assumptions!$G$72,0))+assumptions!$G$74/12)+IF(48=E14,D14*assumptions!$G$75,0),0)</f>
        <v>9096.43648</v>
      </c>
      <c r="BC14" s="19" t="n">
        <f aca="false">IF(AND(49&gt;=E14,OR(F14="",49&lt;=F14)),(D14*(1+assumptions!$G$76)^4/12*(1+assumptions!$G$70+assumptions!$G$71+IF(49&gt;=assumptions!$G$73,assumptions!$G$72,0))+assumptions!$G$74/12)+IF(49=E14,D14*assumptions!$G$75,0),0)</f>
        <v>9448.2939392</v>
      </c>
      <c r="BD14" s="19" t="n">
        <f aca="false">IF(AND(50&gt;=E14,OR(F14="",50&lt;=F14)),(D14*(1+assumptions!$G$76)^4/12*(1+assumptions!$G$70+assumptions!$G$71+IF(50&gt;=assumptions!$G$73,assumptions!$G$72,0))+assumptions!$G$74/12)+IF(50=E14,D14*assumptions!$G$75,0),0)</f>
        <v>9448.2939392</v>
      </c>
      <c r="BE14" s="19" t="n">
        <f aca="false">IF(AND(51&gt;=E14,OR(F14="",51&lt;=F14)),(D14*(1+assumptions!$G$76)^4/12*(1+assumptions!$G$70+assumptions!$G$71+IF(51&gt;=assumptions!$G$73,assumptions!$G$72,0))+assumptions!$G$74/12)+IF(51=E14,D14*assumptions!$G$75,0),0)</f>
        <v>9448.2939392</v>
      </c>
      <c r="BF14" s="19" t="n">
        <f aca="false">IF(AND(52&gt;=E14,OR(F14="",52&lt;=F14)),(D14*(1+assumptions!$G$76)^4/12*(1+assumptions!$G$70+assumptions!$G$71+IF(52&gt;=assumptions!$G$73,assumptions!$G$72,0))+assumptions!$G$74/12)+IF(52=E14,D14*assumptions!$G$75,0),0)</f>
        <v>9448.2939392</v>
      </c>
      <c r="BG14" s="19" t="n">
        <f aca="false">IF(AND(53&gt;=E14,OR(F14="",53&lt;=F14)),(D14*(1+assumptions!$G$76)^4/12*(1+assumptions!$G$70+assumptions!$G$71+IF(53&gt;=assumptions!$G$73,assumptions!$G$72,0))+assumptions!$G$74/12)+IF(53=E14,D14*assumptions!$G$75,0),0)</f>
        <v>9448.2939392</v>
      </c>
      <c r="BH14" s="19" t="n">
        <f aca="false">IF(AND(54&gt;=E14,OR(F14="",54&lt;=F14)),(D14*(1+assumptions!$G$76)^4/12*(1+assumptions!$G$70+assumptions!$G$71+IF(54&gt;=assumptions!$G$73,assumptions!$G$72,0))+assumptions!$G$74/12)+IF(54=E14,D14*assumptions!$G$75,0),0)</f>
        <v>9448.2939392</v>
      </c>
      <c r="BI14" s="19" t="n">
        <f aca="false">IF(AND(55&gt;=E14,OR(F14="",55&lt;=F14)),(D14*(1+assumptions!$G$76)^4/12*(1+assumptions!$G$70+assumptions!$G$71+IF(55&gt;=assumptions!$G$73,assumptions!$G$72,0))+assumptions!$G$74/12)+IF(55=E14,D14*assumptions!$G$75,0),0)</f>
        <v>9448.2939392</v>
      </c>
      <c r="BJ14" s="19" t="n">
        <f aca="false">IF(AND(56&gt;=E14,OR(F14="",56&lt;=F14)),(D14*(1+assumptions!$G$76)^4/12*(1+assumptions!$G$70+assumptions!$G$71+IF(56&gt;=assumptions!$G$73,assumptions!$G$72,0))+assumptions!$G$74/12)+IF(56=E14,D14*assumptions!$G$75,0),0)</f>
        <v>9448.2939392</v>
      </c>
      <c r="BK14" s="19" t="n">
        <f aca="false">IF(AND(57&gt;=E14,OR(F14="",57&lt;=F14)),(D14*(1+assumptions!$G$76)^4/12*(1+assumptions!$G$70+assumptions!$G$71+IF(57&gt;=assumptions!$G$73,assumptions!$G$72,0))+assumptions!$G$74/12)+IF(57=E14,D14*assumptions!$G$75,0),0)</f>
        <v>9448.2939392</v>
      </c>
      <c r="BL14" s="19" t="n">
        <f aca="false">IF(AND(58&gt;=E14,OR(F14="",58&lt;=F14)),(D14*(1+assumptions!$G$76)^4/12*(1+assumptions!$G$70+assumptions!$G$71+IF(58&gt;=assumptions!$G$73,assumptions!$G$72,0))+assumptions!$G$74/12)+IF(58=E14,D14*assumptions!$G$75,0),0)</f>
        <v>9448.2939392</v>
      </c>
      <c r="BM14" s="19" t="n">
        <f aca="false">IF(AND(59&gt;=E14,OR(F14="",59&lt;=F14)),(D14*(1+assumptions!$G$76)^4/12*(1+assumptions!$G$70+assumptions!$G$71+IF(59&gt;=assumptions!$G$73,assumptions!$G$72,0))+assumptions!$G$74/12)+IF(59=E14,D14*assumptions!$G$75,0),0)</f>
        <v>9448.2939392</v>
      </c>
      <c r="BN14" s="19" t="n">
        <f aca="false">IF(AND(60&gt;=E14,OR(F14="",60&lt;=F14)),(D14*(1+assumptions!$G$76)^4/12*(1+assumptions!$G$70+assumptions!$G$71+IF(60&gt;=assumptions!$G$73,assumptions!$G$72,0))+assumptions!$G$74/12)+IF(60=E14,D14*assumptions!$G$75,0),0)</f>
        <v>9448.2939392</v>
      </c>
    </row>
    <row r="15" customFormat="false" ht="14.25" hidden="false" customHeight="false" outlineLevel="0" collapsed="false">
      <c r="A15" s="7" t="n">
        <v>12</v>
      </c>
      <c r="B15" s="7" t="s">
        <v>352</v>
      </c>
      <c r="C15" s="7" t="s">
        <v>342</v>
      </c>
      <c r="D15" s="17" t="n">
        <v>60000</v>
      </c>
      <c r="E15" s="49" t="n">
        <v>9</v>
      </c>
      <c r="F15" s="49"/>
      <c r="G15" s="19" t="n">
        <f aca="false">IF(AND(1&gt;=E15,OR(F15="",1&lt;=F15)),(D15*(1+assumptions!$G$76)^0/12*(1+assumptions!$G$70+assumptions!$G$71+IF(1&gt;=assumptions!$G$73,assumptions!$G$72,0))+assumptions!$G$74/12)+IF(1=E15,D15*assumptions!$G$75,0),0)</f>
        <v>0</v>
      </c>
      <c r="H15" s="19" t="n">
        <f aca="false">IF(AND(2&gt;=E15,OR(F15="",2&lt;=F15)),(D15*(1+assumptions!$G$76)^0/12*(1+assumptions!$G$70+assumptions!$G$71+IF(2&gt;=assumptions!$G$73,assumptions!$G$72,0))+assumptions!$G$74/12)+IF(2=E15,D15*assumptions!$G$75,0),0)</f>
        <v>0</v>
      </c>
      <c r="I15" s="19" t="n">
        <f aca="false">IF(AND(3&gt;=E15,OR(F15="",3&lt;=F15)),(D15*(1+assumptions!$G$76)^0/12*(1+assumptions!$G$70+assumptions!$G$71+IF(3&gt;=assumptions!$G$73,assumptions!$G$72,0))+assumptions!$G$74/12)+IF(3=E15,D15*assumptions!$G$75,0),0)</f>
        <v>0</v>
      </c>
      <c r="J15" s="19" t="n">
        <f aca="false">IF(AND(4&gt;=E15,OR(F15="",4&lt;=F15)),(D15*(1+assumptions!$G$76)^0/12*(1+assumptions!$G$70+assumptions!$G$71+IF(4&gt;=assumptions!$G$73,assumptions!$G$72,0))+assumptions!$G$74/12)+IF(4=E15,D15*assumptions!$G$75,0),0)</f>
        <v>0</v>
      </c>
      <c r="K15" s="19" t="n">
        <f aca="false">IF(AND(5&gt;=E15,OR(F15="",5&lt;=F15)),(D15*(1+assumptions!$G$76)^0/12*(1+assumptions!$G$70+assumptions!$G$71+IF(5&gt;=assumptions!$G$73,assumptions!$G$72,0))+assumptions!$G$74/12)+IF(5=E15,D15*assumptions!$G$75,0),0)</f>
        <v>0</v>
      </c>
      <c r="L15" s="19" t="n">
        <f aca="false">IF(AND(6&gt;=E15,OR(F15="",6&lt;=F15)),(D15*(1+assumptions!$G$76)^0/12*(1+assumptions!$G$70+assumptions!$G$71+IF(6&gt;=assumptions!$G$73,assumptions!$G$72,0))+assumptions!$G$74/12)+IF(6=E15,D15*assumptions!$G$75,0),0)</f>
        <v>0</v>
      </c>
      <c r="M15" s="19" t="n">
        <f aca="false">IF(AND(7&gt;=E15,OR(F15="",7&lt;=F15)),(D15*(1+assumptions!$G$76)^0/12*(1+assumptions!$G$70+assumptions!$G$71+IF(7&gt;=assumptions!$G$73,assumptions!$G$72,0))+assumptions!$G$74/12)+IF(7=E15,D15*assumptions!$G$75,0),0)</f>
        <v>0</v>
      </c>
      <c r="N15" s="19" t="n">
        <f aca="false">IF(AND(8&gt;=E15,OR(F15="",8&lt;=F15)),(D15*(1+assumptions!$G$76)^0/12*(1+assumptions!$G$70+assumptions!$G$71+IF(8&gt;=assumptions!$G$73,assumptions!$G$72,0))+assumptions!$G$74/12)+IF(8=E15,D15*assumptions!$G$75,0),0)</f>
        <v>0</v>
      </c>
      <c r="O15" s="19" t="n">
        <f aca="false">IF(AND(9&gt;=E15,OR(F15="",9&lt;=F15)),(D15*(1+assumptions!$G$76)^0/12*(1+assumptions!$G$70+assumptions!$G$71+IF(9&gt;=assumptions!$G$73,assumptions!$G$72,0))+assumptions!$G$74/12)+IF(9=E15,D15*assumptions!$G$75,0),0)</f>
        <v>15140</v>
      </c>
      <c r="P15" s="19" t="n">
        <f aca="false">IF(AND(10&gt;=E15,OR(F15="",10&lt;=F15)),(D15*(1+assumptions!$G$76)^0/12*(1+assumptions!$G$70+assumptions!$G$71+IF(10&gt;=assumptions!$G$73,assumptions!$G$72,0))+assumptions!$G$74/12)+IF(10=E15,D15*assumptions!$G$75,0),0)</f>
        <v>6140</v>
      </c>
      <c r="Q15" s="19" t="n">
        <f aca="false">IF(AND(11&gt;=E15,OR(F15="",11&lt;=F15)),(D15*(1+assumptions!$G$76)^0/12*(1+assumptions!$G$70+assumptions!$G$71+IF(11&gt;=assumptions!$G$73,assumptions!$G$72,0))+assumptions!$G$74/12)+IF(11=E15,D15*assumptions!$G$75,0),0)</f>
        <v>6140</v>
      </c>
      <c r="R15" s="19" t="n">
        <f aca="false">IF(AND(12&gt;=E15,OR(F15="",12&lt;=F15)),(D15*(1+assumptions!$G$76)^0/12*(1+assumptions!$G$70+assumptions!$G$71+IF(12&gt;=assumptions!$G$73,assumptions!$G$72,0))+assumptions!$G$74/12)+IF(12=E15,D15*assumptions!$G$75,0),0)</f>
        <v>6140</v>
      </c>
      <c r="S15" s="19" t="n">
        <f aca="false">IF(AND(13&gt;=E15,OR(F15="",13&lt;=F15)),(D15*(1+assumptions!$G$76)^1/12*(1+assumptions!$G$70+assumptions!$G$71+IF(13&gt;=assumptions!$G$73,assumptions!$G$72,0))+assumptions!$G$74/12)+IF(13=E15,D15*assumptions!$G$75,0),0)</f>
        <v>6373.6</v>
      </c>
      <c r="T15" s="19" t="n">
        <f aca="false">IF(AND(14&gt;=E15,OR(F15="",14&lt;=F15)),(D15*(1+assumptions!$G$76)^1/12*(1+assumptions!$G$70+assumptions!$G$71+IF(14&gt;=assumptions!$G$73,assumptions!$G$72,0))+assumptions!$G$74/12)+IF(14=E15,D15*assumptions!$G$75,0),0)</f>
        <v>6373.6</v>
      </c>
      <c r="U15" s="19" t="n">
        <f aca="false">IF(AND(15&gt;=E15,OR(F15="",15&lt;=F15)),(D15*(1+assumptions!$G$76)^1/12*(1+assumptions!$G$70+assumptions!$G$71+IF(15&gt;=assumptions!$G$73,assumptions!$G$72,0))+assumptions!$G$74/12)+IF(15=E15,D15*assumptions!$G$75,0),0)</f>
        <v>6373.6</v>
      </c>
      <c r="V15" s="19" t="n">
        <f aca="false">IF(AND(16&gt;=E15,OR(F15="",16&lt;=F15)),(D15*(1+assumptions!$G$76)^1/12*(1+assumptions!$G$70+assumptions!$G$71+IF(16&gt;=assumptions!$G$73,assumptions!$G$72,0))+assumptions!$G$74/12)+IF(16=E15,D15*assumptions!$G$75,0),0)</f>
        <v>6373.6</v>
      </c>
      <c r="W15" s="19" t="n">
        <f aca="false">IF(AND(17&gt;=E15,OR(F15="",17&lt;=F15)),(D15*(1+assumptions!$G$76)^1/12*(1+assumptions!$G$70+assumptions!$G$71+IF(17&gt;=assumptions!$G$73,assumptions!$G$72,0))+assumptions!$G$74/12)+IF(17=E15,D15*assumptions!$G$75,0),0)</f>
        <v>6373.6</v>
      </c>
      <c r="X15" s="19" t="n">
        <f aca="false">IF(AND(18&gt;=E15,OR(F15="",18&lt;=F15)),(D15*(1+assumptions!$G$76)^1/12*(1+assumptions!$G$70+assumptions!$G$71+IF(18&gt;=assumptions!$G$73,assumptions!$G$72,0))+assumptions!$G$74/12)+IF(18=E15,D15*assumptions!$G$75,0),0)</f>
        <v>6373.6</v>
      </c>
      <c r="Y15" s="19" t="n">
        <f aca="false">IF(AND(19&gt;=E15,OR(F15="",19&lt;=F15)),(D15*(1+assumptions!$G$76)^1/12*(1+assumptions!$G$70+assumptions!$G$71+IF(19&gt;=assumptions!$G$73,assumptions!$G$72,0))+assumptions!$G$74/12)+IF(19=E15,D15*assumptions!$G$75,0),0)</f>
        <v>6373.6</v>
      </c>
      <c r="Z15" s="19" t="n">
        <f aca="false">IF(AND(20&gt;=E15,OR(F15="",20&lt;=F15)),(D15*(1+assumptions!$G$76)^1/12*(1+assumptions!$G$70+assumptions!$G$71+IF(20&gt;=assumptions!$G$73,assumptions!$G$72,0))+assumptions!$G$74/12)+IF(20=E15,D15*assumptions!$G$75,0),0)</f>
        <v>6373.6</v>
      </c>
      <c r="AA15" s="19" t="n">
        <f aca="false">IF(AND(21&gt;=E15,OR(F15="",21&lt;=F15)),(D15*(1+assumptions!$G$76)^1/12*(1+assumptions!$G$70+assumptions!$G$71+IF(21&gt;=assumptions!$G$73,assumptions!$G$72,0))+assumptions!$G$74/12)+IF(21=E15,D15*assumptions!$G$75,0),0)</f>
        <v>6373.6</v>
      </c>
      <c r="AB15" s="19" t="n">
        <f aca="false">IF(AND(22&gt;=E15,OR(F15="",22&lt;=F15)),(D15*(1+assumptions!$G$76)^1/12*(1+assumptions!$G$70+assumptions!$G$71+IF(22&gt;=assumptions!$G$73,assumptions!$G$72,0))+assumptions!$G$74/12)+IF(22=E15,D15*assumptions!$G$75,0),0)</f>
        <v>6373.6</v>
      </c>
      <c r="AC15" s="19" t="n">
        <f aca="false">IF(AND(23&gt;=E15,OR(F15="",23&lt;=F15)),(D15*(1+assumptions!$G$76)^1/12*(1+assumptions!$G$70+assumptions!$G$71+IF(23&gt;=assumptions!$G$73,assumptions!$G$72,0))+assumptions!$G$74/12)+IF(23=E15,D15*assumptions!$G$75,0),0)</f>
        <v>6373.6</v>
      </c>
      <c r="AD15" s="19" t="n">
        <f aca="false">IF(AND(24&gt;=E15,OR(F15="",24&lt;=F15)),(D15*(1+assumptions!$G$76)^1/12*(1+assumptions!$G$70+assumptions!$G$71+IF(24&gt;=assumptions!$G$73,assumptions!$G$72,0))+assumptions!$G$74/12)+IF(24=E15,D15*assumptions!$G$75,0),0)</f>
        <v>6399.6</v>
      </c>
      <c r="AE15" s="19" t="n">
        <f aca="false">IF(AND(25&gt;=E15,OR(F15="",25&lt;=F15)),(D15*(1+assumptions!$G$76)^2/12*(1+assumptions!$G$70+assumptions!$G$71+IF(25&gt;=assumptions!$G$73,assumptions!$G$72,0))+assumptions!$G$74/12)+IF(25=E15,D15*assumptions!$G$75,0),0)</f>
        <v>6643.584</v>
      </c>
      <c r="AF15" s="19" t="n">
        <f aca="false">IF(AND(26&gt;=E15,OR(F15="",26&lt;=F15)),(D15*(1+assumptions!$G$76)^2/12*(1+assumptions!$G$70+assumptions!$G$71+IF(26&gt;=assumptions!$G$73,assumptions!$G$72,0))+assumptions!$G$74/12)+IF(26=E15,D15*assumptions!$G$75,0),0)</f>
        <v>6643.584</v>
      </c>
      <c r="AG15" s="19" t="n">
        <f aca="false">IF(AND(27&gt;=E15,OR(F15="",27&lt;=F15)),(D15*(1+assumptions!$G$76)^2/12*(1+assumptions!$G$70+assumptions!$G$71+IF(27&gt;=assumptions!$G$73,assumptions!$G$72,0))+assumptions!$G$74/12)+IF(27=E15,D15*assumptions!$G$75,0),0)</f>
        <v>6643.584</v>
      </c>
      <c r="AH15" s="19" t="n">
        <f aca="false">IF(AND(28&gt;=E15,OR(F15="",28&lt;=F15)),(D15*(1+assumptions!$G$76)^2/12*(1+assumptions!$G$70+assumptions!$G$71+IF(28&gt;=assumptions!$G$73,assumptions!$G$72,0))+assumptions!$G$74/12)+IF(28=E15,D15*assumptions!$G$75,0),0)</f>
        <v>6643.584</v>
      </c>
      <c r="AI15" s="19" t="n">
        <f aca="false">IF(AND(29&gt;=E15,OR(F15="",29&lt;=F15)),(D15*(1+assumptions!$G$76)^2/12*(1+assumptions!$G$70+assumptions!$G$71+IF(29&gt;=assumptions!$G$73,assumptions!$G$72,0))+assumptions!$G$74/12)+IF(29=E15,D15*assumptions!$G$75,0),0)</f>
        <v>6643.584</v>
      </c>
      <c r="AJ15" s="19" t="n">
        <f aca="false">IF(AND(30&gt;=E15,OR(F15="",30&lt;=F15)),(D15*(1+assumptions!$G$76)^2/12*(1+assumptions!$G$70+assumptions!$G$71+IF(30&gt;=assumptions!$G$73,assumptions!$G$72,0))+assumptions!$G$74/12)+IF(30=E15,D15*assumptions!$G$75,0),0)</f>
        <v>6643.584</v>
      </c>
      <c r="AK15" s="19" t="n">
        <f aca="false">IF(AND(31&gt;=E15,OR(F15="",31&lt;=F15)),(D15*(1+assumptions!$G$76)^2/12*(1+assumptions!$G$70+assumptions!$G$71+IF(31&gt;=assumptions!$G$73,assumptions!$G$72,0))+assumptions!$G$74/12)+IF(31=E15,D15*assumptions!$G$75,0),0)</f>
        <v>6643.584</v>
      </c>
      <c r="AL15" s="19" t="n">
        <f aca="false">IF(AND(32&gt;=E15,OR(F15="",32&lt;=F15)),(D15*(1+assumptions!$G$76)^2/12*(1+assumptions!$G$70+assumptions!$G$71+IF(32&gt;=assumptions!$G$73,assumptions!$G$72,0))+assumptions!$G$74/12)+IF(32=E15,D15*assumptions!$G$75,0),0)</f>
        <v>6643.584</v>
      </c>
      <c r="AM15" s="19" t="n">
        <f aca="false">IF(AND(33&gt;=E15,OR(F15="",33&lt;=F15)),(D15*(1+assumptions!$G$76)^2/12*(1+assumptions!$G$70+assumptions!$G$71+IF(33&gt;=assumptions!$G$73,assumptions!$G$72,0))+assumptions!$G$74/12)+IF(33=E15,D15*assumptions!$G$75,0),0)</f>
        <v>6643.584</v>
      </c>
      <c r="AN15" s="19" t="n">
        <f aca="false">IF(AND(34&gt;=E15,OR(F15="",34&lt;=F15)),(D15*(1+assumptions!$G$76)^2/12*(1+assumptions!$G$70+assumptions!$G$71+IF(34&gt;=assumptions!$G$73,assumptions!$G$72,0))+assumptions!$G$74/12)+IF(34=E15,D15*assumptions!$G$75,0),0)</f>
        <v>6643.584</v>
      </c>
      <c r="AO15" s="19" t="n">
        <f aca="false">IF(AND(35&gt;=E15,OR(F15="",35&lt;=F15)),(D15*(1+assumptions!$G$76)^2/12*(1+assumptions!$G$70+assumptions!$G$71+IF(35&gt;=assumptions!$G$73,assumptions!$G$72,0))+assumptions!$G$74/12)+IF(35=E15,D15*assumptions!$G$75,0),0)</f>
        <v>6643.584</v>
      </c>
      <c r="AP15" s="19" t="n">
        <f aca="false">IF(AND(36&gt;=E15,OR(F15="",36&lt;=F15)),(D15*(1+assumptions!$G$76)^2/12*(1+assumptions!$G$70+assumptions!$G$71+IF(36&gt;=assumptions!$G$73,assumptions!$G$72,0))+assumptions!$G$74/12)+IF(36=E15,D15*assumptions!$G$75,0),0)</f>
        <v>6643.584</v>
      </c>
      <c r="AQ15" s="19" t="n">
        <f aca="false">IF(AND(37&gt;=E15,OR(F15="",37&lt;=F15)),(D15*(1+assumptions!$G$76)^3/12*(1+assumptions!$G$70+assumptions!$G$71+IF(37&gt;=assumptions!$G$73,assumptions!$G$72,0))+assumptions!$G$74/12)+IF(37=E15,D15*assumptions!$G$75,0),0)</f>
        <v>6897.32736</v>
      </c>
      <c r="AR15" s="19" t="n">
        <f aca="false">IF(AND(38&gt;=E15,OR(F15="",38&lt;=F15)),(D15*(1+assumptions!$G$76)^3/12*(1+assumptions!$G$70+assumptions!$G$71+IF(38&gt;=assumptions!$G$73,assumptions!$G$72,0))+assumptions!$G$74/12)+IF(38=E15,D15*assumptions!$G$75,0),0)</f>
        <v>6897.32736</v>
      </c>
      <c r="AS15" s="19" t="n">
        <f aca="false">IF(AND(39&gt;=E15,OR(F15="",39&lt;=F15)),(D15*(1+assumptions!$G$76)^3/12*(1+assumptions!$G$70+assumptions!$G$71+IF(39&gt;=assumptions!$G$73,assumptions!$G$72,0))+assumptions!$G$74/12)+IF(39=E15,D15*assumptions!$G$75,0),0)</f>
        <v>6897.32736</v>
      </c>
      <c r="AT15" s="19" t="n">
        <f aca="false">IF(AND(40&gt;=E15,OR(F15="",40&lt;=F15)),(D15*(1+assumptions!$G$76)^3/12*(1+assumptions!$G$70+assumptions!$G$71+IF(40&gt;=assumptions!$G$73,assumptions!$G$72,0))+assumptions!$G$74/12)+IF(40=E15,D15*assumptions!$G$75,0),0)</f>
        <v>6897.32736</v>
      </c>
      <c r="AU15" s="19" t="n">
        <f aca="false">IF(AND(41&gt;=E15,OR(F15="",41&lt;=F15)),(D15*(1+assumptions!$G$76)^3/12*(1+assumptions!$G$70+assumptions!$G$71+IF(41&gt;=assumptions!$G$73,assumptions!$G$72,0))+assumptions!$G$74/12)+IF(41=E15,D15*assumptions!$G$75,0),0)</f>
        <v>6897.32736</v>
      </c>
      <c r="AV15" s="19" t="n">
        <f aca="false">IF(AND(42&gt;=E15,OR(F15="",42&lt;=F15)),(D15*(1+assumptions!$G$76)^3/12*(1+assumptions!$G$70+assumptions!$G$71+IF(42&gt;=assumptions!$G$73,assumptions!$G$72,0))+assumptions!$G$74/12)+IF(42=E15,D15*assumptions!$G$75,0),0)</f>
        <v>6897.32736</v>
      </c>
      <c r="AW15" s="19" t="n">
        <f aca="false">IF(AND(43&gt;=E15,OR(F15="",43&lt;=F15)),(D15*(1+assumptions!$G$76)^3/12*(1+assumptions!$G$70+assumptions!$G$71+IF(43&gt;=assumptions!$G$73,assumptions!$G$72,0))+assumptions!$G$74/12)+IF(43=E15,D15*assumptions!$G$75,0),0)</f>
        <v>6897.32736</v>
      </c>
      <c r="AX15" s="19" t="n">
        <f aca="false">IF(AND(44&gt;=E15,OR(F15="",44&lt;=F15)),(D15*(1+assumptions!$G$76)^3/12*(1+assumptions!$G$70+assumptions!$G$71+IF(44&gt;=assumptions!$G$73,assumptions!$G$72,0))+assumptions!$G$74/12)+IF(44=E15,D15*assumptions!$G$75,0),0)</f>
        <v>6897.32736</v>
      </c>
      <c r="AY15" s="19" t="n">
        <f aca="false">IF(AND(45&gt;=E15,OR(F15="",45&lt;=F15)),(D15*(1+assumptions!$G$76)^3/12*(1+assumptions!$G$70+assumptions!$G$71+IF(45&gt;=assumptions!$G$73,assumptions!$G$72,0))+assumptions!$G$74/12)+IF(45=E15,D15*assumptions!$G$75,0),0)</f>
        <v>6897.32736</v>
      </c>
      <c r="AZ15" s="19" t="n">
        <f aca="false">IF(AND(46&gt;=E15,OR(F15="",46&lt;=F15)),(D15*(1+assumptions!$G$76)^3/12*(1+assumptions!$G$70+assumptions!$G$71+IF(46&gt;=assumptions!$G$73,assumptions!$G$72,0))+assumptions!$G$74/12)+IF(46=E15,D15*assumptions!$G$75,0),0)</f>
        <v>6897.32736</v>
      </c>
      <c r="BA15" s="19" t="n">
        <f aca="false">IF(AND(47&gt;=E15,OR(F15="",47&lt;=F15)),(D15*(1+assumptions!$G$76)^3/12*(1+assumptions!$G$70+assumptions!$G$71+IF(47&gt;=assumptions!$G$73,assumptions!$G$72,0))+assumptions!$G$74/12)+IF(47=E15,D15*assumptions!$G$75,0),0)</f>
        <v>6897.32736</v>
      </c>
      <c r="BB15" s="19" t="n">
        <f aca="false">IF(AND(48&gt;=E15,OR(F15="",48&lt;=F15)),(D15*(1+assumptions!$G$76)^3/12*(1+assumptions!$G$70+assumptions!$G$71+IF(48&gt;=assumptions!$G$73,assumptions!$G$72,0))+assumptions!$G$74/12)+IF(48=E15,D15*assumptions!$G$75,0),0)</f>
        <v>6897.32736</v>
      </c>
      <c r="BC15" s="19" t="n">
        <f aca="false">IF(AND(49&gt;=E15,OR(F15="",49&lt;=F15)),(D15*(1+assumptions!$G$76)^4/12*(1+assumptions!$G$70+assumptions!$G$71+IF(49&gt;=assumptions!$G$73,assumptions!$G$72,0))+assumptions!$G$74/12)+IF(49=E15,D15*assumptions!$G$75,0),0)</f>
        <v>7161.2204544</v>
      </c>
      <c r="BD15" s="19" t="n">
        <f aca="false">IF(AND(50&gt;=E15,OR(F15="",50&lt;=F15)),(D15*(1+assumptions!$G$76)^4/12*(1+assumptions!$G$70+assumptions!$G$71+IF(50&gt;=assumptions!$G$73,assumptions!$G$72,0))+assumptions!$G$74/12)+IF(50=E15,D15*assumptions!$G$75,0),0)</f>
        <v>7161.2204544</v>
      </c>
      <c r="BE15" s="19" t="n">
        <f aca="false">IF(AND(51&gt;=E15,OR(F15="",51&lt;=F15)),(D15*(1+assumptions!$G$76)^4/12*(1+assumptions!$G$70+assumptions!$G$71+IF(51&gt;=assumptions!$G$73,assumptions!$G$72,0))+assumptions!$G$74/12)+IF(51=E15,D15*assumptions!$G$75,0),0)</f>
        <v>7161.2204544</v>
      </c>
      <c r="BF15" s="19" t="n">
        <f aca="false">IF(AND(52&gt;=E15,OR(F15="",52&lt;=F15)),(D15*(1+assumptions!$G$76)^4/12*(1+assumptions!$G$70+assumptions!$G$71+IF(52&gt;=assumptions!$G$73,assumptions!$G$72,0))+assumptions!$G$74/12)+IF(52=E15,D15*assumptions!$G$75,0),0)</f>
        <v>7161.2204544</v>
      </c>
      <c r="BG15" s="19" t="n">
        <f aca="false">IF(AND(53&gt;=E15,OR(F15="",53&lt;=F15)),(D15*(1+assumptions!$G$76)^4/12*(1+assumptions!$G$70+assumptions!$G$71+IF(53&gt;=assumptions!$G$73,assumptions!$G$72,0))+assumptions!$G$74/12)+IF(53=E15,D15*assumptions!$G$75,0),0)</f>
        <v>7161.2204544</v>
      </c>
      <c r="BH15" s="19" t="n">
        <f aca="false">IF(AND(54&gt;=E15,OR(F15="",54&lt;=F15)),(D15*(1+assumptions!$G$76)^4/12*(1+assumptions!$G$70+assumptions!$G$71+IF(54&gt;=assumptions!$G$73,assumptions!$G$72,0))+assumptions!$G$74/12)+IF(54=E15,D15*assumptions!$G$75,0),0)</f>
        <v>7161.2204544</v>
      </c>
      <c r="BI15" s="19" t="n">
        <f aca="false">IF(AND(55&gt;=E15,OR(F15="",55&lt;=F15)),(D15*(1+assumptions!$G$76)^4/12*(1+assumptions!$G$70+assumptions!$G$71+IF(55&gt;=assumptions!$G$73,assumptions!$G$72,0))+assumptions!$G$74/12)+IF(55=E15,D15*assumptions!$G$75,0),0)</f>
        <v>7161.2204544</v>
      </c>
      <c r="BJ15" s="19" t="n">
        <f aca="false">IF(AND(56&gt;=E15,OR(F15="",56&lt;=F15)),(D15*(1+assumptions!$G$76)^4/12*(1+assumptions!$G$70+assumptions!$G$71+IF(56&gt;=assumptions!$G$73,assumptions!$G$72,0))+assumptions!$G$74/12)+IF(56=E15,D15*assumptions!$G$75,0),0)</f>
        <v>7161.2204544</v>
      </c>
      <c r="BK15" s="19" t="n">
        <f aca="false">IF(AND(57&gt;=E15,OR(F15="",57&lt;=F15)),(D15*(1+assumptions!$G$76)^4/12*(1+assumptions!$G$70+assumptions!$G$71+IF(57&gt;=assumptions!$G$73,assumptions!$G$72,0))+assumptions!$G$74/12)+IF(57=E15,D15*assumptions!$G$75,0),0)</f>
        <v>7161.2204544</v>
      </c>
      <c r="BL15" s="19" t="n">
        <f aca="false">IF(AND(58&gt;=E15,OR(F15="",58&lt;=F15)),(D15*(1+assumptions!$G$76)^4/12*(1+assumptions!$G$70+assumptions!$G$71+IF(58&gt;=assumptions!$G$73,assumptions!$G$72,0))+assumptions!$G$74/12)+IF(58=E15,D15*assumptions!$G$75,0),0)</f>
        <v>7161.2204544</v>
      </c>
      <c r="BM15" s="19" t="n">
        <f aca="false">IF(AND(59&gt;=E15,OR(F15="",59&lt;=F15)),(D15*(1+assumptions!$G$76)^4/12*(1+assumptions!$G$70+assumptions!$G$71+IF(59&gt;=assumptions!$G$73,assumptions!$G$72,0))+assumptions!$G$74/12)+IF(59=E15,D15*assumptions!$G$75,0),0)</f>
        <v>7161.2204544</v>
      </c>
      <c r="BN15" s="19" t="n">
        <f aca="false">IF(AND(60&gt;=E15,OR(F15="",60&lt;=F15)),(D15*(1+assumptions!$G$76)^4/12*(1+assumptions!$G$70+assumptions!$G$71+IF(60&gt;=assumptions!$G$73,assumptions!$G$72,0))+assumptions!$G$74/12)+IF(60=E15,D15*assumptions!$G$75,0),0)</f>
        <v>7161.2204544</v>
      </c>
    </row>
    <row r="16" customFormat="false" ht="14.25" hidden="false" customHeight="false" outlineLevel="0" collapsed="false">
      <c r="A16" s="7" t="n">
        <v>13</v>
      </c>
      <c r="B16" s="7" t="s">
        <v>353</v>
      </c>
      <c r="C16" s="7" t="s">
        <v>354</v>
      </c>
      <c r="D16" s="17" t="n">
        <v>65000</v>
      </c>
      <c r="E16" s="49" t="n">
        <v>9</v>
      </c>
      <c r="F16" s="49"/>
      <c r="G16" s="19" t="n">
        <f aca="false">IF(AND(1&gt;=E16,OR(F16="",1&lt;=F16)),(D16*(1+assumptions!$G$76)^0/12*(1+assumptions!$G$70+assumptions!$G$71+IF(1&gt;=assumptions!$G$73,assumptions!$G$72,0))+assumptions!$G$74/12)+IF(1=E16,D16*assumptions!$G$75,0),0)</f>
        <v>0</v>
      </c>
      <c r="H16" s="19" t="n">
        <f aca="false">IF(AND(2&gt;=E16,OR(F16="",2&lt;=F16)),(D16*(1+assumptions!$G$76)^0/12*(1+assumptions!$G$70+assumptions!$G$71+IF(2&gt;=assumptions!$G$73,assumptions!$G$72,0))+assumptions!$G$74/12)+IF(2=E16,D16*assumptions!$G$75,0),0)</f>
        <v>0</v>
      </c>
      <c r="I16" s="19" t="n">
        <f aca="false">IF(AND(3&gt;=E16,OR(F16="",3&lt;=F16)),(D16*(1+assumptions!$G$76)^0/12*(1+assumptions!$G$70+assumptions!$G$71+IF(3&gt;=assumptions!$G$73,assumptions!$G$72,0))+assumptions!$G$74/12)+IF(3=E16,D16*assumptions!$G$75,0),0)</f>
        <v>0</v>
      </c>
      <c r="J16" s="19" t="n">
        <f aca="false">IF(AND(4&gt;=E16,OR(F16="",4&lt;=F16)),(D16*(1+assumptions!$G$76)^0/12*(1+assumptions!$G$70+assumptions!$G$71+IF(4&gt;=assumptions!$G$73,assumptions!$G$72,0))+assumptions!$G$74/12)+IF(4=E16,D16*assumptions!$G$75,0),0)</f>
        <v>0</v>
      </c>
      <c r="K16" s="19" t="n">
        <f aca="false">IF(AND(5&gt;=E16,OR(F16="",5&lt;=F16)),(D16*(1+assumptions!$G$76)^0/12*(1+assumptions!$G$70+assumptions!$G$71+IF(5&gt;=assumptions!$G$73,assumptions!$G$72,0))+assumptions!$G$74/12)+IF(5=E16,D16*assumptions!$G$75,0),0)</f>
        <v>0</v>
      </c>
      <c r="L16" s="19" t="n">
        <f aca="false">IF(AND(6&gt;=E16,OR(F16="",6&lt;=F16)),(D16*(1+assumptions!$G$76)^0/12*(1+assumptions!$G$70+assumptions!$G$71+IF(6&gt;=assumptions!$G$73,assumptions!$G$72,0))+assumptions!$G$74/12)+IF(6=E16,D16*assumptions!$G$75,0),0)</f>
        <v>0</v>
      </c>
      <c r="M16" s="19" t="n">
        <f aca="false">IF(AND(7&gt;=E16,OR(F16="",7&lt;=F16)),(D16*(1+assumptions!$G$76)^0/12*(1+assumptions!$G$70+assumptions!$G$71+IF(7&gt;=assumptions!$G$73,assumptions!$G$72,0))+assumptions!$G$74/12)+IF(7=E16,D16*assumptions!$G$75,0),0)</f>
        <v>0</v>
      </c>
      <c r="N16" s="19" t="n">
        <f aca="false">IF(AND(8&gt;=E16,OR(F16="",8&lt;=F16)),(D16*(1+assumptions!$G$76)^0/12*(1+assumptions!$G$70+assumptions!$G$71+IF(8&gt;=assumptions!$G$73,assumptions!$G$72,0))+assumptions!$G$74/12)+IF(8=E16,D16*assumptions!$G$75,0),0)</f>
        <v>0</v>
      </c>
      <c r="O16" s="19" t="n">
        <f aca="false">IF(AND(9&gt;=E16,OR(F16="",9&lt;=F16)),(D16*(1+assumptions!$G$76)^0/12*(1+assumptions!$G$70+assumptions!$G$71+IF(9&gt;=assumptions!$G$73,assumptions!$G$72,0))+assumptions!$G$74/12)+IF(9=E16,D16*assumptions!$G$75,0),0)</f>
        <v>16376.6666666667</v>
      </c>
      <c r="P16" s="19" t="n">
        <f aca="false">IF(AND(10&gt;=E16,OR(F16="",10&lt;=F16)),(D16*(1+assumptions!$G$76)^0/12*(1+assumptions!$G$70+assumptions!$G$71+IF(10&gt;=assumptions!$G$73,assumptions!$G$72,0))+assumptions!$G$74/12)+IF(10=E16,D16*assumptions!$G$75,0),0)</f>
        <v>6626.66666666667</v>
      </c>
      <c r="Q16" s="19" t="n">
        <f aca="false">IF(AND(11&gt;=E16,OR(F16="",11&lt;=F16)),(D16*(1+assumptions!$G$76)^0/12*(1+assumptions!$G$70+assumptions!$G$71+IF(11&gt;=assumptions!$G$73,assumptions!$G$72,0))+assumptions!$G$74/12)+IF(11=E16,D16*assumptions!$G$75,0),0)</f>
        <v>6626.66666666667</v>
      </c>
      <c r="R16" s="19" t="n">
        <f aca="false">IF(AND(12&gt;=E16,OR(F16="",12&lt;=F16)),(D16*(1+assumptions!$G$76)^0/12*(1+assumptions!$G$70+assumptions!$G$71+IF(12&gt;=assumptions!$G$73,assumptions!$G$72,0))+assumptions!$G$74/12)+IF(12=E16,D16*assumptions!$G$75,0),0)</f>
        <v>6626.66666666667</v>
      </c>
      <c r="S16" s="19" t="n">
        <f aca="false">IF(AND(13&gt;=E16,OR(F16="",13&lt;=F16)),(D16*(1+assumptions!$G$76)^1/12*(1+assumptions!$G$70+assumptions!$G$71+IF(13&gt;=assumptions!$G$73,assumptions!$G$72,0))+assumptions!$G$74/12)+IF(13=E16,D16*assumptions!$G$75,0),0)</f>
        <v>6879.73333333333</v>
      </c>
      <c r="T16" s="19" t="n">
        <f aca="false">IF(AND(14&gt;=E16,OR(F16="",14&lt;=F16)),(D16*(1+assumptions!$G$76)^1/12*(1+assumptions!$G$70+assumptions!$G$71+IF(14&gt;=assumptions!$G$73,assumptions!$G$72,0))+assumptions!$G$74/12)+IF(14=E16,D16*assumptions!$G$75,0),0)</f>
        <v>6879.73333333333</v>
      </c>
      <c r="U16" s="19" t="n">
        <f aca="false">IF(AND(15&gt;=E16,OR(F16="",15&lt;=F16)),(D16*(1+assumptions!$G$76)^1/12*(1+assumptions!$G$70+assumptions!$G$71+IF(15&gt;=assumptions!$G$73,assumptions!$G$72,0))+assumptions!$G$74/12)+IF(15=E16,D16*assumptions!$G$75,0),0)</f>
        <v>6879.73333333333</v>
      </c>
      <c r="V16" s="19" t="n">
        <f aca="false">IF(AND(16&gt;=E16,OR(F16="",16&lt;=F16)),(D16*(1+assumptions!$G$76)^1/12*(1+assumptions!$G$70+assumptions!$G$71+IF(16&gt;=assumptions!$G$73,assumptions!$G$72,0))+assumptions!$G$74/12)+IF(16=E16,D16*assumptions!$G$75,0),0)</f>
        <v>6879.73333333333</v>
      </c>
      <c r="W16" s="19" t="n">
        <f aca="false">IF(AND(17&gt;=E16,OR(F16="",17&lt;=F16)),(D16*(1+assumptions!$G$76)^1/12*(1+assumptions!$G$70+assumptions!$G$71+IF(17&gt;=assumptions!$G$73,assumptions!$G$72,0))+assumptions!$G$74/12)+IF(17=E16,D16*assumptions!$G$75,0),0)</f>
        <v>6879.73333333333</v>
      </c>
      <c r="X16" s="19" t="n">
        <f aca="false">IF(AND(18&gt;=E16,OR(F16="",18&lt;=F16)),(D16*(1+assumptions!$G$76)^1/12*(1+assumptions!$G$70+assumptions!$G$71+IF(18&gt;=assumptions!$G$73,assumptions!$G$72,0))+assumptions!$G$74/12)+IF(18=E16,D16*assumptions!$G$75,0),0)</f>
        <v>6879.73333333333</v>
      </c>
      <c r="Y16" s="19" t="n">
        <f aca="false">IF(AND(19&gt;=E16,OR(F16="",19&lt;=F16)),(D16*(1+assumptions!$G$76)^1/12*(1+assumptions!$G$70+assumptions!$G$71+IF(19&gt;=assumptions!$G$73,assumptions!$G$72,0))+assumptions!$G$74/12)+IF(19=E16,D16*assumptions!$G$75,0),0)</f>
        <v>6879.73333333333</v>
      </c>
      <c r="Z16" s="19" t="n">
        <f aca="false">IF(AND(20&gt;=E16,OR(F16="",20&lt;=F16)),(D16*(1+assumptions!$G$76)^1/12*(1+assumptions!$G$70+assumptions!$G$71+IF(20&gt;=assumptions!$G$73,assumptions!$G$72,0))+assumptions!$G$74/12)+IF(20=E16,D16*assumptions!$G$75,0),0)</f>
        <v>6879.73333333333</v>
      </c>
      <c r="AA16" s="19" t="n">
        <f aca="false">IF(AND(21&gt;=E16,OR(F16="",21&lt;=F16)),(D16*(1+assumptions!$G$76)^1/12*(1+assumptions!$G$70+assumptions!$G$71+IF(21&gt;=assumptions!$G$73,assumptions!$G$72,0))+assumptions!$G$74/12)+IF(21=E16,D16*assumptions!$G$75,0),0)</f>
        <v>6879.73333333333</v>
      </c>
      <c r="AB16" s="19" t="n">
        <f aca="false">IF(AND(22&gt;=E16,OR(F16="",22&lt;=F16)),(D16*(1+assumptions!$G$76)^1/12*(1+assumptions!$G$70+assumptions!$G$71+IF(22&gt;=assumptions!$G$73,assumptions!$G$72,0))+assumptions!$G$74/12)+IF(22=E16,D16*assumptions!$G$75,0),0)</f>
        <v>6879.73333333333</v>
      </c>
      <c r="AC16" s="19" t="n">
        <f aca="false">IF(AND(23&gt;=E16,OR(F16="",23&lt;=F16)),(D16*(1+assumptions!$G$76)^1/12*(1+assumptions!$G$70+assumptions!$G$71+IF(23&gt;=assumptions!$G$73,assumptions!$G$72,0))+assumptions!$G$74/12)+IF(23=E16,D16*assumptions!$G$75,0),0)</f>
        <v>6879.73333333333</v>
      </c>
      <c r="AD16" s="19" t="n">
        <f aca="false">IF(AND(24&gt;=E16,OR(F16="",24&lt;=F16)),(D16*(1+assumptions!$G$76)^1/12*(1+assumptions!$G$70+assumptions!$G$71+IF(24&gt;=assumptions!$G$73,assumptions!$G$72,0))+assumptions!$G$74/12)+IF(24=E16,D16*assumptions!$G$75,0),0)</f>
        <v>6907.9</v>
      </c>
      <c r="AE16" s="19" t="n">
        <f aca="false">IF(AND(25&gt;=E16,OR(F16="",25&lt;=F16)),(D16*(1+assumptions!$G$76)^2/12*(1+assumptions!$G$70+assumptions!$G$71+IF(25&gt;=assumptions!$G$73,assumptions!$G$72,0))+assumptions!$G$74/12)+IF(25=E16,D16*assumptions!$G$75,0),0)</f>
        <v>7172.216</v>
      </c>
      <c r="AF16" s="19" t="n">
        <f aca="false">IF(AND(26&gt;=E16,OR(F16="",26&lt;=F16)),(D16*(1+assumptions!$G$76)^2/12*(1+assumptions!$G$70+assumptions!$G$71+IF(26&gt;=assumptions!$G$73,assumptions!$G$72,0))+assumptions!$G$74/12)+IF(26=E16,D16*assumptions!$G$75,0),0)</f>
        <v>7172.216</v>
      </c>
      <c r="AG16" s="19" t="n">
        <f aca="false">IF(AND(27&gt;=E16,OR(F16="",27&lt;=F16)),(D16*(1+assumptions!$G$76)^2/12*(1+assumptions!$G$70+assumptions!$G$71+IF(27&gt;=assumptions!$G$73,assumptions!$G$72,0))+assumptions!$G$74/12)+IF(27=E16,D16*assumptions!$G$75,0),0)</f>
        <v>7172.216</v>
      </c>
      <c r="AH16" s="19" t="n">
        <f aca="false">IF(AND(28&gt;=E16,OR(F16="",28&lt;=F16)),(D16*(1+assumptions!$G$76)^2/12*(1+assumptions!$G$70+assumptions!$G$71+IF(28&gt;=assumptions!$G$73,assumptions!$G$72,0))+assumptions!$G$74/12)+IF(28=E16,D16*assumptions!$G$75,0),0)</f>
        <v>7172.216</v>
      </c>
      <c r="AI16" s="19" t="n">
        <f aca="false">IF(AND(29&gt;=E16,OR(F16="",29&lt;=F16)),(D16*(1+assumptions!$G$76)^2/12*(1+assumptions!$G$70+assumptions!$G$71+IF(29&gt;=assumptions!$G$73,assumptions!$G$72,0))+assumptions!$G$74/12)+IF(29=E16,D16*assumptions!$G$75,0),0)</f>
        <v>7172.216</v>
      </c>
      <c r="AJ16" s="19" t="n">
        <f aca="false">IF(AND(30&gt;=E16,OR(F16="",30&lt;=F16)),(D16*(1+assumptions!$G$76)^2/12*(1+assumptions!$G$70+assumptions!$G$71+IF(30&gt;=assumptions!$G$73,assumptions!$G$72,0))+assumptions!$G$74/12)+IF(30=E16,D16*assumptions!$G$75,0),0)</f>
        <v>7172.216</v>
      </c>
      <c r="AK16" s="19" t="n">
        <f aca="false">IF(AND(31&gt;=E16,OR(F16="",31&lt;=F16)),(D16*(1+assumptions!$G$76)^2/12*(1+assumptions!$G$70+assumptions!$G$71+IF(31&gt;=assumptions!$G$73,assumptions!$G$72,0))+assumptions!$G$74/12)+IF(31=E16,D16*assumptions!$G$75,0),0)</f>
        <v>7172.216</v>
      </c>
      <c r="AL16" s="19" t="n">
        <f aca="false">IF(AND(32&gt;=E16,OR(F16="",32&lt;=F16)),(D16*(1+assumptions!$G$76)^2/12*(1+assumptions!$G$70+assumptions!$G$71+IF(32&gt;=assumptions!$G$73,assumptions!$G$72,0))+assumptions!$G$74/12)+IF(32=E16,D16*assumptions!$G$75,0),0)</f>
        <v>7172.216</v>
      </c>
      <c r="AM16" s="19" t="n">
        <f aca="false">IF(AND(33&gt;=E16,OR(F16="",33&lt;=F16)),(D16*(1+assumptions!$G$76)^2/12*(1+assumptions!$G$70+assumptions!$G$71+IF(33&gt;=assumptions!$G$73,assumptions!$G$72,0))+assumptions!$G$74/12)+IF(33=E16,D16*assumptions!$G$75,0),0)</f>
        <v>7172.216</v>
      </c>
      <c r="AN16" s="19" t="n">
        <f aca="false">IF(AND(34&gt;=E16,OR(F16="",34&lt;=F16)),(D16*(1+assumptions!$G$76)^2/12*(1+assumptions!$G$70+assumptions!$G$71+IF(34&gt;=assumptions!$G$73,assumptions!$G$72,0))+assumptions!$G$74/12)+IF(34=E16,D16*assumptions!$G$75,0),0)</f>
        <v>7172.216</v>
      </c>
      <c r="AO16" s="19" t="n">
        <f aca="false">IF(AND(35&gt;=E16,OR(F16="",35&lt;=F16)),(D16*(1+assumptions!$G$76)^2/12*(1+assumptions!$G$70+assumptions!$G$71+IF(35&gt;=assumptions!$G$73,assumptions!$G$72,0))+assumptions!$G$74/12)+IF(35=E16,D16*assumptions!$G$75,0),0)</f>
        <v>7172.216</v>
      </c>
      <c r="AP16" s="19" t="n">
        <f aca="false">IF(AND(36&gt;=E16,OR(F16="",36&lt;=F16)),(D16*(1+assumptions!$G$76)^2/12*(1+assumptions!$G$70+assumptions!$G$71+IF(36&gt;=assumptions!$G$73,assumptions!$G$72,0))+assumptions!$G$74/12)+IF(36=E16,D16*assumptions!$G$75,0),0)</f>
        <v>7172.216</v>
      </c>
      <c r="AQ16" s="19" t="n">
        <f aca="false">IF(AND(37&gt;=E16,OR(F16="",37&lt;=F16)),(D16*(1+assumptions!$G$76)^3/12*(1+assumptions!$G$70+assumptions!$G$71+IF(37&gt;=assumptions!$G$73,assumptions!$G$72,0))+assumptions!$G$74/12)+IF(37=E16,D16*assumptions!$G$75,0),0)</f>
        <v>7447.10464</v>
      </c>
      <c r="AR16" s="19" t="n">
        <f aca="false">IF(AND(38&gt;=E16,OR(F16="",38&lt;=F16)),(D16*(1+assumptions!$G$76)^3/12*(1+assumptions!$G$70+assumptions!$G$71+IF(38&gt;=assumptions!$G$73,assumptions!$G$72,0))+assumptions!$G$74/12)+IF(38=E16,D16*assumptions!$G$75,0),0)</f>
        <v>7447.10464</v>
      </c>
      <c r="AS16" s="19" t="n">
        <f aca="false">IF(AND(39&gt;=E16,OR(F16="",39&lt;=F16)),(D16*(1+assumptions!$G$76)^3/12*(1+assumptions!$G$70+assumptions!$G$71+IF(39&gt;=assumptions!$G$73,assumptions!$G$72,0))+assumptions!$G$74/12)+IF(39=E16,D16*assumptions!$G$75,0),0)</f>
        <v>7447.10464</v>
      </c>
      <c r="AT16" s="19" t="n">
        <f aca="false">IF(AND(40&gt;=E16,OR(F16="",40&lt;=F16)),(D16*(1+assumptions!$G$76)^3/12*(1+assumptions!$G$70+assumptions!$G$71+IF(40&gt;=assumptions!$G$73,assumptions!$G$72,0))+assumptions!$G$74/12)+IF(40=E16,D16*assumptions!$G$75,0),0)</f>
        <v>7447.10464</v>
      </c>
      <c r="AU16" s="19" t="n">
        <f aca="false">IF(AND(41&gt;=E16,OR(F16="",41&lt;=F16)),(D16*(1+assumptions!$G$76)^3/12*(1+assumptions!$G$70+assumptions!$G$71+IF(41&gt;=assumptions!$G$73,assumptions!$G$72,0))+assumptions!$G$74/12)+IF(41=E16,D16*assumptions!$G$75,0),0)</f>
        <v>7447.10464</v>
      </c>
      <c r="AV16" s="19" t="n">
        <f aca="false">IF(AND(42&gt;=E16,OR(F16="",42&lt;=F16)),(D16*(1+assumptions!$G$76)^3/12*(1+assumptions!$G$70+assumptions!$G$71+IF(42&gt;=assumptions!$G$73,assumptions!$G$72,0))+assumptions!$G$74/12)+IF(42=E16,D16*assumptions!$G$75,0),0)</f>
        <v>7447.10464</v>
      </c>
      <c r="AW16" s="19" t="n">
        <f aca="false">IF(AND(43&gt;=E16,OR(F16="",43&lt;=F16)),(D16*(1+assumptions!$G$76)^3/12*(1+assumptions!$G$70+assumptions!$G$71+IF(43&gt;=assumptions!$G$73,assumptions!$G$72,0))+assumptions!$G$74/12)+IF(43=E16,D16*assumptions!$G$75,0),0)</f>
        <v>7447.10464</v>
      </c>
      <c r="AX16" s="19" t="n">
        <f aca="false">IF(AND(44&gt;=E16,OR(F16="",44&lt;=F16)),(D16*(1+assumptions!$G$76)^3/12*(1+assumptions!$G$70+assumptions!$G$71+IF(44&gt;=assumptions!$G$73,assumptions!$G$72,0))+assumptions!$G$74/12)+IF(44=E16,D16*assumptions!$G$75,0),0)</f>
        <v>7447.10464</v>
      </c>
      <c r="AY16" s="19" t="n">
        <f aca="false">IF(AND(45&gt;=E16,OR(F16="",45&lt;=F16)),(D16*(1+assumptions!$G$76)^3/12*(1+assumptions!$G$70+assumptions!$G$71+IF(45&gt;=assumptions!$G$73,assumptions!$G$72,0))+assumptions!$G$74/12)+IF(45=E16,D16*assumptions!$G$75,0),0)</f>
        <v>7447.10464</v>
      </c>
      <c r="AZ16" s="19" t="n">
        <f aca="false">IF(AND(46&gt;=E16,OR(F16="",46&lt;=F16)),(D16*(1+assumptions!$G$76)^3/12*(1+assumptions!$G$70+assumptions!$G$71+IF(46&gt;=assumptions!$G$73,assumptions!$G$72,0))+assumptions!$G$74/12)+IF(46=E16,D16*assumptions!$G$75,0),0)</f>
        <v>7447.10464</v>
      </c>
      <c r="BA16" s="19" t="n">
        <f aca="false">IF(AND(47&gt;=E16,OR(F16="",47&lt;=F16)),(D16*(1+assumptions!$G$76)^3/12*(1+assumptions!$G$70+assumptions!$G$71+IF(47&gt;=assumptions!$G$73,assumptions!$G$72,0))+assumptions!$G$74/12)+IF(47=E16,D16*assumptions!$G$75,0),0)</f>
        <v>7447.10464</v>
      </c>
      <c r="BB16" s="19" t="n">
        <f aca="false">IF(AND(48&gt;=E16,OR(F16="",48&lt;=F16)),(D16*(1+assumptions!$G$76)^3/12*(1+assumptions!$G$70+assumptions!$G$71+IF(48&gt;=assumptions!$G$73,assumptions!$G$72,0))+assumptions!$G$74/12)+IF(48=E16,D16*assumptions!$G$75,0),0)</f>
        <v>7447.10464</v>
      </c>
      <c r="BC16" s="19" t="n">
        <f aca="false">IF(AND(49&gt;=E16,OR(F16="",49&lt;=F16)),(D16*(1+assumptions!$G$76)^4/12*(1+assumptions!$G$70+assumptions!$G$71+IF(49&gt;=assumptions!$G$73,assumptions!$G$72,0))+assumptions!$G$74/12)+IF(49=E16,D16*assumptions!$G$75,0),0)</f>
        <v>7732.9888256</v>
      </c>
      <c r="BD16" s="19" t="n">
        <f aca="false">IF(AND(50&gt;=E16,OR(F16="",50&lt;=F16)),(D16*(1+assumptions!$G$76)^4/12*(1+assumptions!$G$70+assumptions!$G$71+IF(50&gt;=assumptions!$G$73,assumptions!$G$72,0))+assumptions!$G$74/12)+IF(50=E16,D16*assumptions!$G$75,0),0)</f>
        <v>7732.9888256</v>
      </c>
      <c r="BE16" s="19" t="n">
        <f aca="false">IF(AND(51&gt;=E16,OR(F16="",51&lt;=F16)),(D16*(1+assumptions!$G$76)^4/12*(1+assumptions!$G$70+assumptions!$G$71+IF(51&gt;=assumptions!$G$73,assumptions!$G$72,0))+assumptions!$G$74/12)+IF(51=E16,D16*assumptions!$G$75,0),0)</f>
        <v>7732.9888256</v>
      </c>
      <c r="BF16" s="19" t="n">
        <f aca="false">IF(AND(52&gt;=E16,OR(F16="",52&lt;=F16)),(D16*(1+assumptions!$G$76)^4/12*(1+assumptions!$G$70+assumptions!$G$71+IF(52&gt;=assumptions!$G$73,assumptions!$G$72,0))+assumptions!$G$74/12)+IF(52=E16,D16*assumptions!$G$75,0),0)</f>
        <v>7732.9888256</v>
      </c>
      <c r="BG16" s="19" t="n">
        <f aca="false">IF(AND(53&gt;=E16,OR(F16="",53&lt;=F16)),(D16*(1+assumptions!$G$76)^4/12*(1+assumptions!$G$70+assumptions!$G$71+IF(53&gt;=assumptions!$G$73,assumptions!$G$72,0))+assumptions!$G$74/12)+IF(53=E16,D16*assumptions!$G$75,0),0)</f>
        <v>7732.9888256</v>
      </c>
      <c r="BH16" s="19" t="n">
        <f aca="false">IF(AND(54&gt;=E16,OR(F16="",54&lt;=F16)),(D16*(1+assumptions!$G$76)^4/12*(1+assumptions!$G$70+assumptions!$G$71+IF(54&gt;=assumptions!$G$73,assumptions!$G$72,0))+assumptions!$G$74/12)+IF(54=E16,D16*assumptions!$G$75,0),0)</f>
        <v>7732.9888256</v>
      </c>
      <c r="BI16" s="19" t="n">
        <f aca="false">IF(AND(55&gt;=E16,OR(F16="",55&lt;=F16)),(D16*(1+assumptions!$G$76)^4/12*(1+assumptions!$G$70+assumptions!$G$71+IF(55&gt;=assumptions!$G$73,assumptions!$G$72,0))+assumptions!$G$74/12)+IF(55=E16,D16*assumptions!$G$75,0),0)</f>
        <v>7732.9888256</v>
      </c>
      <c r="BJ16" s="19" t="n">
        <f aca="false">IF(AND(56&gt;=E16,OR(F16="",56&lt;=F16)),(D16*(1+assumptions!$G$76)^4/12*(1+assumptions!$G$70+assumptions!$G$71+IF(56&gt;=assumptions!$G$73,assumptions!$G$72,0))+assumptions!$G$74/12)+IF(56=E16,D16*assumptions!$G$75,0),0)</f>
        <v>7732.9888256</v>
      </c>
      <c r="BK16" s="19" t="n">
        <f aca="false">IF(AND(57&gt;=E16,OR(F16="",57&lt;=F16)),(D16*(1+assumptions!$G$76)^4/12*(1+assumptions!$G$70+assumptions!$G$71+IF(57&gt;=assumptions!$G$73,assumptions!$G$72,0))+assumptions!$G$74/12)+IF(57=E16,D16*assumptions!$G$75,0),0)</f>
        <v>7732.9888256</v>
      </c>
      <c r="BL16" s="19" t="n">
        <f aca="false">IF(AND(58&gt;=E16,OR(F16="",58&lt;=F16)),(D16*(1+assumptions!$G$76)^4/12*(1+assumptions!$G$70+assumptions!$G$71+IF(58&gt;=assumptions!$G$73,assumptions!$G$72,0))+assumptions!$G$74/12)+IF(58=E16,D16*assumptions!$G$75,0),0)</f>
        <v>7732.9888256</v>
      </c>
      <c r="BM16" s="19" t="n">
        <f aca="false">IF(AND(59&gt;=E16,OR(F16="",59&lt;=F16)),(D16*(1+assumptions!$G$76)^4/12*(1+assumptions!$G$70+assumptions!$G$71+IF(59&gt;=assumptions!$G$73,assumptions!$G$72,0))+assumptions!$G$74/12)+IF(59=E16,D16*assumptions!$G$75,0),0)</f>
        <v>7732.9888256</v>
      </c>
      <c r="BN16" s="19" t="n">
        <f aca="false">IF(AND(60&gt;=E16,OR(F16="",60&lt;=F16)),(D16*(1+assumptions!$G$76)^4/12*(1+assumptions!$G$70+assumptions!$G$71+IF(60&gt;=assumptions!$G$73,assumptions!$G$72,0))+assumptions!$G$74/12)+IF(60=E16,D16*assumptions!$G$75,0),0)</f>
        <v>7732.9888256</v>
      </c>
    </row>
    <row r="17" customFormat="false" ht="14.25" hidden="false" customHeight="false" outlineLevel="0" collapsed="false">
      <c r="A17" s="7" t="n">
        <v>14</v>
      </c>
      <c r="B17" s="7" t="s">
        <v>355</v>
      </c>
      <c r="C17" s="7" t="s">
        <v>340</v>
      </c>
      <c r="D17" s="17" t="n">
        <v>90000</v>
      </c>
      <c r="E17" s="49" t="n">
        <v>12</v>
      </c>
      <c r="F17" s="49"/>
      <c r="G17" s="19" t="n">
        <f aca="false">IF(AND(1&gt;=E17,OR(F17="",1&lt;=F17)),(D17*(1+assumptions!$G$76)^0/12*(1+assumptions!$G$70+assumptions!$G$71+IF(1&gt;=assumptions!$G$73,assumptions!$G$72,0))+assumptions!$G$74/12)+IF(1=E17,D17*assumptions!$G$75,0),0)</f>
        <v>0</v>
      </c>
      <c r="H17" s="19" t="n">
        <f aca="false">IF(AND(2&gt;=E17,OR(F17="",2&lt;=F17)),(D17*(1+assumptions!$G$76)^0/12*(1+assumptions!$G$70+assumptions!$G$71+IF(2&gt;=assumptions!$G$73,assumptions!$G$72,0))+assumptions!$G$74/12)+IF(2=E17,D17*assumptions!$G$75,0),0)</f>
        <v>0</v>
      </c>
      <c r="I17" s="19" t="n">
        <f aca="false">IF(AND(3&gt;=E17,OR(F17="",3&lt;=F17)),(D17*(1+assumptions!$G$76)^0/12*(1+assumptions!$G$70+assumptions!$G$71+IF(3&gt;=assumptions!$G$73,assumptions!$G$72,0))+assumptions!$G$74/12)+IF(3=E17,D17*assumptions!$G$75,0),0)</f>
        <v>0</v>
      </c>
      <c r="J17" s="19" t="n">
        <f aca="false">IF(AND(4&gt;=E17,OR(F17="",4&lt;=F17)),(D17*(1+assumptions!$G$76)^0/12*(1+assumptions!$G$70+assumptions!$G$71+IF(4&gt;=assumptions!$G$73,assumptions!$G$72,0))+assumptions!$G$74/12)+IF(4=E17,D17*assumptions!$G$75,0),0)</f>
        <v>0</v>
      </c>
      <c r="K17" s="19" t="n">
        <f aca="false">IF(AND(5&gt;=E17,OR(F17="",5&lt;=F17)),(D17*(1+assumptions!$G$76)^0/12*(1+assumptions!$G$70+assumptions!$G$71+IF(5&gt;=assumptions!$G$73,assumptions!$G$72,0))+assumptions!$G$74/12)+IF(5=E17,D17*assumptions!$G$75,0),0)</f>
        <v>0</v>
      </c>
      <c r="L17" s="19" t="n">
        <f aca="false">IF(AND(6&gt;=E17,OR(F17="",6&lt;=F17)),(D17*(1+assumptions!$G$76)^0/12*(1+assumptions!$G$70+assumptions!$G$71+IF(6&gt;=assumptions!$G$73,assumptions!$G$72,0))+assumptions!$G$74/12)+IF(6=E17,D17*assumptions!$G$75,0),0)</f>
        <v>0</v>
      </c>
      <c r="M17" s="19" t="n">
        <f aca="false">IF(AND(7&gt;=E17,OR(F17="",7&lt;=F17)),(D17*(1+assumptions!$G$76)^0/12*(1+assumptions!$G$70+assumptions!$G$71+IF(7&gt;=assumptions!$G$73,assumptions!$G$72,0))+assumptions!$G$74/12)+IF(7=E17,D17*assumptions!$G$75,0),0)</f>
        <v>0</v>
      </c>
      <c r="N17" s="19" t="n">
        <f aca="false">IF(AND(8&gt;=E17,OR(F17="",8&lt;=F17)),(D17*(1+assumptions!$G$76)^0/12*(1+assumptions!$G$70+assumptions!$G$71+IF(8&gt;=assumptions!$G$73,assumptions!$G$72,0))+assumptions!$G$74/12)+IF(8=E17,D17*assumptions!$G$75,0),0)</f>
        <v>0</v>
      </c>
      <c r="O17" s="19" t="n">
        <f aca="false">IF(AND(9&gt;=E17,OR(F17="",9&lt;=F17)),(D17*(1+assumptions!$G$76)^0/12*(1+assumptions!$G$70+assumptions!$G$71+IF(9&gt;=assumptions!$G$73,assumptions!$G$72,0))+assumptions!$G$74/12)+IF(9=E17,D17*assumptions!$G$75,0),0)</f>
        <v>0</v>
      </c>
      <c r="P17" s="19" t="n">
        <f aca="false">IF(AND(10&gt;=E17,OR(F17="",10&lt;=F17)),(D17*(1+assumptions!$G$76)^0/12*(1+assumptions!$G$70+assumptions!$G$71+IF(10&gt;=assumptions!$G$73,assumptions!$G$72,0))+assumptions!$G$74/12)+IF(10=E17,D17*assumptions!$G$75,0),0)</f>
        <v>0</v>
      </c>
      <c r="Q17" s="19" t="n">
        <f aca="false">IF(AND(11&gt;=E17,OR(F17="",11&lt;=F17)),(D17*(1+assumptions!$G$76)^0/12*(1+assumptions!$G$70+assumptions!$G$71+IF(11&gt;=assumptions!$G$73,assumptions!$G$72,0))+assumptions!$G$74/12)+IF(11=E17,D17*assumptions!$G$75,0),0)</f>
        <v>0</v>
      </c>
      <c r="R17" s="19" t="n">
        <f aca="false">IF(AND(12&gt;=E17,OR(F17="",12&lt;=F17)),(D17*(1+assumptions!$G$76)^0/12*(1+assumptions!$G$70+assumptions!$G$71+IF(12&gt;=assumptions!$G$73,assumptions!$G$72,0))+assumptions!$G$74/12)+IF(12=E17,D17*assumptions!$G$75,0),0)</f>
        <v>22560</v>
      </c>
      <c r="S17" s="19" t="n">
        <f aca="false">IF(AND(13&gt;=E17,OR(F17="",13&lt;=F17)),(D17*(1+assumptions!$G$76)^1/12*(1+assumptions!$G$70+assumptions!$G$71+IF(13&gt;=assumptions!$G$73,assumptions!$G$72,0))+assumptions!$G$74/12)+IF(13=E17,D17*assumptions!$G$75,0),0)</f>
        <v>9410.4</v>
      </c>
      <c r="T17" s="19" t="n">
        <f aca="false">IF(AND(14&gt;=E17,OR(F17="",14&lt;=F17)),(D17*(1+assumptions!$G$76)^1/12*(1+assumptions!$G$70+assumptions!$G$71+IF(14&gt;=assumptions!$G$73,assumptions!$G$72,0))+assumptions!$G$74/12)+IF(14=E17,D17*assumptions!$G$75,0),0)</f>
        <v>9410.4</v>
      </c>
      <c r="U17" s="19" t="n">
        <f aca="false">IF(AND(15&gt;=E17,OR(F17="",15&lt;=F17)),(D17*(1+assumptions!$G$76)^1/12*(1+assumptions!$G$70+assumptions!$G$71+IF(15&gt;=assumptions!$G$73,assumptions!$G$72,0))+assumptions!$G$74/12)+IF(15=E17,D17*assumptions!$G$75,0),0)</f>
        <v>9410.4</v>
      </c>
      <c r="V17" s="19" t="n">
        <f aca="false">IF(AND(16&gt;=E17,OR(F17="",16&lt;=F17)),(D17*(1+assumptions!$G$76)^1/12*(1+assumptions!$G$70+assumptions!$G$71+IF(16&gt;=assumptions!$G$73,assumptions!$G$72,0))+assumptions!$G$74/12)+IF(16=E17,D17*assumptions!$G$75,0),0)</f>
        <v>9410.4</v>
      </c>
      <c r="W17" s="19" t="n">
        <f aca="false">IF(AND(17&gt;=E17,OR(F17="",17&lt;=F17)),(D17*(1+assumptions!$G$76)^1/12*(1+assumptions!$G$70+assumptions!$G$71+IF(17&gt;=assumptions!$G$73,assumptions!$G$72,0))+assumptions!$G$74/12)+IF(17=E17,D17*assumptions!$G$75,0),0)</f>
        <v>9410.4</v>
      </c>
      <c r="X17" s="19" t="n">
        <f aca="false">IF(AND(18&gt;=E17,OR(F17="",18&lt;=F17)),(D17*(1+assumptions!$G$76)^1/12*(1+assumptions!$G$70+assumptions!$G$71+IF(18&gt;=assumptions!$G$73,assumptions!$G$72,0))+assumptions!$G$74/12)+IF(18=E17,D17*assumptions!$G$75,0),0)</f>
        <v>9410.4</v>
      </c>
      <c r="Y17" s="19" t="n">
        <f aca="false">IF(AND(19&gt;=E17,OR(F17="",19&lt;=F17)),(D17*(1+assumptions!$G$76)^1/12*(1+assumptions!$G$70+assumptions!$G$71+IF(19&gt;=assumptions!$G$73,assumptions!$G$72,0))+assumptions!$G$74/12)+IF(19=E17,D17*assumptions!$G$75,0),0)</f>
        <v>9410.4</v>
      </c>
      <c r="Z17" s="19" t="n">
        <f aca="false">IF(AND(20&gt;=E17,OR(F17="",20&lt;=F17)),(D17*(1+assumptions!$G$76)^1/12*(1+assumptions!$G$70+assumptions!$G$71+IF(20&gt;=assumptions!$G$73,assumptions!$G$72,0))+assumptions!$G$74/12)+IF(20=E17,D17*assumptions!$G$75,0),0)</f>
        <v>9410.4</v>
      </c>
      <c r="AA17" s="19" t="n">
        <f aca="false">IF(AND(21&gt;=E17,OR(F17="",21&lt;=F17)),(D17*(1+assumptions!$G$76)^1/12*(1+assumptions!$G$70+assumptions!$G$71+IF(21&gt;=assumptions!$G$73,assumptions!$G$72,0))+assumptions!$G$74/12)+IF(21=E17,D17*assumptions!$G$75,0),0)</f>
        <v>9410.4</v>
      </c>
      <c r="AB17" s="19" t="n">
        <f aca="false">IF(AND(22&gt;=E17,OR(F17="",22&lt;=F17)),(D17*(1+assumptions!$G$76)^1/12*(1+assumptions!$G$70+assumptions!$G$71+IF(22&gt;=assumptions!$G$73,assumptions!$G$72,0))+assumptions!$G$74/12)+IF(22=E17,D17*assumptions!$G$75,0),0)</f>
        <v>9410.4</v>
      </c>
      <c r="AC17" s="19" t="n">
        <f aca="false">IF(AND(23&gt;=E17,OR(F17="",23&lt;=F17)),(D17*(1+assumptions!$G$76)^1/12*(1+assumptions!$G$70+assumptions!$G$71+IF(23&gt;=assumptions!$G$73,assumptions!$G$72,0))+assumptions!$G$74/12)+IF(23=E17,D17*assumptions!$G$75,0),0)</f>
        <v>9410.4</v>
      </c>
      <c r="AD17" s="19" t="n">
        <f aca="false">IF(AND(24&gt;=E17,OR(F17="",24&lt;=F17)),(D17*(1+assumptions!$G$76)^1/12*(1+assumptions!$G$70+assumptions!$G$71+IF(24&gt;=assumptions!$G$73,assumptions!$G$72,0))+assumptions!$G$74/12)+IF(24=E17,D17*assumptions!$G$75,0),0)</f>
        <v>9449.4</v>
      </c>
      <c r="AE17" s="19" t="n">
        <f aca="false">IF(AND(25&gt;=E17,OR(F17="",25&lt;=F17)),(D17*(1+assumptions!$G$76)^2/12*(1+assumptions!$G$70+assumptions!$G$71+IF(25&gt;=assumptions!$G$73,assumptions!$G$72,0))+assumptions!$G$74/12)+IF(25=E17,D17*assumptions!$G$75,0),0)</f>
        <v>9815.376</v>
      </c>
      <c r="AF17" s="19" t="n">
        <f aca="false">IF(AND(26&gt;=E17,OR(F17="",26&lt;=F17)),(D17*(1+assumptions!$G$76)^2/12*(1+assumptions!$G$70+assumptions!$G$71+IF(26&gt;=assumptions!$G$73,assumptions!$G$72,0))+assumptions!$G$74/12)+IF(26=E17,D17*assumptions!$G$75,0),0)</f>
        <v>9815.376</v>
      </c>
      <c r="AG17" s="19" t="n">
        <f aca="false">IF(AND(27&gt;=E17,OR(F17="",27&lt;=F17)),(D17*(1+assumptions!$G$76)^2/12*(1+assumptions!$G$70+assumptions!$G$71+IF(27&gt;=assumptions!$G$73,assumptions!$G$72,0))+assumptions!$G$74/12)+IF(27=E17,D17*assumptions!$G$75,0),0)</f>
        <v>9815.376</v>
      </c>
      <c r="AH17" s="19" t="n">
        <f aca="false">IF(AND(28&gt;=E17,OR(F17="",28&lt;=F17)),(D17*(1+assumptions!$G$76)^2/12*(1+assumptions!$G$70+assumptions!$G$71+IF(28&gt;=assumptions!$G$73,assumptions!$G$72,0))+assumptions!$G$74/12)+IF(28=E17,D17*assumptions!$G$75,0),0)</f>
        <v>9815.376</v>
      </c>
      <c r="AI17" s="19" t="n">
        <f aca="false">IF(AND(29&gt;=E17,OR(F17="",29&lt;=F17)),(D17*(1+assumptions!$G$76)^2/12*(1+assumptions!$G$70+assumptions!$G$71+IF(29&gt;=assumptions!$G$73,assumptions!$G$72,0))+assumptions!$G$74/12)+IF(29=E17,D17*assumptions!$G$75,0),0)</f>
        <v>9815.376</v>
      </c>
      <c r="AJ17" s="19" t="n">
        <f aca="false">IF(AND(30&gt;=E17,OR(F17="",30&lt;=F17)),(D17*(1+assumptions!$G$76)^2/12*(1+assumptions!$G$70+assumptions!$G$71+IF(30&gt;=assumptions!$G$73,assumptions!$G$72,0))+assumptions!$G$74/12)+IF(30=E17,D17*assumptions!$G$75,0),0)</f>
        <v>9815.376</v>
      </c>
      <c r="AK17" s="19" t="n">
        <f aca="false">IF(AND(31&gt;=E17,OR(F17="",31&lt;=F17)),(D17*(1+assumptions!$G$76)^2/12*(1+assumptions!$G$70+assumptions!$G$71+IF(31&gt;=assumptions!$G$73,assumptions!$G$72,0))+assumptions!$G$74/12)+IF(31=E17,D17*assumptions!$G$75,0),0)</f>
        <v>9815.376</v>
      </c>
      <c r="AL17" s="19" t="n">
        <f aca="false">IF(AND(32&gt;=E17,OR(F17="",32&lt;=F17)),(D17*(1+assumptions!$G$76)^2/12*(1+assumptions!$G$70+assumptions!$G$71+IF(32&gt;=assumptions!$G$73,assumptions!$G$72,0))+assumptions!$G$74/12)+IF(32=E17,D17*assumptions!$G$75,0),0)</f>
        <v>9815.376</v>
      </c>
      <c r="AM17" s="19" t="n">
        <f aca="false">IF(AND(33&gt;=E17,OR(F17="",33&lt;=F17)),(D17*(1+assumptions!$G$76)^2/12*(1+assumptions!$G$70+assumptions!$G$71+IF(33&gt;=assumptions!$G$73,assumptions!$G$72,0))+assumptions!$G$74/12)+IF(33=E17,D17*assumptions!$G$75,0),0)</f>
        <v>9815.376</v>
      </c>
      <c r="AN17" s="19" t="n">
        <f aca="false">IF(AND(34&gt;=E17,OR(F17="",34&lt;=F17)),(D17*(1+assumptions!$G$76)^2/12*(1+assumptions!$G$70+assumptions!$G$71+IF(34&gt;=assumptions!$G$73,assumptions!$G$72,0))+assumptions!$G$74/12)+IF(34=E17,D17*assumptions!$G$75,0),0)</f>
        <v>9815.376</v>
      </c>
      <c r="AO17" s="19" t="n">
        <f aca="false">IF(AND(35&gt;=E17,OR(F17="",35&lt;=F17)),(D17*(1+assumptions!$G$76)^2/12*(1+assumptions!$G$70+assumptions!$G$71+IF(35&gt;=assumptions!$G$73,assumptions!$G$72,0))+assumptions!$G$74/12)+IF(35=E17,D17*assumptions!$G$75,0),0)</f>
        <v>9815.376</v>
      </c>
      <c r="AP17" s="19" t="n">
        <f aca="false">IF(AND(36&gt;=E17,OR(F17="",36&lt;=F17)),(D17*(1+assumptions!$G$76)^2/12*(1+assumptions!$G$70+assumptions!$G$71+IF(36&gt;=assumptions!$G$73,assumptions!$G$72,0))+assumptions!$G$74/12)+IF(36=E17,D17*assumptions!$G$75,0),0)</f>
        <v>9815.376</v>
      </c>
      <c r="AQ17" s="19" t="n">
        <f aca="false">IF(AND(37&gt;=E17,OR(F17="",37&lt;=F17)),(D17*(1+assumptions!$G$76)^3/12*(1+assumptions!$G$70+assumptions!$G$71+IF(37&gt;=assumptions!$G$73,assumptions!$G$72,0))+assumptions!$G$74/12)+IF(37=E17,D17*assumptions!$G$75,0),0)</f>
        <v>10195.99104</v>
      </c>
      <c r="AR17" s="19" t="n">
        <f aca="false">IF(AND(38&gt;=E17,OR(F17="",38&lt;=F17)),(D17*(1+assumptions!$G$76)^3/12*(1+assumptions!$G$70+assumptions!$G$71+IF(38&gt;=assumptions!$G$73,assumptions!$G$72,0))+assumptions!$G$74/12)+IF(38=E17,D17*assumptions!$G$75,0),0)</f>
        <v>10195.99104</v>
      </c>
      <c r="AS17" s="19" t="n">
        <f aca="false">IF(AND(39&gt;=E17,OR(F17="",39&lt;=F17)),(D17*(1+assumptions!$G$76)^3/12*(1+assumptions!$G$70+assumptions!$G$71+IF(39&gt;=assumptions!$G$73,assumptions!$G$72,0))+assumptions!$G$74/12)+IF(39=E17,D17*assumptions!$G$75,0),0)</f>
        <v>10195.99104</v>
      </c>
      <c r="AT17" s="19" t="n">
        <f aca="false">IF(AND(40&gt;=E17,OR(F17="",40&lt;=F17)),(D17*(1+assumptions!$G$76)^3/12*(1+assumptions!$G$70+assumptions!$G$71+IF(40&gt;=assumptions!$G$73,assumptions!$G$72,0))+assumptions!$G$74/12)+IF(40=E17,D17*assumptions!$G$75,0),0)</f>
        <v>10195.99104</v>
      </c>
      <c r="AU17" s="19" t="n">
        <f aca="false">IF(AND(41&gt;=E17,OR(F17="",41&lt;=F17)),(D17*(1+assumptions!$G$76)^3/12*(1+assumptions!$G$70+assumptions!$G$71+IF(41&gt;=assumptions!$G$73,assumptions!$G$72,0))+assumptions!$G$74/12)+IF(41=E17,D17*assumptions!$G$75,0),0)</f>
        <v>10195.99104</v>
      </c>
      <c r="AV17" s="19" t="n">
        <f aca="false">IF(AND(42&gt;=E17,OR(F17="",42&lt;=F17)),(D17*(1+assumptions!$G$76)^3/12*(1+assumptions!$G$70+assumptions!$G$71+IF(42&gt;=assumptions!$G$73,assumptions!$G$72,0))+assumptions!$G$74/12)+IF(42=E17,D17*assumptions!$G$75,0),0)</f>
        <v>10195.99104</v>
      </c>
      <c r="AW17" s="19" t="n">
        <f aca="false">IF(AND(43&gt;=E17,OR(F17="",43&lt;=F17)),(D17*(1+assumptions!$G$76)^3/12*(1+assumptions!$G$70+assumptions!$G$71+IF(43&gt;=assumptions!$G$73,assumptions!$G$72,0))+assumptions!$G$74/12)+IF(43=E17,D17*assumptions!$G$75,0),0)</f>
        <v>10195.99104</v>
      </c>
      <c r="AX17" s="19" t="n">
        <f aca="false">IF(AND(44&gt;=E17,OR(F17="",44&lt;=F17)),(D17*(1+assumptions!$G$76)^3/12*(1+assumptions!$G$70+assumptions!$G$71+IF(44&gt;=assumptions!$G$73,assumptions!$G$72,0))+assumptions!$G$74/12)+IF(44=E17,D17*assumptions!$G$75,0),0)</f>
        <v>10195.99104</v>
      </c>
      <c r="AY17" s="19" t="n">
        <f aca="false">IF(AND(45&gt;=E17,OR(F17="",45&lt;=F17)),(D17*(1+assumptions!$G$76)^3/12*(1+assumptions!$G$70+assumptions!$G$71+IF(45&gt;=assumptions!$G$73,assumptions!$G$72,0))+assumptions!$G$74/12)+IF(45=E17,D17*assumptions!$G$75,0),0)</f>
        <v>10195.99104</v>
      </c>
      <c r="AZ17" s="19" t="n">
        <f aca="false">IF(AND(46&gt;=E17,OR(F17="",46&lt;=F17)),(D17*(1+assumptions!$G$76)^3/12*(1+assumptions!$G$70+assumptions!$G$71+IF(46&gt;=assumptions!$G$73,assumptions!$G$72,0))+assumptions!$G$74/12)+IF(46=E17,D17*assumptions!$G$75,0),0)</f>
        <v>10195.99104</v>
      </c>
      <c r="BA17" s="19" t="n">
        <f aca="false">IF(AND(47&gt;=E17,OR(F17="",47&lt;=F17)),(D17*(1+assumptions!$G$76)^3/12*(1+assumptions!$G$70+assumptions!$G$71+IF(47&gt;=assumptions!$G$73,assumptions!$G$72,0))+assumptions!$G$74/12)+IF(47=E17,D17*assumptions!$G$75,0),0)</f>
        <v>10195.99104</v>
      </c>
      <c r="BB17" s="19" t="n">
        <f aca="false">IF(AND(48&gt;=E17,OR(F17="",48&lt;=F17)),(D17*(1+assumptions!$G$76)^3/12*(1+assumptions!$G$70+assumptions!$G$71+IF(48&gt;=assumptions!$G$73,assumptions!$G$72,0))+assumptions!$G$74/12)+IF(48=E17,D17*assumptions!$G$75,0),0)</f>
        <v>10195.99104</v>
      </c>
      <c r="BC17" s="19" t="n">
        <f aca="false">IF(AND(49&gt;=E17,OR(F17="",49&lt;=F17)),(D17*(1+assumptions!$G$76)^4/12*(1+assumptions!$G$70+assumptions!$G$71+IF(49&gt;=assumptions!$G$73,assumptions!$G$72,0))+assumptions!$G$74/12)+IF(49=E17,D17*assumptions!$G$75,0),0)</f>
        <v>10591.8306816</v>
      </c>
      <c r="BD17" s="19" t="n">
        <f aca="false">IF(AND(50&gt;=E17,OR(F17="",50&lt;=F17)),(D17*(1+assumptions!$G$76)^4/12*(1+assumptions!$G$70+assumptions!$G$71+IF(50&gt;=assumptions!$G$73,assumptions!$G$72,0))+assumptions!$G$74/12)+IF(50=E17,D17*assumptions!$G$75,0),0)</f>
        <v>10591.8306816</v>
      </c>
      <c r="BE17" s="19" t="n">
        <f aca="false">IF(AND(51&gt;=E17,OR(F17="",51&lt;=F17)),(D17*(1+assumptions!$G$76)^4/12*(1+assumptions!$G$70+assumptions!$G$71+IF(51&gt;=assumptions!$G$73,assumptions!$G$72,0))+assumptions!$G$74/12)+IF(51=E17,D17*assumptions!$G$75,0),0)</f>
        <v>10591.8306816</v>
      </c>
      <c r="BF17" s="19" t="n">
        <f aca="false">IF(AND(52&gt;=E17,OR(F17="",52&lt;=F17)),(D17*(1+assumptions!$G$76)^4/12*(1+assumptions!$G$70+assumptions!$G$71+IF(52&gt;=assumptions!$G$73,assumptions!$G$72,0))+assumptions!$G$74/12)+IF(52=E17,D17*assumptions!$G$75,0),0)</f>
        <v>10591.8306816</v>
      </c>
      <c r="BG17" s="19" t="n">
        <f aca="false">IF(AND(53&gt;=E17,OR(F17="",53&lt;=F17)),(D17*(1+assumptions!$G$76)^4/12*(1+assumptions!$G$70+assumptions!$G$71+IF(53&gt;=assumptions!$G$73,assumptions!$G$72,0))+assumptions!$G$74/12)+IF(53=E17,D17*assumptions!$G$75,0),0)</f>
        <v>10591.8306816</v>
      </c>
      <c r="BH17" s="19" t="n">
        <f aca="false">IF(AND(54&gt;=E17,OR(F17="",54&lt;=F17)),(D17*(1+assumptions!$G$76)^4/12*(1+assumptions!$G$70+assumptions!$G$71+IF(54&gt;=assumptions!$G$73,assumptions!$G$72,0))+assumptions!$G$74/12)+IF(54=E17,D17*assumptions!$G$75,0),0)</f>
        <v>10591.8306816</v>
      </c>
      <c r="BI17" s="19" t="n">
        <f aca="false">IF(AND(55&gt;=E17,OR(F17="",55&lt;=F17)),(D17*(1+assumptions!$G$76)^4/12*(1+assumptions!$G$70+assumptions!$G$71+IF(55&gt;=assumptions!$G$73,assumptions!$G$72,0))+assumptions!$G$74/12)+IF(55=E17,D17*assumptions!$G$75,0),0)</f>
        <v>10591.8306816</v>
      </c>
      <c r="BJ17" s="19" t="n">
        <f aca="false">IF(AND(56&gt;=E17,OR(F17="",56&lt;=F17)),(D17*(1+assumptions!$G$76)^4/12*(1+assumptions!$G$70+assumptions!$G$71+IF(56&gt;=assumptions!$G$73,assumptions!$G$72,0))+assumptions!$G$74/12)+IF(56=E17,D17*assumptions!$G$75,0),0)</f>
        <v>10591.8306816</v>
      </c>
      <c r="BK17" s="19" t="n">
        <f aca="false">IF(AND(57&gt;=E17,OR(F17="",57&lt;=F17)),(D17*(1+assumptions!$G$76)^4/12*(1+assumptions!$G$70+assumptions!$G$71+IF(57&gt;=assumptions!$G$73,assumptions!$G$72,0))+assumptions!$G$74/12)+IF(57=E17,D17*assumptions!$G$75,0),0)</f>
        <v>10591.8306816</v>
      </c>
      <c r="BL17" s="19" t="n">
        <f aca="false">IF(AND(58&gt;=E17,OR(F17="",58&lt;=F17)),(D17*(1+assumptions!$G$76)^4/12*(1+assumptions!$G$70+assumptions!$G$71+IF(58&gt;=assumptions!$G$73,assumptions!$G$72,0))+assumptions!$G$74/12)+IF(58=E17,D17*assumptions!$G$75,0),0)</f>
        <v>10591.8306816</v>
      </c>
      <c r="BM17" s="19" t="n">
        <f aca="false">IF(AND(59&gt;=E17,OR(F17="",59&lt;=F17)),(D17*(1+assumptions!$G$76)^4/12*(1+assumptions!$G$70+assumptions!$G$71+IF(59&gt;=assumptions!$G$73,assumptions!$G$72,0))+assumptions!$G$74/12)+IF(59=E17,D17*assumptions!$G$75,0),0)</f>
        <v>10591.8306816</v>
      </c>
      <c r="BN17" s="19" t="n">
        <f aca="false">IF(AND(60&gt;=E17,OR(F17="",60&lt;=F17)),(D17*(1+assumptions!$G$76)^4/12*(1+assumptions!$G$70+assumptions!$G$71+IF(60&gt;=assumptions!$G$73,assumptions!$G$72,0))+assumptions!$G$74/12)+IF(60=E17,D17*assumptions!$G$75,0),0)</f>
        <v>10591.8306816</v>
      </c>
    </row>
    <row r="18" customFormat="false" ht="14.25" hidden="false" customHeight="false" outlineLevel="0" collapsed="false">
      <c r="A18" s="7" t="n">
        <v>15</v>
      </c>
      <c r="B18" s="7" t="s">
        <v>356</v>
      </c>
      <c r="C18" s="7" t="s">
        <v>342</v>
      </c>
      <c r="D18" s="17" t="n">
        <v>55000</v>
      </c>
      <c r="E18" s="49" t="n">
        <v>12</v>
      </c>
      <c r="F18" s="49"/>
      <c r="G18" s="19" t="n">
        <f aca="false">IF(AND(1&gt;=E18,OR(F18="",1&lt;=F18)),(D18*(1+assumptions!$G$76)^0/12*(1+assumptions!$G$70+assumptions!$G$71+IF(1&gt;=assumptions!$G$73,assumptions!$G$72,0))+assumptions!$G$74/12)+IF(1=E18,D18*assumptions!$G$75,0),0)</f>
        <v>0</v>
      </c>
      <c r="H18" s="19" t="n">
        <f aca="false">IF(AND(2&gt;=E18,OR(F18="",2&lt;=F18)),(D18*(1+assumptions!$G$76)^0/12*(1+assumptions!$G$70+assumptions!$G$71+IF(2&gt;=assumptions!$G$73,assumptions!$G$72,0))+assumptions!$G$74/12)+IF(2=E18,D18*assumptions!$G$75,0),0)</f>
        <v>0</v>
      </c>
      <c r="I18" s="19" t="n">
        <f aca="false">IF(AND(3&gt;=E18,OR(F18="",3&lt;=F18)),(D18*(1+assumptions!$G$76)^0/12*(1+assumptions!$G$70+assumptions!$G$71+IF(3&gt;=assumptions!$G$73,assumptions!$G$72,0))+assumptions!$G$74/12)+IF(3=E18,D18*assumptions!$G$75,0),0)</f>
        <v>0</v>
      </c>
      <c r="J18" s="19" t="n">
        <f aca="false">IF(AND(4&gt;=E18,OR(F18="",4&lt;=F18)),(D18*(1+assumptions!$G$76)^0/12*(1+assumptions!$G$70+assumptions!$G$71+IF(4&gt;=assumptions!$G$73,assumptions!$G$72,0))+assumptions!$G$74/12)+IF(4=E18,D18*assumptions!$G$75,0),0)</f>
        <v>0</v>
      </c>
      <c r="K18" s="19" t="n">
        <f aca="false">IF(AND(5&gt;=E18,OR(F18="",5&lt;=F18)),(D18*(1+assumptions!$G$76)^0/12*(1+assumptions!$G$70+assumptions!$G$71+IF(5&gt;=assumptions!$G$73,assumptions!$G$72,0))+assumptions!$G$74/12)+IF(5=E18,D18*assumptions!$G$75,0),0)</f>
        <v>0</v>
      </c>
      <c r="L18" s="19" t="n">
        <f aca="false">IF(AND(6&gt;=E18,OR(F18="",6&lt;=F18)),(D18*(1+assumptions!$G$76)^0/12*(1+assumptions!$G$70+assumptions!$G$71+IF(6&gt;=assumptions!$G$73,assumptions!$G$72,0))+assumptions!$G$74/12)+IF(6=E18,D18*assumptions!$G$75,0),0)</f>
        <v>0</v>
      </c>
      <c r="M18" s="19" t="n">
        <f aca="false">IF(AND(7&gt;=E18,OR(F18="",7&lt;=F18)),(D18*(1+assumptions!$G$76)^0/12*(1+assumptions!$G$70+assumptions!$G$71+IF(7&gt;=assumptions!$G$73,assumptions!$G$72,0))+assumptions!$G$74/12)+IF(7=E18,D18*assumptions!$G$75,0),0)</f>
        <v>0</v>
      </c>
      <c r="N18" s="19" t="n">
        <f aca="false">IF(AND(8&gt;=E18,OR(F18="",8&lt;=F18)),(D18*(1+assumptions!$G$76)^0/12*(1+assumptions!$G$70+assumptions!$G$71+IF(8&gt;=assumptions!$G$73,assumptions!$G$72,0))+assumptions!$G$74/12)+IF(8=E18,D18*assumptions!$G$75,0),0)</f>
        <v>0</v>
      </c>
      <c r="O18" s="19" t="n">
        <f aca="false">IF(AND(9&gt;=E18,OR(F18="",9&lt;=F18)),(D18*(1+assumptions!$G$76)^0/12*(1+assumptions!$G$70+assumptions!$G$71+IF(9&gt;=assumptions!$G$73,assumptions!$G$72,0))+assumptions!$G$74/12)+IF(9=E18,D18*assumptions!$G$75,0),0)</f>
        <v>0</v>
      </c>
      <c r="P18" s="19" t="n">
        <f aca="false">IF(AND(10&gt;=E18,OR(F18="",10&lt;=F18)),(D18*(1+assumptions!$G$76)^0/12*(1+assumptions!$G$70+assumptions!$G$71+IF(10&gt;=assumptions!$G$73,assumptions!$G$72,0))+assumptions!$G$74/12)+IF(10=E18,D18*assumptions!$G$75,0),0)</f>
        <v>0</v>
      </c>
      <c r="Q18" s="19" t="n">
        <f aca="false">IF(AND(11&gt;=E18,OR(F18="",11&lt;=F18)),(D18*(1+assumptions!$G$76)^0/12*(1+assumptions!$G$70+assumptions!$G$71+IF(11&gt;=assumptions!$G$73,assumptions!$G$72,0))+assumptions!$G$74/12)+IF(11=E18,D18*assumptions!$G$75,0),0)</f>
        <v>0</v>
      </c>
      <c r="R18" s="19" t="n">
        <f aca="false">IF(AND(12&gt;=E18,OR(F18="",12&lt;=F18)),(D18*(1+assumptions!$G$76)^0/12*(1+assumptions!$G$70+assumptions!$G$71+IF(12&gt;=assumptions!$G$73,assumptions!$G$72,0))+assumptions!$G$74/12)+IF(12=E18,D18*assumptions!$G$75,0),0)</f>
        <v>13903.3333333333</v>
      </c>
      <c r="S18" s="19" t="n">
        <f aca="false">IF(AND(13&gt;=E18,OR(F18="",13&lt;=F18)),(D18*(1+assumptions!$G$76)^1/12*(1+assumptions!$G$70+assumptions!$G$71+IF(13&gt;=assumptions!$G$73,assumptions!$G$72,0))+assumptions!$G$74/12)+IF(13=E18,D18*assumptions!$G$75,0),0)</f>
        <v>5867.46666666667</v>
      </c>
      <c r="T18" s="19" t="n">
        <f aca="false">IF(AND(14&gt;=E18,OR(F18="",14&lt;=F18)),(D18*(1+assumptions!$G$76)^1/12*(1+assumptions!$G$70+assumptions!$G$71+IF(14&gt;=assumptions!$G$73,assumptions!$G$72,0))+assumptions!$G$74/12)+IF(14=E18,D18*assumptions!$G$75,0),0)</f>
        <v>5867.46666666667</v>
      </c>
      <c r="U18" s="19" t="n">
        <f aca="false">IF(AND(15&gt;=E18,OR(F18="",15&lt;=F18)),(D18*(1+assumptions!$G$76)^1/12*(1+assumptions!$G$70+assumptions!$G$71+IF(15&gt;=assumptions!$G$73,assumptions!$G$72,0))+assumptions!$G$74/12)+IF(15=E18,D18*assumptions!$G$75,0),0)</f>
        <v>5867.46666666667</v>
      </c>
      <c r="V18" s="19" t="n">
        <f aca="false">IF(AND(16&gt;=E18,OR(F18="",16&lt;=F18)),(D18*(1+assumptions!$G$76)^1/12*(1+assumptions!$G$70+assumptions!$G$71+IF(16&gt;=assumptions!$G$73,assumptions!$G$72,0))+assumptions!$G$74/12)+IF(16=E18,D18*assumptions!$G$75,0),0)</f>
        <v>5867.46666666667</v>
      </c>
      <c r="W18" s="19" t="n">
        <f aca="false">IF(AND(17&gt;=E18,OR(F18="",17&lt;=F18)),(D18*(1+assumptions!$G$76)^1/12*(1+assumptions!$G$70+assumptions!$G$71+IF(17&gt;=assumptions!$G$73,assumptions!$G$72,0))+assumptions!$G$74/12)+IF(17=E18,D18*assumptions!$G$75,0),0)</f>
        <v>5867.46666666667</v>
      </c>
      <c r="X18" s="19" t="n">
        <f aca="false">IF(AND(18&gt;=E18,OR(F18="",18&lt;=F18)),(D18*(1+assumptions!$G$76)^1/12*(1+assumptions!$G$70+assumptions!$G$71+IF(18&gt;=assumptions!$G$73,assumptions!$G$72,0))+assumptions!$G$74/12)+IF(18=E18,D18*assumptions!$G$75,0),0)</f>
        <v>5867.46666666667</v>
      </c>
      <c r="Y18" s="19" t="n">
        <f aca="false">IF(AND(19&gt;=E18,OR(F18="",19&lt;=F18)),(D18*(1+assumptions!$G$76)^1/12*(1+assumptions!$G$70+assumptions!$G$71+IF(19&gt;=assumptions!$G$73,assumptions!$G$72,0))+assumptions!$G$74/12)+IF(19=E18,D18*assumptions!$G$75,0),0)</f>
        <v>5867.46666666667</v>
      </c>
      <c r="Z18" s="19" t="n">
        <f aca="false">IF(AND(20&gt;=E18,OR(F18="",20&lt;=F18)),(D18*(1+assumptions!$G$76)^1/12*(1+assumptions!$G$70+assumptions!$G$71+IF(20&gt;=assumptions!$G$73,assumptions!$G$72,0))+assumptions!$G$74/12)+IF(20=E18,D18*assumptions!$G$75,0),0)</f>
        <v>5867.46666666667</v>
      </c>
      <c r="AA18" s="19" t="n">
        <f aca="false">IF(AND(21&gt;=E18,OR(F18="",21&lt;=F18)),(D18*(1+assumptions!$G$76)^1/12*(1+assumptions!$G$70+assumptions!$G$71+IF(21&gt;=assumptions!$G$73,assumptions!$G$72,0))+assumptions!$G$74/12)+IF(21=E18,D18*assumptions!$G$75,0),0)</f>
        <v>5867.46666666667</v>
      </c>
      <c r="AB18" s="19" t="n">
        <f aca="false">IF(AND(22&gt;=E18,OR(F18="",22&lt;=F18)),(D18*(1+assumptions!$G$76)^1/12*(1+assumptions!$G$70+assumptions!$G$71+IF(22&gt;=assumptions!$G$73,assumptions!$G$72,0))+assumptions!$G$74/12)+IF(22=E18,D18*assumptions!$G$75,0),0)</f>
        <v>5867.46666666667</v>
      </c>
      <c r="AC18" s="19" t="n">
        <f aca="false">IF(AND(23&gt;=E18,OR(F18="",23&lt;=F18)),(D18*(1+assumptions!$G$76)^1/12*(1+assumptions!$G$70+assumptions!$G$71+IF(23&gt;=assumptions!$G$73,assumptions!$G$72,0))+assumptions!$G$74/12)+IF(23=E18,D18*assumptions!$G$75,0),0)</f>
        <v>5867.46666666667</v>
      </c>
      <c r="AD18" s="19" t="n">
        <f aca="false">IF(AND(24&gt;=E18,OR(F18="",24&lt;=F18)),(D18*(1+assumptions!$G$76)^1/12*(1+assumptions!$G$70+assumptions!$G$71+IF(24&gt;=assumptions!$G$73,assumptions!$G$72,0))+assumptions!$G$74/12)+IF(24=E18,D18*assumptions!$G$75,0),0)</f>
        <v>5891.3</v>
      </c>
      <c r="AE18" s="19" t="n">
        <f aca="false">IF(AND(25&gt;=E18,OR(F18="",25&lt;=F18)),(D18*(1+assumptions!$G$76)^2/12*(1+assumptions!$G$70+assumptions!$G$71+IF(25&gt;=assumptions!$G$73,assumptions!$G$72,0))+assumptions!$G$74/12)+IF(25=E18,D18*assumptions!$G$75,0),0)</f>
        <v>6114.952</v>
      </c>
      <c r="AF18" s="19" t="n">
        <f aca="false">IF(AND(26&gt;=E18,OR(F18="",26&lt;=F18)),(D18*(1+assumptions!$G$76)^2/12*(1+assumptions!$G$70+assumptions!$G$71+IF(26&gt;=assumptions!$G$73,assumptions!$G$72,0))+assumptions!$G$74/12)+IF(26=E18,D18*assumptions!$G$75,0),0)</f>
        <v>6114.952</v>
      </c>
      <c r="AG18" s="19" t="n">
        <f aca="false">IF(AND(27&gt;=E18,OR(F18="",27&lt;=F18)),(D18*(1+assumptions!$G$76)^2/12*(1+assumptions!$G$70+assumptions!$G$71+IF(27&gt;=assumptions!$G$73,assumptions!$G$72,0))+assumptions!$G$74/12)+IF(27=E18,D18*assumptions!$G$75,0),0)</f>
        <v>6114.952</v>
      </c>
      <c r="AH18" s="19" t="n">
        <f aca="false">IF(AND(28&gt;=E18,OR(F18="",28&lt;=F18)),(D18*(1+assumptions!$G$76)^2/12*(1+assumptions!$G$70+assumptions!$G$71+IF(28&gt;=assumptions!$G$73,assumptions!$G$72,0))+assumptions!$G$74/12)+IF(28=E18,D18*assumptions!$G$75,0),0)</f>
        <v>6114.952</v>
      </c>
      <c r="AI18" s="19" t="n">
        <f aca="false">IF(AND(29&gt;=E18,OR(F18="",29&lt;=F18)),(D18*(1+assumptions!$G$76)^2/12*(1+assumptions!$G$70+assumptions!$G$71+IF(29&gt;=assumptions!$G$73,assumptions!$G$72,0))+assumptions!$G$74/12)+IF(29=E18,D18*assumptions!$G$75,0),0)</f>
        <v>6114.952</v>
      </c>
      <c r="AJ18" s="19" t="n">
        <f aca="false">IF(AND(30&gt;=E18,OR(F18="",30&lt;=F18)),(D18*(1+assumptions!$G$76)^2/12*(1+assumptions!$G$70+assumptions!$G$71+IF(30&gt;=assumptions!$G$73,assumptions!$G$72,0))+assumptions!$G$74/12)+IF(30=E18,D18*assumptions!$G$75,0),0)</f>
        <v>6114.952</v>
      </c>
      <c r="AK18" s="19" t="n">
        <f aca="false">IF(AND(31&gt;=E18,OR(F18="",31&lt;=F18)),(D18*(1+assumptions!$G$76)^2/12*(1+assumptions!$G$70+assumptions!$G$71+IF(31&gt;=assumptions!$G$73,assumptions!$G$72,0))+assumptions!$G$74/12)+IF(31=E18,D18*assumptions!$G$75,0),0)</f>
        <v>6114.952</v>
      </c>
      <c r="AL18" s="19" t="n">
        <f aca="false">IF(AND(32&gt;=E18,OR(F18="",32&lt;=F18)),(D18*(1+assumptions!$G$76)^2/12*(1+assumptions!$G$70+assumptions!$G$71+IF(32&gt;=assumptions!$G$73,assumptions!$G$72,0))+assumptions!$G$74/12)+IF(32=E18,D18*assumptions!$G$75,0),0)</f>
        <v>6114.952</v>
      </c>
      <c r="AM18" s="19" t="n">
        <f aca="false">IF(AND(33&gt;=E18,OR(F18="",33&lt;=F18)),(D18*(1+assumptions!$G$76)^2/12*(1+assumptions!$G$70+assumptions!$G$71+IF(33&gt;=assumptions!$G$73,assumptions!$G$72,0))+assumptions!$G$74/12)+IF(33=E18,D18*assumptions!$G$75,0),0)</f>
        <v>6114.952</v>
      </c>
      <c r="AN18" s="19" t="n">
        <f aca="false">IF(AND(34&gt;=E18,OR(F18="",34&lt;=F18)),(D18*(1+assumptions!$G$76)^2/12*(1+assumptions!$G$70+assumptions!$G$71+IF(34&gt;=assumptions!$G$73,assumptions!$G$72,0))+assumptions!$G$74/12)+IF(34=E18,D18*assumptions!$G$75,0),0)</f>
        <v>6114.952</v>
      </c>
      <c r="AO18" s="19" t="n">
        <f aca="false">IF(AND(35&gt;=E18,OR(F18="",35&lt;=F18)),(D18*(1+assumptions!$G$76)^2/12*(1+assumptions!$G$70+assumptions!$G$71+IF(35&gt;=assumptions!$G$73,assumptions!$G$72,0))+assumptions!$G$74/12)+IF(35=E18,D18*assumptions!$G$75,0),0)</f>
        <v>6114.952</v>
      </c>
      <c r="AP18" s="19" t="n">
        <f aca="false">IF(AND(36&gt;=E18,OR(F18="",36&lt;=F18)),(D18*(1+assumptions!$G$76)^2/12*(1+assumptions!$G$70+assumptions!$G$71+IF(36&gt;=assumptions!$G$73,assumptions!$G$72,0))+assumptions!$G$74/12)+IF(36=E18,D18*assumptions!$G$75,0),0)</f>
        <v>6114.952</v>
      </c>
      <c r="AQ18" s="19" t="n">
        <f aca="false">IF(AND(37&gt;=E18,OR(F18="",37&lt;=F18)),(D18*(1+assumptions!$G$76)^3/12*(1+assumptions!$G$70+assumptions!$G$71+IF(37&gt;=assumptions!$G$73,assumptions!$G$72,0))+assumptions!$G$74/12)+IF(37=E18,D18*assumptions!$G$75,0),0)</f>
        <v>6347.55008</v>
      </c>
      <c r="AR18" s="19" t="n">
        <f aca="false">IF(AND(38&gt;=E18,OR(F18="",38&lt;=F18)),(D18*(1+assumptions!$G$76)^3/12*(1+assumptions!$G$70+assumptions!$G$71+IF(38&gt;=assumptions!$G$73,assumptions!$G$72,0))+assumptions!$G$74/12)+IF(38=E18,D18*assumptions!$G$75,0),0)</f>
        <v>6347.55008</v>
      </c>
      <c r="AS18" s="19" t="n">
        <f aca="false">IF(AND(39&gt;=E18,OR(F18="",39&lt;=F18)),(D18*(1+assumptions!$G$76)^3/12*(1+assumptions!$G$70+assumptions!$G$71+IF(39&gt;=assumptions!$G$73,assumptions!$G$72,0))+assumptions!$G$74/12)+IF(39=E18,D18*assumptions!$G$75,0),0)</f>
        <v>6347.55008</v>
      </c>
      <c r="AT18" s="19" t="n">
        <f aca="false">IF(AND(40&gt;=E18,OR(F18="",40&lt;=F18)),(D18*(1+assumptions!$G$76)^3/12*(1+assumptions!$G$70+assumptions!$G$71+IF(40&gt;=assumptions!$G$73,assumptions!$G$72,0))+assumptions!$G$74/12)+IF(40=E18,D18*assumptions!$G$75,0),0)</f>
        <v>6347.55008</v>
      </c>
      <c r="AU18" s="19" t="n">
        <f aca="false">IF(AND(41&gt;=E18,OR(F18="",41&lt;=F18)),(D18*(1+assumptions!$G$76)^3/12*(1+assumptions!$G$70+assumptions!$G$71+IF(41&gt;=assumptions!$G$73,assumptions!$G$72,0))+assumptions!$G$74/12)+IF(41=E18,D18*assumptions!$G$75,0),0)</f>
        <v>6347.55008</v>
      </c>
      <c r="AV18" s="19" t="n">
        <f aca="false">IF(AND(42&gt;=E18,OR(F18="",42&lt;=F18)),(D18*(1+assumptions!$G$76)^3/12*(1+assumptions!$G$70+assumptions!$G$71+IF(42&gt;=assumptions!$G$73,assumptions!$G$72,0))+assumptions!$G$74/12)+IF(42=E18,D18*assumptions!$G$75,0),0)</f>
        <v>6347.55008</v>
      </c>
      <c r="AW18" s="19" t="n">
        <f aca="false">IF(AND(43&gt;=E18,OR(F18="",43&lt;=F18)),(D18*(1+assumptions!$G$76)^3/12*(1+assumptions!$G$70+assumptions!$G$71+IF(43&gt;=assumptions!$G$73,assumptions!$G$72,0))+assumptions!$G$74/12)+IF(43=E18,D18*assumptions!$G$75,0),0)</f>
        <v>6347.55008</v>
      </c>
      <c r="AX18" s="19" t="n">
        <f aca="false">IF(AND(44&gt;=E18,OR(F18="",44&lt;=F18)),(D18*(1+assumptions!$G$76)^3/12*(1+assumptions!$G$70+assumptions!$G$71+IF(44&gt;=assumptions!$G$73,assumptions!$G$72,0))+assumptions!$G$74/12)+IF(44=E18,D18*assumptions!$G$75,0),0)</f>
        <v>6347.55008</v>
      </c>
      <c r="AY18" s="19" t="n">
        <f aca="false">IF(AND(45&gt;=E18,OR(F18="",45&lt;=F18)),(D18*(1+assumptions!$G$76)^3/12*(1+assumptions!$G$70+assumptions!$G$71+IF(45&gt;=assumptions!$G$73,assumptions!$G$72,0))+assumptions!$G$74/12)+IF(45=E18,D18*assumptions!$G$75,0),0)</f>
        <v>6347.55008</v>
      </c>
      <c r="AZ18" s="19" t="n">
        <f aca="false">IF(AND(46&gt;=E18,OR(F18="",46&lt;=F18)),(D18*(1+assumptions!$G$76)^3/12*(1+assumptions!$G$70+assumptions!$G$71+IF(46&gt;=assumptions!$G$73,assumptions!$G$72,0))+assumptions!$G$74/12)+IF(46=E18,D18*assumptions!$G$75,0),0)</f>
        <v>6347.55008</v>
      </c>
      <c r="BA18" s="19" t="n">
        <f aca="false">IF(AND(47&gt;=E18,OR(F18="",47&lt;=F18)),(D18*(1+assumptions!$G$76)^3/12*(1+assumptions!$G$70+assumptions!$G$71+IF(47&gt;=assumptions!$G$73,assumptions!$G$72,0))+assumptions!$G$74/12)+IF(47=E18,D18*assumptions!$G$75,0),0)</f>
        <v>6347.55008</v>
      </c>
      <c r="BB18" s="19" t="n">
        <f aca="false">IF(AND(48&gt;=E18,OR(F18="",48&lt;=F18)),(D18*(1+assumptions!$G$76)^3/12*(1+assumptions!$G$70+assumptions!$G$71+IF(48&gt;=assumptions!$G$73,assumptions!$G$72,0))+assumptions!$G$74/12)+IF(48=E18,D18*assumptions!$G$75,0),0)</f>
        <v>6347.55008</v>
      </c>
      <c r="BC18" s="19" t="n">
        <f aca="false">IF(AND(49&gt;=E18,OR(F18="",49&lt;=F18)),(D18*(1+assumptions!$G$76)^4/12*(1+assumptions!$G$70+assumptions!$G$71+IF(49&gt;=assumptions!$G$73,assumptions!$G$72,0))+assumptions!$G$74/12)+IF(49=E18,D18*assumptions!$G$75,0),0)</f>
        <v>6589.4520832</v>
      </c>
      <c r="BD18" s="19" t="n">
        <f aca="false">IF(AND(50&gt;=E18,OR(F18="",50&lt;=F18)),(D18*(1+assumptions!$G$76)^4/12*(1+assumptions!$G$70+assumptions!$G$71+IF(50&gt;=assumptions!$G$73,assumptions!$G$72,0))+assumptions!$G$74/12)+IF(50=E18,D18*assumptions!$G$75,0),0)</f>
        <v>6589.4520832</v>
      </c>
      <c r="BE18" s="19" t="n">
        <f aca="false">IF(AND(51&gt;=E18,OR(F18="",51&lt;=F18)),(D18*(1+assumptions!$G$76)^4/12*(1+assumptions!$G$70+assumptions!$G$71+IF(51&gt;=assumptions!$G$73,assumptions!$G$72,0))+assumptions!$G$74/12)+IF(51=E18,D18*assumptions!$G$75,0),0)</f>
        <v>6589.4520832</v>
      </c>
      <c r="BF18" s="19" t="n">
        <f aca="false">IF(AND(52&gt;=E18,OR(F18="",52&lt;=F18)),(D18*(1+assumptions!$G$76)^4/12*(1+assumptions!$G$70+assumptions!$G$71+IF(52&gt;=assumptions!$G$73,assumptions!$G$72,0))+assumptions!$G$74/12)+IF(52=E18,D18*assumptions!$G$75,0),0)</f>
        <v>6589.4520832</v>
      </c>
      <c r="BG18" s="19" t="n">
        <f aca="false">IF(AND(53&gt;=E18,OR(F18="",53&lt;=F18)),(D18*(1+assumptions!$G$76)^4/12*(1+assumptions!$G$70+assumptions!$G$71+IF(53&gt;=assumptions!$G$73,assumptions!$G$72,0))+assumptions!$G$74/12)+IF(53=E18,D18*assumptions!$G$75,0),0)</f>
        <v>6589.4520832</v>
      </c>
      <c r="BH18" s="19" t="n">
        <f aca="false">IF(AND(54&gt;=E18,OR(F18="",54&lt;=F18)),(D18*(1+assumptions!$G$76)^4/12*(1+assumptions!$G$70+assumptions!$G$71+IF(54&gt;=assumptions!$G$73,assumptions!$G$72,0))+assumptions!$G$74/12)+IF(54=E18,D18*assumptions!$G$75,0),0)</f>
        <v>6589.4520832</v>
      </c>
      <c r="BI18" s="19" t="n">
        <f aca="false">IF(AND(55&gt;=E18,OR(F18="",55&lt;=F18)),(D18*(1+assumptions!$G$76)^4/12*(1+assumptions!$G$70+assumptions!$G$71+IF(55&gt;=assumptions!$G$73,assumptions!$G$72,0))+assumptions!$G$74/12)+IF(55=E18,D18*assumptions!$G$75,0),0)</f>
        <v>6589.4520832</v>
      </c>
      <c r="BJ18" s="19" t="n">
        <f aca="false">IF(AND(56&gt;=E18,OR(F18="",56&lt;=F18)),(D18*(1+assumptions!$G$76)^4/12*(1+assumptions!$G$70+assumptions!$G$71+IF(56&gt;=assumptions!$G$73,assumptions!$G$72,0))+assumptions!$G$74/12)+IF(56=E18,D18*assumptions!$G$75,0),0)</f>
        <v>6589.4520832</v>
      </c>
      <c r="BK18" s="19" t="n">
        <f aca="false">IF(AND(57&gt;=E18,OR(F18="",57&lt;=F18)),(D18*(1+assumptions!$G$76)^4/12*(1+assumptions!$G$70+assumptions!$G$71+IF(57&gt;=assumptions!$G$73,assumptions!$G$72,0))+assumptions!$G$74/12)+IF(57=E18,D18*assumptions!$G$75,0),0)</f>
        <v>6589.4520832</v>
      </c>
      <c r="BL18" s="19" t="n">
        <f aca="false">IF(AND(58&gt;=E18,OR(F18="",58&lt;=F18)),(D18*(1+assumptions!$G$76)^4/12*(1+assumptions!$G$70+assumptions!$G$71+IF(58&gt;=assumptions!$G$73,assumptions!$G$72,0))+assumptions!$G$74/12)+IF(58=E18,D18*assumptions!$G$75,0),0)</f>
        <v>6589.4520832</v>
      </c>
      <c r="BM18" s="19" t="n">
        <f aca="false">IF(AND(59&gt;=E18,OR(F18="",59&lt;=F18)),(D18*(1+assumptions!$G$76)^4/12*(1+assumptions!$G$70+assumptions!$G$71+IF(59&gt;=assumptions!$G$73,assumptions!$G$72,0))+assumptions!$G$74/12)+IF(59=E18,D18*assumptions!$G$75,0),0)</f>
        <v>6589.4520832</v>
      </c>
      <c r="BN18" s="19" t="n">
        <f aca="false">IF(AND(60&gt;=E18,OR(F18="",60&lt;=F18)),(D18*(1+assumptions!$G$76)^4/12*(1+assumptions!$G$70+assumptions!$G$71+IF(60&gt;=assumptions!$G$73,assumptions!$G$72,0))+assumptions!$G$74/12)+IF(60=E18,D18*assumptions!$G$75,0),0)</f>
        <v>6589.4520832</v>
      </c>
    </row>
    <row r="19" customFormat="false" ht="14.25" hidden="false" customHeight="false" outlineLevel="0" collapsed="false">
      <c r="A19" s="7" t="n">
        <v>16</v>
      </c>
      <c r="B19" s="7" t="s">
        <v>357</v>
      </c>
      <c r="C19" s="7" t="s">
        <v>358</v>
      </c>
      <c r="D19" s="17" t="n">
        <v>40000</v>
      </c>
      <c r="E19" s="49" t="n">
        <v>12</v>
      </c>
      <c r="F19" s="49"/>
      <c r="G19" s="19" t="n">
        <f aca="false">IF(AND(1&gt;=E19,OR(F19="",1&lt;=F19)),(D19*(1+assumptions!$G$76)^0/12*(1+assumptions!$G$70+assumptions!$G$71+IF(1&gt;=assumptions!$G$73,assumptions!$G$72,0))+assumptions!$G$74/12)+IF(1=E19,D19*assumptions!$G$75,0),0)</f>
        <v>0</v>
      </c>
      <c r="H19" s="19" t="n">
        <f aca="false">IF(AND(2&gt;=E19,OR(F19="",2&lt;=F19)),(D19*(1+assumptions!$G$76)^0/12*(1+assumptions!$G$70+assumptions!$G$71+IF(2&gt;=assumptions!$G$73,assumptions!$G$72,0))+assumptions!$G$74/12)+IF(2=E19,D19*assumptions!$G$75,0),0)</f>
        <v>0</v>
      </c>
      <c r="I19" s="19" t="n">
        <f aca="false">IF(AND(3&gt;=E19,OR(F19="",3&lt;=F19)),(D19*(1+assumptions!$G$76)^0/12*(1+assumptions!$G$70+assumptions!$G$71+IF(3&gt;=assumptions!$G$73,assumptions!$G$72,0))+assumptions!$G$74/12)+IF(3=E19,D19*assumptions!$G$75,0),0)</f>
        <v>0</v>
      </c>
      <c r="J19" s="19" t="n">
        <f aca="false">IF(AND(4&gt;=E19,OR(F19="",4&lt;=F19)),(D19*(1+assumptions!$G$76)^0/12*(1+assumptions!$G$70+assumptions!$G$71+IF(4&gt;=assumptions!$G$73,assumptions!$G$72,0))+assumptions!$G$74/12)+IF(4=E19,D19*assumptions!$G$75,0),0)</f>
        <v>0</v>
      </c>
      <c r="K19" s="19" t="n">
        <f aca="false">IF(AND(5&gt;=E19,OR(F19="",5&lt;=F19)),(D19*(1+assumptions!$G$76)^0/12*(1+assumptions!$G$70+assumptions!$G$71+IF(5&gt;=assumptions!$G$73,assumptions!$G$72,0))+assumptions!$G$74/12)+IF(5=E19,D19*assumptions!$G$75,0),0)</f>
        <v>0</v>
      </c>
      <c r="L19" s="19" t="n">
        <f aca="false">IF(AND(6&gt;=E19,OR(F19="",6&lt;=F19)),(D19*(1+assumptions!$G$76)^0/12*(1+assumptions!$G$70+assumptions!$G$71+IF(6&gt;=assumptions!$G$73,assumptions!$G$72,0))+assumptions!$G$74/12)+IF(6=E19,D19*assumptions!$G$75,0),0)</f>
        <v>0</v>
      </c>
      <c r="M19" s="19" t="n">
        <f aca="false">IF(AND(7&gt;=E19,OR(F19="",7&lt;=F19)),(D19*(1+assumptions!$G$76)^0/12*(1+assumptions!$G$70+assumptions!$G$71+IF(7&gt;=assumptions!$G$73,assumptions!$G$72,0))+assumptions!$G$74/12)+IF(7=E19,D19*assumptions!$G$75,0),0)</f>
        <v>0</v>
      </c>
      <c r="N19" s="19" t="n">
        <f aca="false">IF(AND(8&gt;=E19,OR(F19="",8&lt;=F19)),(D19*(1+assumptions!$G$76)^0/12*(1+assumptions!$G$70+assumptions!$G$71+IF(8&gt;=assumptions!$G$73,assumptions!$G$72,0))+assumptions!$G$74/12)+IF(8=E19,D19*assumptions!$G$75,0),0)</f>
        <v>0</v>
      </c>
      <c r="O19" s="19" t="n">
        <f aca="false">IF(AND(9&gt;=E19,OR(F19="",9&lt;=F19)),(D19*(1+assumptions!$G$76)^0/12*(1+assumptions!$G$70+assumptions!$G$71+IF(9&gt;=assumptions!$G$73,assumptions!$G$72,0))+assumptions!$G$74/12)+IF(9=E19,D19*assumptions!$G$75,0),0)</f>
        <v>0</v>
      </c>
      <c r="P19" s="19" t="n">
        <f aca="false">IF(AND(10&gt;=E19,OR(F19="",10&lt;=F19)),(D19*(1+assumptions!$G$76)^0/12*(1+assumptions!$G$70+assumptions!$G$71+IF(10&gt;=assumptions!$G$73,assumptions!$G$72,0))+assumptions!$G$74/12)+IF(10=E19,D19*assumptions!$G$75,0),0)</f>
        <v>0</v>
      </c>
      <c r="Q19" s="19" t="n">
        <f aca="false">IF(AND(11&gt;=E19,OR(F19="",11&lt;=F19)),(D19*(1+assumptions!$G$76)^0/12*(1+assumptions!$G$70+assumptions!$G$71+IF(11&gt;=assumptions!$G$73,assumptions!$G$72,0))+assumptions!$G$74/12)+IF(11=E19,D19*assumptions!$G$75,0),0)</f>
        <v>0</v>
      </c>
      <c r="R19" s="19" t="n">
        <f aca="false">IF(AND(12&gt;=E19,OR(F19="",12&lt;=F19)),(D19*(1+assumptions!$G$76)^0/12*(1+assumptions!$G$70+assumptions!$G$71+IF(12&gt;=assumptions!$G$73,assumptions!$G$72,0))+assumptions!$G$74/12)+IF(12=E19,D19*assumptions!$G$75,0),0)</f>
        <v>10193.3333333333</v>
      </c>
      <c r="S19" s="19" t="n">
        <f aca="false">IF(AND(13&gt;=E19,OR(F19="",13&lt;=F19)),(D19*(1+assumptions!$G$76)^1/12*(1+assumptions!$G$70+assumptions!$G$71+IF(13&gt;=assumptions!$G$73,assumptions!$G$72,0))+assumptions!$G$74/12)+IF(13=E19,D19*assumptions!$G$75,0),0)</f>
        <v>4349.06666666667</v>
      </c>
      <c r="T19" s="19" t="n">
        <f aca="false">IF(AND(14&gt;=E19,OR(F19="",14&lt;=F19)),(D19*(1+assumptions!$G$76)^1/12*(1+assumptions!$G$70+assumptions!$G$71+IF(14&gt;=assumptions!$G$73,assumptions!$G$72,0))+assumptions!$G$74/12)+IF(14=E19,D19*assumptions!$G$75,0),0)</f>
        <v>4349.06666666667</v>
      </c>
      <c r="U19" s="19" t="n">
        <f aca="false">IF(AND(15&gt;=E19,OR(F19="",15&lt;=F19)),(D19*(1+assumptions!$G$76)^1/12*(1+assumptions!$G$70+assumptions!$G$71+IF(15&gt;=assumptions!$G$73,assumptions!$G$72,0))+assumptions!$G$74/12)+IF(15=E19,D19*assumptions!$G$75,0),0)</f>
        <v>4349.06666666667</v>
      </c>
      <c r="V19" s="19" t="n">
        <f aca="false">IF(AND(16&gt;=E19,OR(F19="",16&lt;=F19)),(D19*(1+assumptions!$G$76)^1/12*(1+assumptions!$G$70+assumptions!$G$71+IF(16&gt;=assumptions!$G$73,assumptions!$G$72,0))+assumptions!$G$74/12)+IF(16=E19,D19*assumptions!$G$75,0),0)</f>
        <v>4349.06666666667</v>
      </c>
      <c r="W19" s="19" t="n">
        <f aca="false">IF(AND(17&gt;=E19,OR(F19="",17&lt;=F19)),(D19*(1+assumptions!$G$76)^1/12*(1+assumptions!$G$70+assumptions!$G$71+IF(17&gt;=assumptions!$G$73,assumptions!$G$72,0))+assumptions!$G$74/12)+IF(17=E19,D19*assumptions!$G$75,0),0)</f>
        <v>4349.06666666667</v>
      </c>
      <c r="X19" s="19" t="n">
        <f aca="false">IF(AND(18&gt;=E19,OR(F19="",18&lt;=F19)),(D19*(1+assumptions!$G$76)^1/12*(1+assumptions!$G$70+assumptions!$G$71+IF(18&gt;=assumptions!$G$73,assumptions!$G$72,0))+assumptions!$G$74/12)+IF(18=E19,D19*assumptions!$G$75,0),0)</f>
        <v>4349.06666666667</v>
      </c>
      <c r="Y19" s="19" t="n">
        <f aca="false">IF(AND(19&gt;=E19,OR(F19="",19&lt;=F19)),(D19*(1+assumptions!$G$76)^1/12*(1+assumptions!$G$70+assumptions!$G$71+IF(19&gt;=assumptions!$G$73,assumptions!$G$72,0))+assumptions!$G$74/12)+IF(19=E19,D19*assumptions!$G$75,0),0)</f>
        <v>4349.06666666667</v>
      </c>
      <c r="Z19" s="19" t="n">
        <f aca="false">IF(AND(20&gt;=E19,OR(F19="",20&lt;=F19)),(D19*(1+assumptions!$G$76)^1/12*(1+assumptions!$G$70+assumptions!$G$71+IF(20&gt;=assumptions!$G$73,assumptions!$G$72,0))+assumptions!$G$74/12)+IF(20=E19,D19*assumptions!$G$75,0),0)</f>
        <v>4349.06666666667</v>
      </c>
      <c r="AA19" s="19" t="n">
        <f aca="false">IF(AND(21&gt;=E19,OR(F19="",21&lt;=F19)),(D19*(1+assumptions!$G$76)^1/12*(1+assumptions!$G$70+assumptions!$G$71+IF(21&gt;=assumptions!$G$73,assumptions!$G$72,0))+assumptions!$G$74/12)+IF(21=E19,D19*assumptions!$G$75,0),0)</f>
        <v>4349.06666666667</v>
      </c>
      <c r="AB19" s="19" t="n">
        <f aca="false">IF(AND(22&gt;=E19,OR(F19="",22&lt;=F19)),(D19*(1+assumptions!$G$76)^1/12*(1+assumptions!$G$70+assumptions!$G$71+IF(22&gt;=assumptions!$G$73,assumptions!$G$72,0))+assumptions!$G$74/12)+IF(22=E19,D19*assumptions!$G$75,0),0)</f>
        <v>4349.06666666667</v>
      </c>
      <c r="AC19" s="19" t="n">
        <f aca="false">IF(AND(23&gt;=E19,OR(F19="",23&lt;=F19)),(D19*(1+assumptions!$G$76)^1/12*(1+assumptions!$G$70+assumptions!$G$71+IF(23&gt;=assumptions!$G$73,assumptions!$G$72,0))+assumptions!$G$74/12)+IF(23=E19,D19*assumptions!$G$75,0),0)</f>
        <v>4349.06666666667</v>
      </c>
      <c r="AD19" s="19" t="n">
        <f aca="false">IF(AND(24&gt;=E19,OR(F19="",24&lt;=F19)),(D19*(1+assumptions!$G$76)^1/12*(1+assumptions!$G$70+assumptions!$G$71+IF(24&gt;=assumptions!$G$73,assumptions!$G$72,0))+assumptions!$G$74/12)+IF(24=E19,D19*assumptions!$G$75,0),0)</f>
        <v>4366.4</v>
      </c>
      <c r="AE19" s="19" t="n">
        <f aca="false">IF(AND(25&gt;=E19,OR(F19="",25&lt;=F19)),(D19*(1+assumptions!$G$76)^2/12*(1+assumptions!$G$70+assumptions!$G$71+IF(25&gt;=assumptions!$G$73,assumptions!$G$72,0))+assumptions!$G$74/12)+IF(25=E19,D19*assumptions!$G$75,0),0)</f>
        <v>4529.056</v>
      </c>
      <c r="AF19" s="19" t="n">
        <f aca="false">IF(AND(26&gt;=E19,OR(F19="",26&lt;=F19)),(D19*(1+assumptions!$G$76)^2/12*(1+assumptions!$G$70+assumptions!$G$71+IF(26&gt;=assumptions!$G$73,assumptions!$G$72,0))+assumptions!$G$74/12)+IF(26=E19,D19*assumptions!$G$75,0),0)</f>
        <v>4529.056</v>
      </c>
      <c r="AG19" s="19" t="n">
        <f aca="false">IF(AND(27&gt;=E19,OR(F19="",27&lt;=F19)),(D19*(1+assumptions!$G$76)^2/12*(1+assumptions!$G$70+assumptions!$G$71+IF(27&gt;=assumptions!$G$73,assumptions!$G$72,0))+assumptions!$G$74/12)+IF(27=E19,D19*assumptions!$G$75,0),0)</f>
        <v>4529.056</v>
      </c>
      <c r="AH19" s="19" t="n">
        <f aca="false">IF(AND(28&gt;=E19,OR(F19="",28&lt;=F19)),(D19*(1+assumptions!$G$76)^2/12*(1+assumptions!$G$70+assumptions!$G$71+IF(28&gt;=assumptions!$G$73,assumptions!$G$72,0))+assumptions!$G$74/12)+IF(28=E19,D19*assumptions!$G$75,0),0)</f>
        <v>4529.056</v>
      </c>
      <c r="AI19" s="19" t="n">
        <f aca="false">IF(AND(29&gt;=E19,OR(F19="",29&lt;=F19)),(D19*(1+assumptions!$G$76)^2/12*(1+assumptions!$G$70+assumptions!$G$71+IF(29&gt;=assumptions!$G$73,assumptions!$G$72,0))+assumptions!$G$74/12)+IF(29=E19,D19*assumptions!$G$75,0),0)</f>
        <v>4529.056</v>
      </c>
      <c r="AJ19" s="19" t="n">
        <f aca="false">IF(AND(30&gt;=E19,OR(F19="",30&lt;=F19)),(D19*(1+assumptions!$G$76)^2/12*(1+assumptions!$G$70+assumptions!$G$71+IF(30&gt;=assumptions!$G$73,assumptions!$G$72,0))+assumptions!$G$74/12)+IF(30=E19,D19*assumptions!$G$75,0),0)</f>
        <v>4529.056</v>
      </c>
      <c r="AK19" s="19" t="n">
        <f aca="false">IF(AND(31&gt;=E19,OR(F19="",31&lt;=F19)),(D19*(1+assumptions!$G$76)^2/12*(1+assumptions!$G$70+assumptions!$G$71+IF(31&gt;=assumptions!$G$73,assumptions!$G$72,0))+assumptions!$G$74/12)+IF(31=E19,D19*assumptions!$G$75,0),0)</f>
        <v>4529.056</v>
      </c>
      <c r="AL19" s="19" t="n">
        <f aca="false">IF(AND(32&gt;=E19,OR(F19="",32&lt;=F19)),(D19*(1+assumptions!$G$76)^2/12*(1+assumptions!$G$70+assumptions!$G$71+IF(32&gt;=assumptions!$G$73,assumptions!$G$72,0))+assumptions!$G$74/12)+IF(32=E19,D19*assumptions!$G$75,0),0)</f>
        <v>4529.056</v>
      </c>
      <c r="AM19" s="19" t="n">
        <f aca="false">IF(AND(33&gt;=E19,OR(F19="",33&lt;=F19)),(D19*(1+assumptions!$G$76)^2/12*(1+assumptions!$G$70+assumptions!$G$71+IF(33&gt;=assumptions!$G$73,assumptions!$G$72,0))+assumptions!$G$74/12)+IF(33=E19,D19*assumptions!$G$75,0),0)</f>
        <v>4529.056</v>
      </c>
      <c r="AN19" s="19" t="n">
        <f aca="false">IF(AND(34&gt;=E19,OR(F19="",34&lt;=F19)),(D19*(1+assumptions!$G$76)^2/12*(1+assumptions!$G$70+assumptions!$G$71+IF(34&gt;=assumptions!$G$73,assumptions!$G$72,0))+assumptions!$G$74/12)+IF(34=E19,D19*assumptions!$G$75,0),0)</f>
        <v>4529.056</v>
      </c>
      <c r="AO19" s="19" t="n">
        <f aca="false">IF(AND(35&gt;=E19,OR(F19="",35&lt;=F19)),(D19*(1+assumptions!$G$76)^2/12*(1+assumptions!$G$70+assumptions!$G$71+IF(35&gt;=assumptions!$G$73,assumptions!$G$72,0))+assumptions!$G$74/12)+IF(35=E19,D19*assumptions!$G$75,0),0)</f>
        <v>4529.056</v>
      </c>
      <c r="AP19" s="19" t="n">
        <f aca="false">IF(AND(36&gt;=E19,OR(F19="",36&lt;=F19)),(D19*(1+assumptions!$G$76)^2/12*(1+assumptions!$G$70+assumptions!$G$71+IF(36&gt;=assumptions!$G$73,assumptions!$G$72,0))+assumptions!$G$74/12)+IF(36=E19,D19*assumptions!$G$75,0),0)</f>
        <v>4529.056</v>
      </c>
      <c r="AQ19" s="19" t="n">
        <f aca="false">IF(AND(37&gt;=E19,OR(F19="",37&lt;=F19)),(D19*(1+assumptions!$G$76)^3/12*(1+assumptions!$G$70+assumptions!$G$71+IF(37&gt;=assumptions!$G$73,assumptions!$G$72,0))+assumptions!$G$74/12)+IF(37=E19,D19*assumptions!$G$75,0),0)</f>
        <v>4698.21824</v>
      </c>
      <c r="AR19" s="19" t="n">
        <f aca="false">IF(AND(38&gt;=E19,OR(F19="",38&lt;=F19)),(D19*(1+assumptions!$G$76)^3/12*(1+assumptions!$G$70+assumptions!$G$71+IF(38&gt;=assumptions!$G$73,assumptions!$G$72,0))+assumptions!$G$74/12)+IF(38=E19,D19*assumptions!$G$75,0),0)</f>
        <v>4698.21824</v>
      </c>
      <c r="AS19" s="19" t="n">
        <f aca="false">IF(AND(39&gt;=E19,OR(F19="",39&lt;=F19)),(D19*(1+assumptions!$G$76)^3/12*(1+assumptions!$G$70+assumptions!$G$71+IF(39&gt;=assumptions!$G$73,assumptions!$G$72,0))+assumptions!$G$74/12)+IF(39=E19,D19*assumptions!$G$75,0),0)</f>
        <v>4698.21824</v>
      </c>
      <c r="AT19" s="19" t="n">
        <f aca="false">IF(AND(40&gt;=E19,OR(F19="",40&lt;=F19)),(D19*(1+assumptions!$G$76)^3/12*(1+assumptions!$G$70+assumptions!$G$71+IF(40&gt;=assumptions!$G$73,assumptions!$G$72,0))+assumptions!$G$74/12)+IF(40=E19,D19*assumptions!$G$75,0),0)</f>
        <v>4698.21824</v>
      </c>
      <c r="AU19" s="19" t="n">
        <f aca="false">IF(AND(41&gt;=E19,OR(F19="",41&lt;=F19)),(D19*(1+assumptions!$G$76)^3/12*(1+assumptions!$G$70+assumptions!$G$71+IF(41&gt;=assumptions!$G$73,assumptions!$G$72,0))+assumptions!$G$74/12)+IF(41=E19,D19*assumptions!$G$75,0),0)</f>
        <v>4698.21824</v>
      </c>
      <c r="AV19" s="19" t="n">
        <f aca="false">IF(AND(42&gt;=E19,OR(F19="",42&lt;=F19)),(D19*(1+assumptions!$G$76)^3/12*(1+assumptions!$G$70+assumptions!$G$71+IF(42&gt;=assumptions!$G$73,assumptions!$G$72,0))+assumptions!$G$74/12)+IF(42=E19,D19*assumptions!$G$75,0),0)</f>
        <v>4698.21824</v>
      </c>
      <c r="AW19" s="19" t="n">
        <f aca="false">IF(AND(43&gt;=E19,OR(F19="",43&lt;=F19)),(D19*(1+assumptions!$G$76)^3/12*(1+assumptions!$G$70+assumptions!$G$71+IF(43&gt;=assumptions!$G$73,assumptions!$G$72,0))+assumptions!$G$74/12)+IF(43=E19,D19*assumptions!$G$75,0),0)</f>
        <v>4698.21824</v>
      </c>
      <c r="AX19" s="19" t="n">
        <f aca="false">IF(AND(44&gt;=E19,OR(F19="",44&lt;=F19)),(D19*(1+assumptions!$G$76)^3/12*(1+assumptions!$G$70+assumptions!$G$71+IF(44&gt;=assumptions!$G$73,assumptions!$G$72,0))+assumptions!$G$74/12)+IF(44=E19,D19*assumptions!$G$75,0),0)</f>
        <v>4698.21824</v>
      </c>
      <c r="AY19" s="19" t="n">
        <f aca="false">IF(AND(45&gt;=E19,OR(F19="",45&lt;=F19)),(D19*(1+assumptions!$G$76)^3/12*(1+assumptions!$G$70+assumptions!$G$71+IF(45&gt;=assumptions!$G$73,assumptions!$G$72,0))+assumptions!$G$74/12)+IF(45=E19,D19*assumptions!$G$75,0),0)</f>
        <v>4698.21824</v>
      </c>
      <c r="AZ19" s="19" t="n">
        <f aca="false">IF(AND(46&gt;=E19,OR(F19="",46&lt;=F19)),(D19*(1+assumptions!$G$76)^3/12*(1+assumptions!$G$70+assumptions!$G$71+IF(46&gt;=assumptions!$G$73,assumptions!$G$72,0))+assumptions!$G$74/12)+IF(46=E19,D19*assumptions!$G$75,0),0)</f>
        <v>4698.21824</v>
      </c>
      <c r="BA19" s="19" t="n">
        <f aca="false">IF(AND(47&gt;=E19,OR(F19="",47&lt;=F19)),(D19*(1+assumptions!$G$76)^3/12*(1+assumptions!$G$70+assumptions!$G$71+IF(47&gt;=assumptions!$G$73,assumptions!$G$72,0))+assumptions!$G$74/12)+IF(47=E19,D19*assumptions!$G$75,0),0)</f>
        <v>4698.21824</v>
      </c>
      <c r="BB19" s="19" t="n">
        <f aca="false">IF(AND(48&gt;=E19,OR(F19="",48&lt;=F19)),(D19*(1+assumptions!$G$76)^3/12*(1+assumptions!$G$70+assumptions!$G$71+IF(48&gt;=assumptions!$G$73,assumptions!$G$72,0))+assumptions!$G$74/12)+IF(48=E19,D19*assumptions!$G$75,0),0)</f>
        <v>4698.21824</v>
      </c>
      <c r="BC19" s="19" t="n">
        <f aca="false">IF(AND(49&gt;=E19,OR(F19="",49&lt;=F19)),(D19*(1+assumptions!$G$76)^4/12*(1+assumptions!$G$70+assumptions!$G$71+IF(49&gt;=assumptions!$G$73,assumptions!$G$72,0))+assumptions!$G$74/12)+IF(49=E19,D19*assumptions!$G$75,0),0)</f>
        <v>4874.1469696</v>
      </c>
      <c r="BD19" s="19" t="n">
        <f aca="false">IF(AND(50&gt;=E19,OR(F19="",50&lt;=F19)),(D19*(1+assumptions!$G$76)^4/12*(1+assumptions!$G$70+assumptions!$G$71+IF(50&gt;=assumptions!$G$73,assumptions!$G$72,0))+assumptions!$G$74/12)+IF(50=E19,D19*assumptions!$G$75,0),0)</f>
        <v>4874.1469696</v>
      </c>
      <c r="BE19" s="19" t="n">
        <f aca="false">IF(AND(51&gt;=E19,OR(F19="",51&lt;=F19)),(D19*(1+assumptions!$G$76)^4/12*(1+assumptions!$G$70+assumptions!$G$71+IF(51&gt;=assumptions!$G$73,assumptions!$G$72,0))+assumptions!$G$74/12)+IF(51=E19,D19*assumptions!$G$75,0),0)</f>
        <v>4874.1469696</v>
      </c>
      <c r="BF19" s="19" t="n">
        <f aca="false">IF(AND(52&gt;=E19,OR(F19="",52&lt;=F19)),(D19*(1+assumptions!$G$76)^4/12*(1+assumptions!$G$70+assumptions!$G$71+IF(52&gt;=assumptions!$G$73,assumptions!$G$72,0))+assumptions!$G$74/12)+IF(52=E19,D19*assumptions!$G$75,0),0)</f>
        <v>4874.1469696</v>
      </c>
      <c r="BG19" s="19" t="n">
        <f aca="false">IF(AND(53&gt;=E19,OR(F19="",53&lt;=F19)),(D19*(1+assumptions!$G$76)^4/12*(1+assumptions!$G$70+assumptions!$G$71+IF(53&gt;=assumptions!$G$73,assumptions!$G$72,0))+assumptions!$G$74/12)+IF(53=E19,D19*assumptions!$G$75,0),0)</f>
        <v>4874.1469696</v>
      </c>
      <c r="BH19" s="19" t="n">
        <f aca="false">IF(AND(54&gt;=E19,OR(F19="",54&lt;=F19)),(D19*(1+assumptions!$G$76)^4/12*(1+assumptions!$G$70+assumptions!$G$71+IF(54&gt;=assumptions!$G$73,assumptions!$G$72,0))+assumptions!$G$74/12)+IF(54=E19,D19*assumptions!$G$75,0),0)</f>
        <v>4874.1469696</v>
      </c>
      <c r="BI19" s="19" t="n">
        <f aca="false">IF(AND(55&gt;=E19,OR(F19="",55&lt;=F19)),(D19*(1+assumptions!$G$76)^4/12*(1+assumptions!$G$70+assumptions!$G$71+IF(55&gt;=assumptions!$G$73,assumptions!$G$72,0))+assumptions!$G$74/12)+IF(55=E19,D19*assumptions!$G$75,0),0)</f>
        <v>4874.1469696</v>
      </c>
      <c r="BJ19" s="19" t="n">
        <f aca="false">IF(AND(56&gt;=E19,OR(F19="",56&lt;=F19)),(D19*(1+assumptions!$G$76)^4/12*(1+assumptions!$G$70+assumptions!$G$71+IF(56&gt;=assumptions!$G$73,assumptions!$G$72,0))+assumptions!$G$74/12)+IF(56=E19,D19*assumptions!$G$75,0),0)</f>
        <v>4874.1469696</v>
      </c>
      <c r="BK19" s="19" t="n">
        <f aca="false">IF(AND(57&gt;=E19,OR(F19="",57&lt;=F19)),(D19*(1+assumptions!$G$76)^4/12*(1+assumptions!$G$70+assumptions!$G$71+IF(57&gt;=assumptions!$G$73,assumptions!$G$72,0))+assumptions!$G$74/12)+IF(57=E19,D19*assumptions!$G$75,0),0)</f>
        <v>4874.1469696</v>
      </c>
      <c r="BL19" s="19" t="n">
        <f aca="false">IF(AND(58&gt;=E19,OR(F19="",58&lt;=F19)),(D19*(1+assumptions!$G$76)^4/12*(1+assumptions!$G$70+assumptions!$G$71+IF(58&gt;=assumptions!$G$73,assumptions!$G$72,0))+assumptions!$G$74/12)+IF(58=E19,D19*assumptions!$G$75,0),0)</f>
        <v>4874.1469696</v>
      </c>
      <c r="BM19" s="19" t="n">
        <f aca="false">IF(AND(59&gt;=E19,OR(F19="",59&lt;=F19)),(D19*(1+assumptions!$G$76)^4/12*(1+assumptions!$G$70+assumptions!$G$71+IF(59&gt;=assumptions!$G$73,assumptions!$G$72,0))+assumptions!$G$74/12)+IF(59=E19,D19*assumptions!$G$75,0),0)</f>
        <v>4874.1469696</v>
      </c>
      <c r="BN19" s="19" t="n">
        <f aca="false">IF(AND(60&gt;=E19,OR(F19="",60&lt;=F19)),(D19*(1+assumptions!$G$76)^4/12*(1+assumptions!$G$70+assumptions!$G$71+IF(60&gt;=assumptions!$G$73,assumptions!$G$72,0))+assumptions!$G$74/12)+IF(60=E19,D19*assumptions!$G$75,0),0)</f>
        <v>4874.1469696</v>
      </c>
    </row>
    <row r="20" customFormat="false" ht="14.25" hidden="false" customHeight="false" outlineLevel="0" collapsed="false">
      <c r="A20" s="7" t="n">
        <v>17</v>
      </c>
      <c r="B20" s="7" t="s">
        <v>359</v>
      </c>
      <c r="C20" s="7" t="s">
        <v>360</v>
      </c>
      <c r="D20" s="17" t="n">
        <v>85000</v>
      </c>
      <c r="E20" s="49" t="n">
        <v>15</v>
      </c>
      <c r="F20" s="49"/>
      <c r="G20" s="19" t="n">
        <f aca="false">IF(AND(1&gt;=E20,OR(F20="",1&lt;=F20)),(D20*(1+assumptions!$G$76)^0/12*(1+assumptions!$G$70+assumptions!$G$71+IF(1&gt;=assumptions!$G$73,assumptions!$G$72,0))+assumptions!$G$74/12)+IF(1=E20,D20*assumptions!$G$75,0),0)</f>
        <v>0</v>
      </c>
      <c r="H20" s="19" t="n">
        <f aca="false">IF(AND(2&gt;=E20,OR(F20="",2&lt;=F20)),(D20*(1+assumptions!$G$76)^0/12*(1+assumptions!$G$70+assumptions!$G$71+IF(2&gt;=assumptions!$G$73,assumptions!$G$72,0))+assumptions!$G$74/12)+IF(2=E20,D20*assumptions!$G$75,0),0)</f>
        <v>0</v>
      </c>
      <c r="I20" s="19" t="n">
        <f aca="false">IF(AND(3&gt;=E20,OR(F20="",3&lt;=F20)),(D20*(1+assumptions!$G$76)^0/12*(1+assumptions!$G$70+assumptions!$G$71+IF(3&gt;=assumptions!$G$73,assumptions!$G$72,0))+assumptions!$G$74/12)+IF(3=E20,D20*assumptions!$G$75,0),0)</f>
        <v>0</v>
      </c>
      <c r="J20" s="19" t="n">
        <f aca="false">IF(AND(4&gt;=E20,OR(F20="",4&lt;=F20)),(D20*(1+assumptions!$G$76)^0/12*(1+assumptions!$G$70+assumptions!$G$71+IF(4&gt;=assumptions!$G$73,assumptions!$G$72,0))+assumptions!$G$74/12)+IF(4=E20,D20*assumptions!$G$75,0),0)</f>
        <v>0</v>
      </c>
      <c r="K20" s="19" t="n">
        <f aca="false">IF(AND(5&gt;=E20,OR(F20="",5&lt;=F20)),(D20*(1+assumptions!$G$76)^0/12*(1+assumptions!$G$70+assumptions!$G$71+IF(5&gt;=assumptions!$G$73,assumptions!$G$72,0))+assumptions!$G$74/12)+IF(5=E20,D20*assumptions!$G$75,0),0)</f>
        <v>0</v>
      </c>
      <c r="L20" s="19" t="n">
        <f aca="false">IF(AND(6&gt;=E20,OR(F20="",6&lt;=F20)),(D20*(1+assumptions!$G$76)^0/12*(1+assumptions!$G$70+assumptions!$G$71+IF(6&gt;=assumptions!$G$73,assumptions!$G$72,0))+assumptions!$G$74/12)+IF(6=E20,D20*assumptions!$G$75,0),0)</f>
        <v>0</v>
      </c>
      <c r="M20" s="19" t="n">
        <f aca="false">IF(AND(7&gt;=E20,OR(F20="",7&lt;=F20)),(D20*(1+assumptions!$G$76)^0/12*(1+assumptions!$G$70+assumptions!$G$71+IF(7&gt;=assumptions!$G$73,assumptions!$G$72,0))+assumptions!$G$74/12)+IF(7=E20,D20*assumptions!$G$75,0),0)</f>
        <v>0</v>
      </c>
      <c r="N20" s="19" t="n">
        <f aca="false">IF(AND(8&gt;=E20,OR(F20="",8&lt;=F20)),(D20*(1+assumptions!$G$76)^0/12*(1+assumptions!$G$70+assumptions!$G$71+IF(8&gt;=assumptions!$G$73,assumptions!$G$72,0))+assumptions!$G$74/12)+IF(8=E20,D20*assumptions!$G$75,0),0)</f>
        <v>0</v>
      </c>
      <c r="O20" s="19" t="n">
        <f aca="false">IF(AND(9&gt;=E20,OR(F20="",9&lt;=F20)),(D20*(1+assumptions!$G$76)^0/12*(1+assumptions!$G$70+assumptions!$G$71+IF(9&gt;=assumptions!$G$73,assumptions!$G$72,0))+assumptions!$G$74/12)+IF(9=E20,D20*assumptions!$G$75,0),0)</f>
        <v>0</v>
      </c>
      <c r="P20" s="19" t="n">
        <f aca="false">IF(AND(10&gt;=E20,OR(F20="",10&lt;=F20)),(D20*(1+assumptions!$G$76)^0/12*(1+assumptions!$G$70+assumptions!$G$71+IF(10&gt;=assumptions!$G$73,assumptions!$G$72,0))+assumptions!$G$74/12)+IF(10=E20,D20*assumptions!$G$75,0),0)</f>
        <v>0</v>
      </c>
      <c r="Q20" s="19" t="n">
        <f aca="false">IF(AND(11&gt;=E20,OR(F20="",11&lt;=F20)),(D20*(1+assumptions!$G$76)^0/12*(1+assumptions!$G$70+assumptions!$G$71+IF(11&gt;=assumptions!$G$73,assumptions!$G$72,0))+assumptions!$G$74/12)+IF(11=E20,D20*assumptions!$G$75,0),0)</f>
        <v>0</v>
      </c>
      <c r="R20" s="19" t="n">
        <f aca="false">IF(AND(12&gt;=E20,OR(F20="",12&lt;=F20)),(D20*(1+assumptions!$G$76)^0/12*(1+assumptions!$G$70+assumptions!$G$71+IF(12&gt;=assumptions!$G$73,assumptions!$G$72,0))+assumptions!$G$74/12)+IF(12=E20,D20*assumptions!$G$75,0),0)</f>
        <v>0</v>
      </c>
      <c r="S20" s="19" t="n">
        <f aca="false">IF(AND(13&gt;=E20,OR(F20="",13&lt;=F20)),(D20*(1+assumptions!$G$76)^1/12*(1+assumptions!$G$70+assumptions!$G$71+IF(13&gt;=assumptions!$G$73,assumptions!$G$72,0))+assumptions!$G$74/12)+IF(13=E20,D20*assumptions!$G$75,0),0)</f>
        <v>0</v>
      </c>
      <c r="T20" s="19" t="n">
        <f aca="false">IF(AND(14&gt;=E20,OR(F20="",14&lt;=F20)),(D20*(1+assumptions!$G$76)^1/12*(1+assumptions!$G$70+assumptions!$G$71+IF(14&gt;=assumptions!$G$73,assumptions!$G$72,0))+assumptions!$G$74/12)+IF(14=E20,D20*assumptions!$G$75,0),0)</f>
        <v>0</v>
      </c>
      <c r="U20" s="19" t="n">
        <f aca="false">IF(AND(15&gt;=E20,OR(F20="",15&lt;=F20)),(D20*(1+assumptions!$G$76)^1/12*(1+assumptions!$G$70+assumptions!$G$71+IF(15&gt;=assumptions!$G$73,assumptions!$G$72,0))+assumptions!$G$74/12)+IF(15=E20,D20*assumptions!$G$75,0),0)</f>
        <v>21654.2666666667</v>
      </c>
      <c r="V20" s="19" t="n">
        <f aca="false">IF(AND(16&gt;=E20,OR(F20="",16&lt;=F20)),(D20*(1+assumptions!$G$76)^1/12*(1+assumptions!$G$70+assumptions!$G$71+IF(16&gt;=assumptions!$G$73,assumptions!$G$72,0))+assumptions!$G$74/12)+IF(16=E20,D20*assumptions!$G$75,0),0)</f>
        <v>8904.26666666667</v>
      </c>
      <c r="W20" s="19" t="n">
        <f aca="false">IF(AND(17&gt;=E20,OR(F20="",17&lt;=F20)),(D20*(1+assumptions!$G$76)^1/12*(1+assumptions!$G$70+assumptions!$G$71+IF(17&gt;=assumptions!$G$73,assumptions!$G$72,0))+assumptions!$G$74/12)+IF(17=E20,D20*assumptions!$G$75,0),0)</f>
        <v>8904.26666666667</v>
      </c>
      <c r="X20" s="19" t="n">
        <f aca="false">IF(AND(18&gt;=E20,OR(F20="",18&lt;=F20)),(D20*(1+assumptions!$G$76)^1/12*(1+assumptions!$G$70+assumptions!$G$71+IF(18&gt;=assumptions!$G$73,assumptions!$G$72,0))+assumptions!$G$74/12)+IF(18=E20,D20*assumptions!$G$75,0),0)</f>
        <v>8904.26666666667</v>
      </c>
      <c r="Y20" s="19" t="n">
        <f aca="false">IF(AND(19&gt;=E20,OR(F20="",19&lt;=F20)),(D20*(1+assumptions!$G$76)^1/12*(1+assumptions!$G$70+assumptions!$G$71+IF(19&gt;=assumptions!$G$73,assumptions!$G$72,0))+assumptions!$G$74/12)+IF(19=E20,D20*assumptions!$G$75,0),0)</f>
        <v>8904.26666666667</v>
      </c>
      <c r="Z20" s="19" t="n">
        <f aca="false">IF(AND(20&gt;=E20,OR(F20="",20&lt;=F20)),(D20*(1+assumptions!$G$76)^1/12*(1+assumptions!$G$70+assumptions!$G$71+IF(20&gt;=assumptions!$G$73,assumptions!$G$72,0))+assumptions!$G$74/12)+IF(20=E20,D20*assumptions!$G$75,0),0)</f>
        <v>8904.26666666667</v>
      </c>
      <c r="AA20" s="19" t="n">
        <f aca="false">IF(AND(21&gt;=E20,OR(F20="",21&lt;=F20)),(D20*(1+assumptions!$G$76)^1/12*(1+assumptions!$G$70+assumptions!$G$71+IF(21&gt;=assumptions!$G$73,assumptions!$G$72,0))+assumptions!$G$74/12)+IF(21=E20,D20*assumptions!$G$75,0),0)</f>
        <v>8904.26666666667</v>
      </c>
      <c r="AB20" s="19" t="n">
        <f aca="false">IF(AND(22&gt;=E20,OR(F20="",22&lt;=F20)),(D20*(1+assumptions!$G$76)^1/12*(1+assumptions!$G$70+assumptions!$G$71+IF(22&gt;=assumptions!$G$73,assumptions!$G$72,0))+assumptions!$G$74/12)+IF(22=E20,D20*assumptions!$G$75,0),0)</f>
        <v>8904.26666666667</v>
      </c>
      <c r="AC20" s="19" t="n">
        <f aca="false">IF(AND(23&gt;=E20,OR(F20="",23&lt;=F20)),(D20*(1+assumptions!$G$76)^1/12*(1+assumptions!$G$70+assumptions!$G$71+IF(23&gt;=assumptions!$G$73,assumptions!$G$72,0))+assumptions!$G$74/12)+IF(23=E20,D20*assumptions!$G$75,0),0)</f>
        <v>8904.26666666667</v>
      </c>
      <c r="AD20" s="19" t="n">
        <f aca="false">IF(AND(24&gt;=E20,OR(F20="",24&lt;=F20)),(D20*(1+assumptions!$G$76)^1/12*(1+assumptions!$G$70+assumptions!$G$71+IF(24&gt;=assumptions!$G$73,assumptions!$G$72,0))+assumptions!$G$74/12)+IF(24=E20,D20*assumptions!$G$75,0),0)</f>
        <v>8941.1</v>
      </c>
      <c r="AE20" s="19" t="n">
        <f aca="false">IF(AND(25&gt;=E20,OR(F20="",25&lt;=F20)),(D20*(1+assumptions!$G$76)^2/12*(1+assumptions!$G$70+assumptions!$G$71+IF(25&gt;=assumptions!$G$73,assumptions!$G$72,0))+assumptions!$G$74/12)+IF(25=E20,D20*assumptions!$G$75,0),0)</f>
        <v>9286.744</v>
      </c>
      <c r="AF20" s="19" t="n">
        <f aca="false">IF(AND(26&gt;=E20,OR(F20="",26&lt;=F20)),(D20*(1+assumptions!$G$76)^2/12*(1+assumptions!$G$70+assumptions!$G$71+IF(26&gt;=assumptions!$G$73,assumptions!$G$72,0))+assumptions!$G$74/12)+IF(26=E20,D20*assumptions!$G$75,0),0)</f>
        <v>9286.744</v>
      </c>
      <c r="AG20" s="19" t="n">
        <f aca="false">IF(AND(27&gt;=E20,OR(F20="",27&lt;=F20)),(D20*(1+assumptions!$G$76)^2/12*(1+assumptions!$G$70+assumptions!$G$71+IF(27&gt;=assumptions!$G$73,assumptions!$G$72,0))+assumptions!$G$74/12)+IF(27=E20,D20*assumptions!$G$75,0),0)</f>
        <v>9286.744</v>
      </c>
      <c r="AH20" s="19" t="n">
        <f aca="false">IF(AND(28&gt;=E20,OR(F20="",28&lt;=F20)),(D20*(1+assumptions!$G$76)^2/12*(1+assumptions!$G$70+assumptions!$G$71+IF(28&gt;=assumptions!$G$73,assumptions!$G$72,0))+assumptions!$G$74/12)+IF(28=E20,D20*assumptions!$G$75,0),0)</f>
        <v>9286.744</v>
      </c>
      <c r="AI20" s="19" t="n">
        <f aca="false">IF(AND(29&gt;=E20,OR(F20="",29&lt;=F20)),(D20*(1+assumptions!$G$76)^2/12*(1+assumptions!$G$70+assumptions!$G$71+IF(29&gt;=assumptions!$G$73,assumptions!$G$72,0))+assumptions!$G$74/12)+IF(29=E20,D20*assumptions!$G$75,0),0)</f>
        <v>9286.744</v>
      </c>
      <c r="AJ20" s="19" t="n">
        <f aca="false">IF(AND(30&gt;=E20,OR(F20="",30&lt;=F20)),(D20*(1+assumptions!$G$76)^2/12*(1+assumptions!$G$70+assumptions!$G$71+IF(30&gt;=assumptions!$G$73,assumptions!$G$72,0))+assumptions!$G$74/12)+IF(30=E20,D20*assumptions!$G$75,0),0)</f>
        <v>9286.744</v>
      </c>
      <c r="AK20" s="19" t="n">
        <f aca="false">IF(AND(31&gt;=E20,OR(F20="",31&lt;=F20)),(D20*(1+assumptions!$G$76)^2/12*(1+assumptions!$G$70+assumptions!$G$71+IF(31&gt;=assumptions!$G$73,assumptions!$G$72,0))+assumptions!$G$74/12)+IF(31=E20,D20*assumptions!$G$75,0),0)</f>
        <v>9286.744</v>
      </c>
      <c r="AL20" s="19" t="n">
        <f aca="false">IF(AND(32&gt;=E20,OR(F20="",32&lt;=F20)),(D20*(1+assumptions!$G$76)^2/12*(1+assumptions!$G$70+assumptions!$G$71+IF(32&gt;=assumptions!$G$73,assumptions!$G$72,0))+assumptions!$G$74/12)+IF(32=E20,D20*assumptions!$G$75,0),0)</f>
        <v>9286.744</v>
      </c>
      <c r="AM20" s="19" t="n">
        <f aca="false">IF(AND(33&gt;=E20,OR(F20="",33&lt;=F20)),(D20*(1+assumptions!$G$76)^2/12*(1+assumptions!$G$70+assumptions!$G$71+IF(33&gt;=assumptions!$G$73,assumptions!$G$72,0))+assumptions!$G$74/12)+IF(33=E20,D20*assumptions!$G$75,0),0)</f>
        <v>9286.744</v>
      </c>
      <c r="AN20" s="19" t="n">
        <f aca="false">IF(AND(34&gt;=E20,OR(F20="",34&lt;=F20)),(D20*(1+assumptions!$G$76)^2/12*(1+assumptions!$G$70+assumptions!$G$71+IF(34&gt;=assumptions!$G$73,assumptions!$G$72,0))+assumptions!$G$74/12)+IF(34=E20,D20*assumptions!$G$75,0),0)</f>
        <v>9286.744</v>
      </c>
      <c r="AO20" s="19" t="n">
        <f aca="false">IF(AND(35&gt;=E20,OR(F20="",35&lt;=F20)),(D20*(1+assumptions!$G$76)^2/12*(1+assumptions!$G$70+assumptions!$G$71+IF(35&gt;=assumptions!$G$73,assumptions!$G$72,0))+assumptions!$G$74/12)+IF(35=E20,D20*assumptions!$G$75,0),0)</f>
        <v>9286.744</v>
      </c>
      <c r="AP20" s="19" t="n">
        <f aca="false">IF(AND(36&gt;=E20,OR(F20="",36&lt;=F20)),(D20*(1+assumptions!$G$76)^2/12*(1+assumptions!$G$70+assumptions!$G$71+IF(36&gt;=assumptions!$G$73,assumptions!$G$72,0))+assumptions!$G$74/12)+IF(36=E20,D20*assumptions!$G$75,0),0)</f>
        <v>9286.744</v>
      </c>
      <c r="AQ20" s="19" t="n">
        <f aca="false">IF(AND(37&gt;=E20,OR(F20="",37&lt;=F20)),(D20*(1+assumptions!$G$76)^3/12*(1+assumptions!$G$70+assumptions!$G$71+IF(37&gt;=assumptions!$G$73,assumptions!$G$72,0))+assumptions!$G$74/12)+IF(37=E20,D20*assumptions!$G$75,0),0)</f>
        <v>9646.21376</v>
      </c>
      <c r="AR20" s="19" t="n">
        <f aca="false">IF(AND(38&gt;=E20,OR(F20="",38&lt;=F20)),(D20*(1+assumptions!$G$76)^3/12*(1+assumptions!$G$70+assumptions!$G$71+IF(38&gt;=assumptions!$G$73,assumptions!$G$72,0))+assumptions!$G$74/12)+IF(38=E20,D20*assumptions!$G$75,0),0)</f>
        <v>9646.21376</v>
      </c>
      <c r="AS20" s="19" t="n">
        <f aca="false">IF(AND(39&gt;=E20,OR(F20="",39&lt;=F20)),(D20*(1+assumptions!$G$76)^3/12*(1+assumptions!$G$70+assumptions!$G$71+IF(39&gt;=assumptions!$G$73,assumptions!$G$72,0))+assumptions!$G$74/12)+IF(39=E20,D20*assumptions!$G$75,0),0)</f>
        <v>9646.21376</v>
      </c>
      <c r="AT20" s="19" t="n">
        <f aca="false">IF(AND(40&gt;=E20,OR(F20="",40&lt;=F20)),(D20*(1+assumptions!$G$76)^3/12*(1+assumptions!$G$70+assumptions!$G$71+IF(40&gt;=assumptions!$G$73,assumptions!$G$72,0))+assumptions!$G$74/12)+IF(40=E20,D20*assumptions!$G$75,0),0)</f>
        <v>9646.21376</v>
      </c>
      <c r="AU20" s="19" t="n">
        <f aca="false">IF(AND(41&gt;=E20,OR(F20="",41&lt;=F20)),(D20*(1+assumptions!$G$76)^3/12*(1+assumptions!$G$70+assumptions!$G$71+IF(41&gt;=assumptions!$G$73,assumptions!$G$72,0))+assumptions!$G$74/12)+IF(41=E20,D20*assumptions!$G$75,0),0)</f>
        <v>9646.21376</v>
      </c>
      <c r="AV20" s="19" t="n">
        <f aca="false">IF(AND(42&gt;=E20,OR(F20="",42&lt;=F20)),(D20*(1+assumptions!$G$76)^3/12*(1+assumptions!$G$70+assumptions!$G$71+IF(42&gt;=assumptions!$G$73,assumptions!$G$72,0))+assumptions!$G$74/12)+IF(42=E20,D20*assumptions!$G$75,0),0)</f>
        <v>9646.21376</v>
      </c>
      <c r="AW20" s="19" t="n">
        <f aca="false">IF(AND(43&gt;=E20,OR(F20="",43&lt;=F20)),(D20*(1+assumptions!$G$76)^3/12*(1+assumptions!$G$70+assumptions!$G$71+IF(43&gt;=assumptions!$G$73,assumptions!$G$72,0))+assumptions!$G$74/12)+IF(43=E20,D20*assumptions!$G$75,0),0)</f>
        <v>9646.21376</v>
      </c>
      <c r="AX20" s="19" t="n">
        <f aca="false">IF(AND(44&gt;=E20,OR(F20="",44&lt;=F20)),(D20*(1+assumptions!$G$76)^3/12*(1+assumptions!$G$70+assumptions!$G$71+IF(44&gt;=assumptions!$G$73,assumptions!$G$72,0))+assumptions!$G$74/12)+IF(44=E20,D20*assumptions!$G$75,0),0)</f>
        <v>9646.21376</v>
      </c>
      <c r="AY20" s="19" t="n">
        <f aca="false">IF(AND(45&gt;=E20,OR(F20="",45&lt;=F20)),(D20*(1+assumptions!$G$76)^3/12*(1+assumptions!$G$70+assumptions!$G$71+IF(45&gt;=assumptions!$G$73,assumptions!$G$72,0))+assumptions!$G$74/12)+IF(45=E20,D20*assumptions!$G$75,0),0)</f>
        <v>9646.21376</v>
      </c>
      <c r="AZ20" s="19" t="n">
        <f aca="false">IF(AND(46&gt;=E20,OR(F20="",46&lt;=F20)),(D20*(1+assumptions!$G$76)^3/12*(1+assumptions!$G$70+assumptions!$G$71+IF(46&gt;=assumptions!$G$73,assumptions!$G$72,0))+assumptions!$G$74/12)+IF(46=E20,D20*assumptions!$G$75,0),0)</f>
        <v>9646.21376</v>
      </c>
      <c r="BA20" s="19" t="n">
        <f aca="false">IF(AND(47&gt;=E20,OR(F20="",47&lt;=F20)),(D20*(1+assumptions!$G$76)^3/12*(1+assumptions!$G$70+assumptions!$G$71+IF(47&gt;=assumptions!$G$73,assumptions!$G$72,0))+assumptions!$G$74/12)+IF(47=E20,D20*assumptions!$G$75,0),0)</f>
        <v>9646.21376</v>
      </c>
      <c r="BB20" s="19" t="n">
        <f aca="false">IF(AND(48&gt;=E20,OR(F20="",48&lt;=F20)),(D20*(1+assumptions!$G$76)^3/12*(1+assumptions!$G$70+assumptions!$G$71+IF(48&gt;=assumptions!$G$73,assumptions!$G$72,0))+assumptions!$G$74/12)+IF(48=E20,D20*assumptions!$G$75,0),0)</f>
        <v>9646.21376</v>
      </c>
      <c r="BC20" s="19" t="n">
        <f aca="false">IF(AND(49&gt;=E20,OR(F20="",49&lt;=F20)),(D20*(1+assumptions!$G$76)^4/12*(1+assumptions!$G$70+assumptions!$G$71+IF(49&gt;=assumptions!$G$73,assumptions!$G$72,0))+assumptions!$G$74/12)+IF(49=E20,D20*assumptions!$G$75,0),0)</f>
        <v>10020.0623104</v>
      </c>
      <c r="BD20" s="19" t="n">
        <f aca="false">IF(AND(50&gt;=E20,OR(F20="",50&lt;=F20)),(D20*(1+assumptions!$G$76)^4/12*(1+assumptions!$G$70+assumptions!$G$71+IF(50&gt;=assumptions!$G$73,assumptions!$G$72,0))+assumptions!$G$74/12)+IF(50=E20,D20*assumptions!$G$75,0),0)</f>
        <v>10020.0623104</v>
      </c>
      <c r="BE20" s="19" t="n">
        <f aca="false">IF(AND(51&gt;=E20,OR(F20="",51&lt;=F20)),(D20*(1+assumptions!$G$76)^4/12*(1+assumptions!$G$70+assumptions!$G$71+IF(51&gt;=assumptions!$G$73,assumptions!$G$72,0))+assumptions!$G$74/12)+IF(51=E20,D20*assumptions!$G$75,0),0)</f>
        <v>10020.0623104</v>
      </c>
      <c r="BF20" s="19" t="n">
        <f aca="false">IF(AND(52&gt;=E20,OR(F20="",52&lt;=F20)),(D20*(1+assumptions!$G$76)^4/12*(1+assumptions!$G$70+assumptions!$G$71+IF(52&gt;=assumptions!$G$73,assumptions!$G$72,0))+assumptions!$G$74/12)+IF(52=E20,D20*assumptions!$G$75,0),0)</f>
        <v>10020.0623104</v>
      </c>
      <c r="BG20" s="19" t="n">
        <f aca="false">IF(AND(53&gt;=E20,OR(F20="",53&lt;=F20)),(D20*(1+assumptions!$G$76)^4/12*(1+assumptions!$G$70+assumptions!$G$71+IF(53&gt;=assumptions!$G$73,assumptions!$G$72,0))+assumptions!$G$74/12)+IF(53=E20,D20*assumptions!$G$75,0),0)</f>
        <v>10020.0623104</v>
      </c>
      <c r="BH20" s="19" t="n">
        <f aca="false">IF(AND(54&gt;=E20,OR(F20="",54&lt;=F20)),(D20*(1+assumptions!$G$76)^4/12*(1+assumptions!$G$70+assumptions!$G$71+IF(54&gt;=assumptions!$G$73,assumptions!$G$72,0))+assumptions!$G$74/12)+IF(54=E20,D20*assumptions!$G$75,0),0)</f>
        <v>10020.0623104</v>
      </c>
      <c r="BI20" s="19" t="n">
        <f aca="false">IF(AND(55&gt;=E20,OR(F20="",55&lt;=F20)),(D20*(1+assumptions!$G$76)^4/12*(1+assumptions!$G$70+assumptions!$G$71+IF(55&gt;=assumptions!$G$73,assumptions!$G$72,0))+assumptions!$G$74/12)+IF(55=E20,D20*assumptions!$G$75,0),0)</f>
        <v>10020.0623104</v>
      </c>
      <c r="BJ20" s="19" t="n">
        <f aca="false">IF(AND(56&gt;=E20,OR(F20="",56&lt;=F20)),(D20*(1+assumptions!$G$76)^4/12*(1+assumptions!$G$70+assumptions!$G$71+IF(56&gt;=assumptions!$G$73,assumptions!$G$72,0))+assumptions!$G$74/12)+IF(56=E20,D20*assumptions!$G$75,0),0)</f>
        <v>10020.0623104</v>
      </c>
      <c r="BK20" s="19" t="n">
        <f aca="false">IF(AND(57&gt;=E20,OR(F20="",57&lt;=F20)),(D20*(1+assumptions!$G$76)^4/12*(1+assumptions!$G$70+assumptions!$G$71+IF(57&gt;=assumptions!$G$73,assumptions!$G$72,0))+assumptions!$G$74/12)+IF(57=E20,D20*assumptions!$G$75,0),0)</f>
        <v>10020.0623104</v>
      </c>
      <c r="BL20" s="19" t="n">
        <f aca="false">IF(AND(58&gt;=E20,OR(F20="",58&lt;=F20)),(D20*(1+assumptions!$G$76)^4/12*(1+assumptions!$G$70+assumptions!$G$71+IF(58&gt;=assumptions!$G$73,assumptions!$G$72,0))+assumptions!$G$74/12)+IF(58=E20,D20*assumptions!$G$75,0),0)</f>
        <v>10020.0623104</v>
      </c>
      <c r="BM20" s="19" t="n">
        <f aca="false">IF(AND(59&gt;=E20,OR(F20="",59&lt;=F20)),(D20*(1+assumptions!$G$76)^4/12*(1+assumptions!$G$70+assumptions!$G$71+IF(59&gt;=assumptions!$G$73,assumptions!$G$72,0))+assumptions!$G$74/12)+IF(59=E20,D20*assumptions!$G$75,0),0)</f>
        <v>10020.0623104</v>
      </c>
      <c r="BN20" s="19" t="n">
        <f aca="false">IF(AND(60&gt;=E20,OR(F20="",60&lt;=F20)),(D20*(1+assumptions!$G$76)^4/12*(1+assumptions!$G$70+assumptions!$G$71+IF(60&gt;=assumptions!$G$73,assumptions!$G$72,0))+assumptions!$G$74/12)+IF(60=E20,D20*assumptions!$G$75,0),0)</f>
        <v>10020.0623104</v>
      </c>
    </row>
    <row r="21" customFormat="false" ht="14.25" hidden="false" customHeight="false" outlineLevel="0" collapsed="false">
      <c r="A21" s="7" t="n">
        <v>18</v>
      </c>
      <c r="B21" s="7" t="s">
        <v>361</v>
      </c>
      <c r="C21" s="7" t="s">
        <v>354</v>
      </c>
      <c r="D21" s="17" t="n">
        <v>60000</v>
      </c>
      <c r="E21" s="49" t="n">
        <v>15</v>
      </c>
      <c r="F21" s="49"/>
      <c r="G21" s="19" t="n">
        <f aca="false">IF(AND(1&gt;=E21,OR(F21="",1&lt;=F21)),(D21*(1+assumptions!$G$76)^0/12*(1+assumptions!$G$70+assumptions!$G$71+IF(1&gt;=assumptions!$G$73,assumptions!$G$72,0))+assumptions!$G$74/12)+IF(1=E21,D21*assumptions!$G$75,0),0)</f>
        <v>0</v>
      </c>
      <c r="H21" s="19" t="n">
        <f aca="false">IF(AND(2&gt;=E21,OR(F21="",2&lt;=F21)),(D21*(1+assumptions!$G$76)^0/12*(1+assumptions!$G$70+assumptions!$G$71+IF(2&gt;=assumptions!$G$73,assumptions!$G$72,0))+assumptions!$G$74/12)+IF(2=E21,D21*assumptions!$G$75,0),0)</f>
        <v>0</v>
      </c>
      <c r="I21" s="19" t="n">
        <f aca="false">IF(AND(3&gt;=E21,OR(F21="",3&lt;=F21)),(D21*(1+assumptions!$G$76)^0/12*(1+assumptions!$G$70+assumptions!$G$71+IF(3&gt;=assumptions!$G$73,assumptions!$G$72,0))+assumptions!$G$74/12)+IF(3=E21,D21*assumptions!$G$75,0),0)</f>
        <v>0</v>
      </c>
      <c r="J21" s="19" t="n">
        <f aca="false">IF(AND(4&gt;=E21,OR(F21="",4&lt;=F21)),(D21*(1+assumptions!$G$76)^0/12*(1+assumptions!$G$70+assumptions!$G$71+IF(4&gt;=assumptions!$G$73,assumptions!$G$72,0))+assumptions!$G$74/12)+IF(4=E21,D21*assumptions!$G$75,0),0)</f>
        <v>0</v>
      </c>
      <c r="K21" s="19" t="n">
        <f aca="false">IF(AND(5&gt;=E21,OR(F21="",5&lt;=F21)),(D21*(1+assumptions!$G$76)^0/12*(1+assumptions!$G$70+assumptions!$G$71+IF(5&gt;=assumptions!$G$73,assumptions!$G$72,0))+assumptions!$G$74/12)+IF(5=E21,D21*assumptions!$G$75,0),0)</f>
        <v>0</v>
      </c>
      <c r="L21" s="19" t="n">
        <f aca="false">IF(AND(6&gt;=E21,OR(F21="",6&lt;=F21)),(D21*(1+assumptions!$G$76)^0/12*(1+assumptions!$G$70+assumptions!$G$71+IF(6&gt;=assumptions!$G$73,assumptions!$G$72,0))+assumptions!$G$74/12)+IF(6=E21,D21*assumptions!$G$75,0),0)</f>
        <v>0</v>
      </c>
      <c r="M21" s="19" t="n">
        <f aca="false">IF(AND(7&gt;=E21,OR(F21="",7&lt;=F21)),(D21*(1+assumptions!$G$76)^0/12*(1+assumptions!$G$70+assumptions!$G$71+IF(7&gt;=assumptions!$G$73,assumptions!$G$72,0))+assumptions!$G$74/12)+IF(7=E21,D21*assumptions!$G$75,0),0)</f>
        <v>0</v>
      </c>
      <c r="N21" s="19" t="n">
        <f aca="false">IF(AND(8&gt;=E21,OR(F21="",8&lt;=F21)),(D21*(1+assumptions!$G$76)^0/12*(1+assumptions!$G$70+assumptions!$G$71+IF(8&gt;=assumptions!$G$73,assumptions!$G$72,0))+assumptions!$G$74/12)+IF(8=E21,D21*assumptions!$G$75,0),0)</f>
        <v>0</v>
      </c>
      <c r="O21" s="19" t="n">
        <f aca="false">IF(AND(9&gt;=E21,OR(F21="",9&lt;=F21)),(D21*(1+assumptions!$G$76)^0/12*(1+assumptions!$G$70+assumptions!$G$71+IF(9&gt;=assumptions!$G$73,assumptions!$G$72,0))+assumptions!$G$74/12)+IF(9=E21,D21*assumptions!$G$75,0),0)</f>
        <v>0</v>
      </c>
      <c r="P21" s="19" t="n">
        <f aca="false">IF(AND(10&gt;=E21,OR(F21="",10&lt;=F21)),(D21*(1+assumptions!$G$76)^0/12*(1+assumptions!$G$70+assumptions!$G$71+IF(10&gt;=assumptions!$G$73,assumptions!$G$72,0))+assumptions!$G$74/12)+IF(10=E21,D21*assumptions!$G$75,0),0)</f>
        <v>0</v>
      </c>
      <c r="Q21" s="19" t="n">
        <f aca="false">IF(AND(11&gt;=E21,OR(F21="",11&lt;=F21)),(D21*(1+assumptions!$G$76)^0/12*(1+assumptions!$G$70+assumptions!$G$71+IF(11&gt;=assumptions!$G$73,assumptions!$G$72,0))+assumptions!$G$74/12)+IF(11=E21,D21*assumptions!$G$75,0),0)</f>
        <v>0</v>
      </c>
      <c r="R21" s="19" t="n">
        <f aca="false">IF(AND(12&gt;=E21,OR(F21="",12&lt;=F21)),(D21*(1+assumptions!$G$76)^0/12*(1+assumptions!$G$70+assumptions!$G$71+IF(12&gt;=assumptions!$G$73,assumptions!$G$72,0))+assumptions!$G$74/12)+IF(12=E21,D21*assumptions!$G$75,0),0)</f>
        <v>0</v>
      </c>
      <c r="S21" s="19" t="n">
        <f aca="false">IF(AND(13&gt;=E21,OR(F21="",13&lt;=F21)),(D21*(1+assumptions!$G$76)^1/12*(1+assumptions!$G$70+assumptions!$G$71+IF(13&gt;=assumptions!$G$73,assumptions!$G$72,0))+assumptions!$G$74/12)+IF(13=E21,D21*assumptions!$G$75,0),0)</f>
        <v>0</v>
      </c>
      <c r="T21" s="19" t="n">
        <f aca="false">IF(AND(14&gt;=E21,OR(F21="",14&lt;=F21)),(D21*(1+assumptions!$G$76)^1/12*(1+assumptions!$G$70+assumptions!$G$71+IF(14&gt;=assumptions!$G$73,assumptions!$G$72,0))+assumptions!$G$74/12)+IF(14=E21,D21*assumptions!$G$75,0),0)</f>
        <v>0</v>
      </c>
      <c r="U21" s="19" t="n">
        <f aca="false">IF(AND(15&gt;=E21,OR(F21="",15&lt;=F21)),(D21*(1+assumptions!$G$76)^1/12*(1+assumptions!$G$70+assumptions!$G$71+IF(15&gt;=assumptions!$G$73,assumptions!$G$72,0))+assumptions!$G$74/12)+IF(15=E21,D21*assumptions!$G$75,0),0)</f>
        <v>15373.6</v>
      </c>
      <c r="V21" s="19" t="n">
        <f aca="false">IF(AND(16&gt;=E21,OR(F21="",16&lt;=F21)),(D21*(1+assumptions!$G$76)^1/12*(1+assumptions!$G$70+assumptions!$G$71+IF(16&gt;=assumptions!$G$73,assumptions!$G$72,0))+assumptions!$G$74/12)+IF(16=E21,D21*assumptions!$G$75,0),0)</f>
        <v>6373.6</v>
      </c>
      <c r="W21" s="19" t="n">
        <f aca="false">IF(AND(17&gt;=E21,OR(F21="",17&lt;=F21)),(D21*(1+assumptions!$G$76)^1/12*(1+assumptions!$G$70+assumptions!$G$71+IF(17&gt;=assumptions!$G$73,assumptions!$G$72,0))+assumptions!$G$74/12)+IF(17=E21,D21*assumptions!$G$75,0),0)</f>
        <v>6373.6</v>
      </c>
      <c r="X21" s="19" t="n">
        <f aca="false">IF(AND(18&gt;=E21,OR(F21="",18&lt;=F21)),(D21*(1+assumptions!$G$76)^1/12*(1+assumptions!$G$70+assumptions!$G$71+IF(18&gt;=assumptions!$G$73,assumptions!$G$72,0))+assumptions!$G$74/12)+IF(18=E21,D21*assumptions!$G$75,0),0)</f>
        <v>6373.6</v>
      </c>
      <c r="Y21" s="19" t="n">
        <f aca="false">IF(AND(19&gt;=E21,OR(F21="",19&lt;=F21)),(D21*(1+assumptions!$G$76)^1/12*(1+assumptions!$G$70+assumptions!$G$71+IF(19&gt;=assumptions!$G$73,assumptions!$G$72,0))+assumptions!$G$74/12)+IF(19=E21,D21*assumptions!$G$75,0),0)</f>
        <v>6373.6</v>
      </c>
      <c r="Z21" s="19" t="n">
        <f aca="false">IF(AND(20&gt;=E21,OR(F21="",20&lt;=F21)),(D21*(1+assumptions!$G$76)^1/12*(1+assumptions!$G$70+assumptions!$G$71+IF(20&gt;=assumptions!$G$73,assumptions!$G$72,0))+assumptions!$G$74/12)+IF(20=E21,D21*assumptions!$G$75,0),0)</f>
        <v>6373.6</v>
      </c>
      <c r="AA21" s="19" t="n">
        <f aca="false">IF(AND(21&gt;=E21,OR(F21="",21&lt;=F21)),(D21*(1+assumptions!$G$76)^1/12*(1+assumptions!$G$70+assumptions!$G$71+IF(21&gt;=assumptions!$G$73,assumptions!$G$72,0))+assumptions!$G$74/12)+IF(21=E21,D21*assumptions!$G$75,0),0)</f>
        <v>6373.6</v>
      </c>
      <c r="AB21" s="19" t="n">
        <f aca="false">IF(AND(22&gt;=E21,OR(F21="",22&lt;=F21)),(D21*(1+assumptions!$G$76)^1/12*(1+assumptions!$G$70+assumptions!$G$71+IF(22&gt;=assumptions!$G$73,assumptions!$G$72,0))+assumptions!$G$74/12)+IF(22=E21,D21*assumptions!$G$75,0),0)</f>
        <v>6373.6</v>
      </c>
      <c r="AC21" s="19" t="n">
        <f aca="false">IF(AND(23&gt;=E21,OR(F21="",23&lt;=F21)),(D21*(1+assumptions!$G$76)^1/12*(1+assumptions!$G$70+assumptions!$G$71+IF(23&gt;=assumptions!$G$73,assumptions!$G$72,0))+assumptions!$G$74/12)+IF(23=E21,D21*assumptions!$G$75,0),0)</f>
        <v>6373.6</v>
      </c>
      <c r="AD21" s="19" t="n">
        <f aca="false">IF(AND(24&gt;=E21,OR(F21="",24&lt;=F21)),(D21*(1+assumptions!$G$76)^1/12*(1+assumptions!$G$70+assumptions!$G$71+IF(24&gt;=assumptions!$G$73,assumptions!$G$72,0))+assumptions!$G$74/12)+IF(24=E21,D21*assumptions!$G$75,0),0)</f>
        <v>6399.6</v>
      </c>
      <c r="AE21" s="19" t="n">
        <f aca="false">IF(AND(25&gt;=E21,OR(F21="",25&lt;=F21)),(D21*(1+assumptions!$G$76)^2/12*(1+assumptions!$G$70+assumptions!$G$71+IF(25&gt;=assumptions!$G$73,assumptions!$G$72,0))+assumptions!$G$74/12)+IF(25=E21,D21*assumptions!$G$75,0),0)</f>
        <v>6643.584</v>
      </c>
      <c r="AF21" s="19" t="n">
        <f aca="false">IF(AND(26&gt;=E21,OR(F21="",26&lt;=F21)),(D21*(1+assumptions!$G$76)^2/12*(1+assumptions!$G$70+assumptions!$G$71+IF(26&gt;=assumptions!$G$73,assumptions!$G$72,0))+assumptions!$G$74/12)+IF(26=E21,D21*assumptions!$G$75,0),0)</f>
        <v>6643.584</v>
      </c>
      <c r="AG21" s="19" t="n">
        <f aca="false">IF(AND(27&gt;=E21,OR(F21="",27&lt;=F21)),(D21*(1+assumptions!$G$76)^2/12*(1+assumptions!$G$70+assumptions!$G$71+IF(27&gt;=assumptions!$G$73,assumptions!$G$72,0))+assumptions!$G$74/12)+IF(27=E21,D21*assumptions!$G$75,0),0)</f>
        <v>6643.584</v>
      </c>
      <c r="AH21" s="19" t="n">
        <f aca="false">IF(AND(28&gt;=E21,OR(F21="",28&lt;=F21)),(D21*(1+assumptions!$G$76)^2/12*(1+assumptions!$G$70+assumptions!$G$71+IF(28&gt;=assumptions!$G$73,assumptions!$G$72,0))+assumptions!$G$74/12)+IF(28=E21,D21*assumptions!$G$75,0),0)</f>
        <v>6643.584</v>
      </c>
      <c r="AI21" s="19" t="n">
        <f aca="false">IF(AND(29&gt;=E21,OR(F21="",29&lt;=F21)),(D21*(1+assumptions!$G$76)^2/12*(1+assumptions!$G$70+assumptions!$G$71+IF(29&gt;=assumptions!$G$73,assumptions!$G$72,0))+assumptions!$G$74/12)+IF(29=E21,D21*assumptions!$G$75,0),0)</f>
        <v>6643.584</v>
      </c>
      <c r="AJ21" s="19" t="n">
        <f aca="false">IF(AND(30&gt;=E21,OR(F21="",30&lt;=F21)),(D21*(1+assumptions!$G$76)^2/12*(1+assumptions!$G$70+assumptions!$G$71+IF(30&gt;=assumptions!$G$73,assumptions!$G$72,0))+assumptions!$G$74/12)+IF(30=E21,D21*assumptions!$G$75,0),0)</f>
        <v>6643.584</v>
      </c>
      <c r="AK21" s="19" t="n">
        <f aca="false">IF(AND(31&gt;=E21,OR(F21="",31&lt;=F21)),(D21*(1+assumptions!$G$76)^2/12*(1+assumptions!$G$70+assumptions!$G$71+IF(31&gt;=assumptions!$G$73,assumptions!$G$72,0))+assumptions!$G$74/12)+IF(31=E21,D21*assumptions!$G$75,0),0)</f>
        <v>6643.584</v>
      </c>
      <c r="AL21" s="19" t="n">
        <f aca="false">IF(AND(32&gt;=E21,OR(F21="",32&lt;=F21)),(D21*(1+assumptions!$G$76)^2/12*(1+assumptions!$G$70+assumptions!$G$71+IF(32&gt;=assumptions!$G$73,assumptions!$G$72,0))+assumptions!$G$74/12)+IF(32=E21,D21*assumptions!$G$75,0),0)</f>
        <v>6643.584</v>
      </c>
      <c r="AM21" s="19" t="n">
        <f aca="false">IF(AND(33&gt;=E21,OR(F21="",33&lt;=F21)),(D21*(1+assumptions!$G$76)^2/12*(1+assumptions!$G$70+assumptions!$G$71+IF(33&gt;=assumptions!$G$73,assumptions!$G$72,0))+assumptions!$G$74/12)+IF(33=E21,D21*assumptions!$G$75,0),0)</f>
        <v>6643.584</v>
      </c>
      <c r="AN21" s="19" t="n">
        <f aca="false">IF(AND(34&gt;=E21,OR(F21="",34&lt;=F21)),(D21*(1+assumptions!$G$76)^2/12*(1+assumptions!$G$70+assumptions!$G$71+IF(34&gt;=assumptions!$G$73,assumptions!$G$72,0))+assumptions!$G$74/12)+IF(34=E21,D21*assumptions!$G$75,0),0)</f>
        <v>6643.584</v>
      </c>
      <c r="AO21" s="19" t="n">
        <f aca="false">IF(AND(35&gt;=E21,OR(F21="",35&lt;=F21)),(D21*(1+assumptions!$G$76)^2/12*(1+assumptions!$G$70+assumptions!$G$71+IF(35&gt;=assumptions!$G$73,assumptions!$G$72,0))+assumptions!$G$74/12)+IF(35=E21,D21*assumptions!$G$75,0),0)</f>
        <v>6643.584</v>
      </c>
      <c r="AP21" s="19" t="n">
        <f aca="false">IF(AND(36&gt;=E21,OR(F21="",36&lt;=F21)),(D21*(1+assumptions!$G$76)^2/12*(1+assumptions!$G$70+assumptions!$G$71+IF(36&gt;=assumptions!$G$73,assumptions!$G$72,0))+assumptions!$G$74/12)+IF(36=E21,D21*assumptions!$G$75,0),0)</f>
        <v>6643.584</v>
      </c>
      <c r="AQ21" s="19" t="n">
        <f aca="false">IF(AND(37&gt;=E21,OR(F21="",37&lt;=F21)),(D21*(1+assumptions!$G$76)^3/12*(1+assumptions!$G$70+assumptions!$G$71+IF(37&gt;=assumptions!$G$73,assumptions!$G$72,0))+assumptions!$G$74/12)+IF(37=E21,D21*assumptions!$G$75,0),0)</f>
        <v>6897.32736</v>
      </c>
      <c r="AR21" s="19" t="n">
        <f aca="false">IF(AND(38&gt;=E21,OR(F21="",38&lt;=F21)),(D21*(1+assumptions!$G$76)^3/12*(1+assumptions!$G$70+assumptions!$G$71+IF(38&gt;=assumptions!$G$73,assumptions!$G$72,0))+assumptions!$G$74/12)+IF(38=E21,D21*assumptions!$G$75,0),0)</f>
        <v>6897.32736</v>
      </c>
      <c r="AS21" s="19" t="n">
        <f aca="false">IF(AND(39&gt;=E21,OR(F21="",39&lt;=F21)),(D21*(1+assumptions!$G$76)^3/12*(1+assumptions!$G$70+assumptions!$G$71+IF(39&gt;=assumptions!$G$73,assumptions!$G$72,0))+assumptions!$G$74/12)+IF(39=E21,D21*assumptions!$G$75,0),0)</f>
        <v>6897.32736</v>
      </c>
      <c r="AT21" s="19" t="n">
        <f aca="false">IF(AND(40&gt;=E21,OR(F21="",40&lt;=F21)),(D21*(1+assumptions!$G$76)^3/12*(1+assumptions!$G$70+assumptions!$G$71+IF(40&gt;=assumptions!$G$73,assumptions!$G$72,0))+assumptions!$G$74/12)+IF(40=E21,D21*assumptions!$G$75,0),0)</f>
        <v>6897.32736</v>
      </c>
      <c r="AU21" s="19" t="n">
        <f aca="false">IF(AND(41&gt;=E21,OR(F21="",41&lt;=F21)),(D21*(1+assumptions!$G$76)^3/12*(1+assumptions!$G$70+assumptions!$G$71+IF(41&gt;=assumptions!$G$73,assumptions!$G$72,0))+assumptions!$G$74/12)+IF(41=E21,D21*assumptions!$G$75,0),0)</f>
        <v>6897.32736</v>
      </c>
      <c r="AV21" s="19" t="n">
        <f aca="false">IF(AND(42&gt;=E21,OR(F21="",42&lt;=F21)),(D21*(1+assumptions!$G$76)^3/12*(1+assumptions!$G$70+assumptions!$G$71+IF(42&gt;=assumptions!$G$73,assumptions!$G$72,0))+assumptions!$G$74/12)+IF(42=E21,D21*assumptions!$G$75,0),0)</f>
        <v>6897.32736</v>
      </c>
      <c r="AW21" s="19" t="n">
        <f aca="false">IF(AND(43&gt;=E21,OR(F21="",43&lt;=F21)),(D21*(1+assumptions!$G$76)^3/12*(1+assumptions!$G$70+assumptions!$G$71+IF(43&gt;=assumptions!$G$73,assumptions!$G$72,0))+assumptions!$G$74/12)+IF(43=E21,D21*assumptions!$G$75,0),0)</f>
        <v>6897.32736</v>
      </c>
      <c r="AX21" s="19" t="n">
        <f aca="false">IF(AND(44&gt;=E21,OR(F21="",44&lt;=F21)),(D21*(1+assumptions!$G$76)^3/12*(1+assumptions!$G$70+assumptions!$G$71+IF(44&gt;=assumptions!$G$73,assumptions!$G$72,0))+assumptions!$G$74/12)+IF(44=E21,D21*assumptions!$G$75,0),0)</f>
        <v>6897.32736</v>
      </c>
      <c r="AY21" s="19" t="n">
        <f aca="false">IF(AND(45&gt;=E21,OR(F21="",45&lt;=F21)),(D21*(1+assumptions!$G$76)^3/12*(1+assumptions!$G$70+assumptions!$G$71+IF(45&gt;=assumptions!$G$73,assumptions!$G$72,0))+assumptions!$G$74/12)+IF(45=E21,D21*assumptions!$G$75,0),0)</f>
        <v>6897.32736</v>
      </c>
      <c r="AZ21" s="19" t="n">
        <f aca="false">IF(AND(46&gt;=E21,OR(F21="",46&lt;=F21)),(D21*(1+assumptions!$G$76)^3/12*(1+assumptions!$G$70+assumptions!$G$71+IF(46&gt;=assumptions!$G$73,assumptions!$G$72,0))+assumptions!$G$74/12)+IF(46=E21,D21*assumptions!$G$75,0),0)</f>
        <v>6897.32736</v>
      </c>
      <c r="BA21" s="19" t="n">
        <f aca="false">IF(AND(47&gt;=E21,OR(F21="",47&lt;=F21)),(D21*(1+assumptions!$G$76)^3/12*(1+assumptions!$G$70+assumptions!$G$71+IF(47&gt;=assumptions!$G$73,assumptions!$G$72,0))+assumptions!$G$74/12)+IF(47=E21,D21*assumptions!$G$75,0),0)</f>
        <v>6897.32736</v>
      </c>
      <c r="BB21" s="19" t="n">
        <f aca="false">IF(AND(48&gt;=E21,OR(F21="",48&lt;=F21)),(D21*(1+assumptions!$G$76)^3/12*(1+assumptions!$G$70+assumptions!$G$71+IF(48&gt;=assumptions!$G$73,assumptions!$G$72,0))+assumptions!$G$74/12)+IF(48=E21,D21*assumptions!$G$75,0),0)</f>
        <v>6897.32736</v>
      </c>
      <c r="BC21" s="19" t="n">
        <f aca="false">IF(AND(49&gt;=E21,OR(F21="",49&lt;=F21)),(D21*(1+assumptions!$G$76)^4/12*(1+assumptions!$G$70+assumptions!$G$71+IF(49&gt;=assumptions!$G$73,assumptions!$G$72,0))+assumptions!$G$74/12)+IF(49=E21,D21*assumptions!$G$75,0),0)</f>
        <v>7161.2204544</v>
      </c>
      <c r="BD21" s="19" t="n">
        <f aca="false">IF(AND(50&gt;=E21,OR(F21="",50&lt;=F21)),(D21*(1+assumptions!$G$76)^4/12*(1+assumptions!$G$70+assumptions!$G$71+IF(50&gt;=assumptions!$G$73,assumptions!$G$72,0))+assumptions!$G$74/12)+IF(50=E21,D21*assumptions!$G$75,0),0)</f>
        <v>7161.2204544</v>
      </c>
      <c r="BE21" s="19" t="n">
        <f aca="false">IF(AND(51&gt;=E21,OR(F21="",51&lt;=F21)),(D21*(1+assumptions!$G$76)^4/12*(1+assumptions!$G$70+assumptions!$G$71+IF(51&gt;=assumptions!$G$73,assumptions!$G$72,0))+assumptions!$G$74/12)+IF(51=E21,D21*assumptions!$G$75,0),0)</f>
        <v>7161.2204544</v>
      </c>
      <c r="BF21" s="19" t="n">
        <f aca="false">IF(AND(52&gt;=E21,OR(F21="",52&lt;=F21)),(D21*(1+assumptions!$G$76)^4/12*(1+assumptions!$G$70+assumptions!$G$71+IF(52&gt;=assumptions!$G$73,assumptions!$G$72,0))+assumptions!$G$74/12)+IF(52=E21,D21*assumptions!$G$75,0),0)</f>
        <v>7161.2204544</v>
      </c>
      <c r="BG21" s="19" t="n">
        <f aca="false">IF(AND(53&gt;=E21,OR(F21="",53&lt;=F21)),(D21*(1+assumptions!$G$76)^4/12*(1+assumptions!$G$70+assumptions!$G$71+IF(53&gt;=assumptions!$G$73,assumptions!$G$72,0))+assumptions!$G$74/12)+IF(53=E21,D21*assumptions!$G$75,0),0)</f>
        <v>7161.2204544</v>
      </c>
      <c r="BH21" s="19" t="n">
        <f aca="false">IF(AND(54&gt;=E21,OR(F21="",54&lt;=F21)),(D21*(1+assumptions!$G$76)^4/12*(1+assumptions!$G$70+assumptions!$G$71+IF(54&gt;=assumptions!$G$73,assumptions!$G$72,0))+assumptions!$G$74/12)+IF(54=E21,D21*assumptions!$G$75,0),0)</f>
        <v>7161.2204544</v>
      </c>
      <c r="BI21" s="19" t="n">
        <f aca="false">IF(AND(55&gt;=E21,OR(F21="",55&lt;=F21)),(D21*(1+assumptions!$G$76)^4/12*(1+assumptions!$G$70+assumptions!$G$71+IF(55&gt;=assumptions!$G$73,assumptions!$G$72,0))+assumptions!$G$74/12)+IF(55=E21,D21*assumptions!$G$75,0),0)</f>
        <v>7161.2204544</v>
      </c>
      <c r="BJ21" s="19" t="n">
        <f aca="false">IF(AND(56&gt;=E21,OR(F21="",56&lt;=F21)),(D21*(1+assumptions!$G$76)^4/12*(1+assumptions!$G$70+assumptions!$G$71+IF(56&gt;=assumptions!$G$73,assumptions!$G$72,0))+assumptions!$G$74/12)+IF(56=E21,D21*assumptions!$G$75,0),0)</f>
        <v>7161.2204544</v>
      </c>
      <c r="BK21" s="19" t="n">
        <f aca="false">IF(AND(57&gt;=E21,OR(F21="",57&lt;=F21)),(D21*(1+assumptions!$G$76)^4/12*(1+assumptions!$G$70+assumptions!$G$71+IF(57&gt;=assumptions!$G$73,assumptions!$G$72,0))+assumptions!$G$74/12)+IF(57=E21,D21*assumptions!$G$75,0),0)</f>
        <v>7161.2204544</v>
      </c>
      <c r="BL21" s="19" t="n">
        <f aca="false">IF(AND(58&gt;=E21,OR(F21="",58&lt;=F21)),(D21*(1+assumptions!$G$76)^4/12*(1+assumptions!$G$70+assumptions!$G$71+IF(58&gt;=assumptions!$G$73,assumptions!$G$72,0))+assumptions!$G$74/12)+IF(58=E21,D21*assumptions!$G$75,0),0)</f>
        <v>7161.2204544</v>
      </c>
      <c r="BM21" s="19" t="n">
        <f aca="false">IF(AND(59&gt;=E21,OR(F21="",59&lt;=F21)),(D21*(1+assumptions!$G$76)^4/12*(1+assumptions!$G$70+assumptions!$G$71+IF(59&gt;=assumptions!$G$73,assumptions!$G$72,0))+assumptions!$G$74/12)+IF(59=E21,D21*assumptions!$G$75,0),0)</f>
        <v>7161.2204544</v>
      </c>
      <c r="BN21" s="19" t="n">
        <f aca="false">IF(AND(60&gt;=E21,OR(F21="",60&lt;=F21)),(D21*(1+assumptions!$G$76)^4/12*(1+assumptions!$G$70+assumptions!$G$71+IF(60&gt;=assumptions!$G$73,assumptions!$G$72,0))+assumptions!$G$74/12)+IF(60=E21,D21*assumptions!$G$75,0),0)</f>
        <v>7161.2204544</v>
      </c>
    </row>
    <row r="22" customFormat="false" ht="14.25" hidden="false" customHeight="false" outlineLevel="0" collapsed="false">
      <c r="A22" s="7" t="n">
        <v>19</v>
      </c>
      <c r="B22" s="7" t="s">
        <v>362</v>
      </c>
      <c r="C22" s="7" t="s">
        <v>340</v>
      </c>
      <c r="D22" s="17" t="n">
        <v>95000</v>
      </c>
      <c r="E22" s="49" t="n">
        <v>20</v>
      </c>
      <c r="F22" s="49"/>
      <c r="G22" s="19" t="n">
        <f aca="false">IF(AND(1&gt;=E22,OR(F22="",1&lt;=F22)),(D22*(1+assumptions!$G$76)^0/12*(1+assumptions!$G$70+assumptions!$G$71+IF(1&gt;=assumptions!$G$73,assumptions!$G$72,0))+assumptions!$G$74/12)+IF(1=E22,D22*assumptions!$G$75,0),0)</f>
        <v>0</v>
      </c>
      <c r="H22" s="19" t="n">
        <f aca="false">IF(AND(2&gt;=E22,OR(F22="",2&lt;=F22)),(D22*(1+assumptions!$G$76)^0/12*(1+assumptions!$G$70+assumptions!$G$71+IF(2&gt;=assumptions!$G$73,assumptions!$G$72,0))+assumptions!$G$74/12)+IF(2=E22,D22*assumptions!$G$75,0),0)</f>
        <v>0</v>
      </c>
      <c r="I22" s="19" t="n">
        <f aca="false">IF(AND(3&gt;=E22,OR(F22="",3&lt;=F22)),(D22*(1+assumptions!$G$76)^0/12*(1+assumptions!$G$70+assumptions!$G$71+IF(3&gt;=assumptions!$G$73,assumptions!$G$72,0))+assumptions!$G$74/12)+IF(3=E22,D22*assumptions!$G$75,0),0)</f>
        <v>0</v>
      </c>
      <c r="J22" s="19" t="n">
        <f aca="false">IF(AND(4&gt;=E22,OR(F22="",4&lt;=F22)),(D22*(1+assumptions!$G$76)^0/12*(1+assumptions!$G$70+assumptions!$G$71+IF(4&gt;=assumptions!$G$73,assumptions!$G$72,0))+assumptions!$G$74/12)+IF(4=E22,D22*assumptions!$G$75,0),0)</f>
        <v>0</v>
      </c>
      <c r="K22" s="19" t="n">
        <f aca="false">IF(AND(5&gt;=E22,OR(F22="",5&lt;=F22)),(D22*(1+assumptions!$G$76)^0/12*(1+assumptions!$G$70+assumptions!$G$71+IF(5&gt;=assumptions!$G$73,assumptions!$G$72,0))+assumptions!$G$74/12)+IF(5=E22,D22*assumptions!$G$75,0),0)</f>
        <v>0</v>
      </c>
      <c r="L22" s="19" t="n">
        <f aca="false">IF(AND(6&gt;=E22,OR(F22="",6&lt;=F22)),(D22*(1+assumptions!$G$76)^0/12*(1+assumptions!$G$70+assumptions!$G$71+IF(6&gt;=assumptions!$G$73,assumptions!$G$72,0))+assumptions!$G$74/12)+IF(6=E22,D22*assumptions!$G$75,0),0)</f>
        <v>0</v>
      </c>
      <c r="M22" s="19" t="n">
        <f aca="false">IF(AND(7&gt;=E22,OR(F22="",7&lt;=F22)),(D22*(1+assumptions!$G$76)^0/12*(1+assumptions!$G$70+assumptions!$G$71+IF(7&gt;=assumptions!$G$73,assumptions!$G$72,0))+assumptions!$G$74/12)+IF(7=E22,D22*assumptions!$G$75,0),0)</f>
        <v>0</v>
      </c>
      <c r="N22" s="19" t="n">
        <f aca="false">IF(AND(8&gt;=E22,OR(F22="",8&lt;=F22)),(D22*(1+assumptions!$G$76)^0/12*(1+assumptions!$G$70+assumptions!$G$71+IF(8&gt;=assumptions!$G$73,assumptions!$G$72,0))+assumptions!$G$74/12)+IF(8=E22,D22*assumptions!$G$75,0),0)</f>
        <v>0</v>
      </c>
      <c r="O22" s="19" t="n">
        <f aca="false">IF(AND(9&gt;=E22,OR(F22="",9&lt;=F22)),(D22*(1+assumptions!$G$76)^0/12*(1+assumptions!$G$70+assumptions!$G$71+IF(9&gt;=assumptions!$G$73,assumptions!$G$72,0))+assumptions!$G$74/12)+IF(9=E22,D22*assumptions!$G$75,0),0)</f>
        <v>0</v>
      </c>
      <c r="P22" s="19" t="n">
        <f aca="false">IF(AND(10&gt;=E22,OR(F22="",10&lt;=F22)),(D22*(1+assumptions!$G$76)^0/12*(1+assumptions!$G$70+assumptions!$G$71+IF(10&gt;=assumptions!$G$73,assumptions!$G$72,0))+assumptions!$G$74/12)+IF(10=E22,D22*assumptions!$G$75,0),0)</f>
        <v>0</v>
      </c>
      <c r="Q22" s="19" t="n">
        <f aca="false">IF(AND(11&gt;=E22,OR(F22="",11&lt;=F22)),(D22*(1+assumptions!$G$76)^0/12*(1+assumptions!$G$70+assumptions!$G$71+IF(11&gt;=assumptions!$G$73,assumptions!$G$72,0))+assumptions!$G$74/12)+IF(11=E22,D22*assumptions!$G$75,0),0)</f>
        <v>0</v>
      </c>
      <c r="R22" s="19" t="n">
        <f aca="false">IF(AND(12&gt;=E22,OR(F22="",12&lt;=F22)),(D22*(1+assumptions!$G$76)^0/12*(1+assumptions!$G$70+assumptions!$G$71+IF(12&gt;=assumptions!$G$73,assumptions!$G$72,0))+assumptions!$G$74/12)+IF(12=E22,D22*assumptions!$G$75,0),0)</f>
        <v>0</v>
      </c>
      <c r="S22" s="19" t="n">
        <f aca="false">IF(AND(13&gt;=E22,OR(F22="",13&lt;=F22)),(D22*(1+assumptions!$G$76)^1/12*(1+assumptions!$G$70+assumptions!$G$71+IF(13&gt;=assumptions!$G$73,assumptions!$G$72,0))+assumptions!$G$74/12)+IF(13=E22,D22*assumptions!$G$75,0),0)</f>
        <v>0</v>
      </c>
      <c r="T22" s="19" t="n">
        <f aca="false">IF(AND(14&gt;=E22,OR(F22="",14&lt;=F22)),(D22*(1+assumptions!$G$76)^1/12*(1+assumptions!$G$70+assumptions!$G$71+IF(14&gt;=assumptions!$G$73,assumptions!$G$72,0))+assumptions!$G$74/12)+IF(14=E22,D22*assumptions!$G$75,0),0)</f>
        <v>0</v>
      </c>
      <c r="U22" s="19" t="n">
        <f aca="false">IF(AND(15&gt;=E22,OR(F22="",15&lt;=F22)),(D22*(1+assumptions!$G$76)^1/12*(1+assumptions!$G$70+assumptions!$G$71+IF(15&gt;=assumptions!$G$73,assumptions!$G$72,0))+assumptions!$G$74/12)+IF(15=E22,D22*assumptions!$G$75,0),0)</f>
        <v>0</v>
      </c>
      <c r="V22" s="19" t="n">
        <f aca="false">IF(AND(16&gt;=E22,OR(F22="",16&lt;=F22)),(D22*(1+assumptions!$G$76)^1/12*(1+assumptions!$G$70+assumptions!$G$71+IF(16&gt;=assumptions!$G$73,assumptions!$G$72,0))+assumptions!$G$74/12)+IF(16=E22,D22*assumptions!$G$75,0),0)</f>
        <v>0</v>
      </c>
      <c r="W22" s="19" t="n">
        <f aca="false">IF(AND(17&gt;=E22,OR(F22="",17&lt;=F22)),(D22*(1+assumptions!$G$76)^1/12*(1+assumptions!$G$70+assumptions!$G$71+IF(17&gt;=assumptions!$G$73,assumptions!$G$72,0))+assumptions!$G$74/12)+IF(17=E22,D22*assumptions!$G$75,0),0)</f>
        <v>0</v>
      </c>
      <c r="X22" s="19" t="n">
        <f aca="false">IF(AND(18&gt;=E22,OR(F22="",18&lt;=F22)),(D22*(1+assumptions!$G$76)^1/12*(1+assumptions!$G$70+assumptions!$G$71+IF(18&gt;=assumptions!$G$73,assumptions!$G$72,0))+assumptions!$G$74/12)+IF(18=E22,D22*assumptions!$G$75,0),0)</f>
        <v>0</v>
      </c>
      <c r="Y22" s="19" t="n">
        <f aca="false">IF(AND(19&gt;=E22,OR(F22="",19&lt;=F22)),(D22*(1+assumptions!$G$76)^1/12*(1+assumptions!$G$70+assumptions!$G$71+IF(19&gt;=assumptions!$G$73,assumptions!$G$72,0))+assumptions!$G$74/12)+IF(19=E22,D22*assumptions!$G$75,0),0)</f>
        <v>0</v>
      </c>
      <c r="Z22" s="19" t="n">
        <f aca="false">IF(AND(20&gt;=E22,OR(F22="",20&lt;=F22)),(D22*(1+assumptions!$G$76)^1/12*(1+assumptions!$G$70+assumptions!$G$71+IF(20&gt;=assumptions!$G$73,assumptions!$G$72,0))+assumptions!$G$74/12)+IF(20=E22,D22*assumptions!$G$75,0),0)</f>
        <v>24166.5333333333</v>
      </c>
      <c r="AA22" s="19" t="n">
        <f aca="false">IF(AND(21&gt;=E22,OR(F22="",21&lt;=F22)),(D22*(1+assumptions!$G$76)^1/12*(1+assumptions!$G$70+assumptions!$G$71+IF(21&gt;=assumptions!$G$73,assumptions!$G$72,0))+assumptions!$G$74/12)+IF(21=E22,D22*assumptions!$G$75,0),0)</f>
        <v>9916.53333333333</v>
      </c>
      <c r="AB22" s="19" t="n">
        <f aca="false">IF(AND(22&gt;=E22,OR(F22="",22&lt;=F22)),(D22*(1+assumptions!$G$76)^1/12*(1+assumptions!$G$70+assumptions!$G$71+IF(22&gt;=assumptions!$G$73,assumptions!$G$72,0))+assumptions!$G$74/12)+IF(22=E22,D22*assumptions!$G$75,0),0)</f>
        <v>9916.53333333333</v>
      </c>
      <c r="AC22" s="19" t="n">
        <f aca="false">IF(AND(23&gt;=E22,OR(F22="",23&lt;=F22)),(D22*(1+assumptions!$G$76)^1/12*(1+assumptions!$G$70+assumptions!$G$71+IF(23&gt;=assumptions!$G$73,assumptions!$G$72,0))+assumptions!$G$74/12)+IF(23=E22,D22*assumptions!$G$75,0),0)</f>
        <v>9916.53333333333</v>
      </c>
      <c r="AD22" s="19" t="n">
        <f aca="false">IF(AND(24&gt;=E22,OR(F22="",24&lt;=F22)),(D22*(1+assumptions!$G$76)^1/12*(1+assumptions!$G$70+assumptions!$G$71+IF(24&gt;=assumptions!$G$73,assumptions!$G$72,0))+assumptions!$G$74/12)+IF(24=E22,D22*assumptions!$G$75,0),0)</f>
        <v>9957.7</v>
      </c>
      <c r="AE22" s="19" t="n">
        <f aca="false">IF(AND(25&gt;=E22,OR(F22="",25&lt;=F22)),(D22*(1+assumptions!$G$76)^2/12*(1+assumptions!$G$70+assumptions!$G$71+IF(25&gt;=assumptions!$G$73,assumptions!$G$72,0))+assumptions!$G$74/12)+IF(25=E22,D22*assumptions!$G$75,0),0)</f>
        <v>10344.008</v>
      </c>
      <c r="AF22" s="19" t="n">
        <f aca="false">IF(AND(26&gt;=E22,OR(F22="",26&lt;=F22)),(D22*(1+assumptions!$G$76)^2/12*(1+assumptions!$G$70+assumptions!$G$71+IF(26&gt;=assumptions!$G$73,assumptions!$G$72,0))+assumptions!$G$74/12)+IF(26=E22,D22*assumptions!$G$75,0),0)</f>
        <v>10344.008</v>
      </c>
      <c r="AG22" s="19" t="n">
        <f aca="false">IF(AND(27&gt;=E22,OR(F22="",27&lt;=F22)),(D22*(1+assumptions!$G$76)^2/12*(1+assumptions!$G$70+assumptions!$G$71+IF(27&gt;=assumptions!$G$73,assumptions!$G$72,0))+assumptions!$G$74/12)+IF(27=E22,D22*assumptions!$G$75,0),0)</f>
        <v>10344.008</v>
      </c>
      <c r="AH22" s="19" t="n">
        <f aca="false">IF(AND(28&gt;=E22,OR(F22="",28&lt;=F22)),(D22*(1+assumptions!$G$76)^2/12*(1+assumptions!$G$70+assumptions!$G$71+IF(28&gt;=assumptions!$G$73,assumptions!$G$72,0))+assumptions!$G$74/12)+IF(28=E22,D22*assumptions!$G$75,0),0)</f>
        <v>10344.008</v>
      </c>
      <c r="AI22" s="19" t="n">
        <f aca="false">IF(AND(29&gt;=E22,OR(F22="",29&lt;=F22)),(D22*(1+assumptions!$G$76)^2/12*(1+assumptions!$G$70+assumptions!$G$71+IF(29&gt;=assumptions!$G$73,assumptions!$G$72,0))+assumptions!$G$74/12)+IF(29=E22,D22*assumptions!$G$75,0),0)</f>
        <v>10344.008</v>
      </c>
      <c r="AJ22" s="19" t="n">
        <f aca="false">IF(AND(30&gt;=E22,OR(F22="",30&lt;=F22)),(D22*(1+assumptions!$G$76)^2/12*(1+assumptions!$G$70+assumptions!$G$71+IF(30&gt;=assumptions!$G$73,assumptions!$G$72,0))+assumptions!$G$74/12)+IF(30=E22,D22*assumptions!$G$75,0),0)</f>
        <v>10344.008</v>
      </c>
      <c r="AK22" s="19" t="n">
        <f aca="false">IF(AND(31&gt;=E22,OR(F22="",31&lt;=F22)),(D22*(1+assumptions!$G$76)^2/12*(1+assumptions!$G$70+assumptions!$G$71+IF(31&gt;=assumptions!$G$73,assumptions!$G$72,0))+assumptions!$G$74/12)+IF(31=E22,D22*assumptions!$G$75,0),0)</f>
        <v>10344.008</v>
      </c>
      <c r="AL22" s="19" t="n">
        <f aca="false">IF(AND(32&gt;=E22,OR(F22="",32&lt;=F22)),(D22*(1+assumptions!$G$76)^2/12*(1+assumptions!$G$70+assumptions!$G$71+IF(32&gt;=assumptions!$G$73,assumptions!$G$72,0))+assumptions!$G$74/12)+IF(32=E22,D22*assumptions!$G$75,0),0)</f>
        <v>10344.008</v>
      </c>
      <c r="AM22" s="19" t="n">
        <f aca="false">IF(AND(33&gt;=E22,OR(F22="",33&lt;=F22)),(D22*(1+assumptions!$G$76)^2/12*(1+assumptions!$G$70+assumptions!$G$71+IF(33&gt;=assumptions!$G$73,assumptions!$G$72,0))+assumptions!$G$74/12)+IF(33=E22,D22*assumptions!$G$75,0),0)</f>
        <v>10344.008</v>
      </c>
      <c r="AN22" s="19" t="n">
        <f aca="false">IF(AND(34&gt;=E22,OR(F22="",34&lt;=F22)),(D22*(1+assumptions!$G$76)^2/12*(1+assumptions!$G$70+assumptions!$G$71+IF(34&gt;=assumptions!$G$73,assumptions!$G$72,0))+assumptions!$G$74/12)+IF(34=E22,D22*assumptions!$G$75,0),0)</f>
        <v>10344.008</v>
      </c>
      <c r="AO22" s="19" t="n">
        <f aca="false">IF(AND(35&gt;=E22,OR(F22="",35&lt;=F22)),(D22*(1+assumptions!$G$76)^2/12*(1+assumptions!$G$70+assumptions!$G$71+IF(35&gt;=assumptions!$G$73,assumptions!$G$72,0))+assumptions!$G$74/12)+IF(35=E22,D22*assumptions!$G$75,0),0)</f>
        <v>10344.008</v>
      </c>
      <c r="AP22" s="19" t="n">
        <f aca="false">IF(AND(36&gt;=E22,OR(F22="",36&lt;=F22)),(D22*(1+assumptions!$G$76)^2/12*(1+assumptions!$G$70+assumptions!$G$71+IF(36&gt;=assumptions!$G$73,assumptions!$G$72,0))+assumptions!$G$74/12)+IF(36=E22,D22*assumptions!$G$75,0),0)</f>
        <v>10344.008</v>
      </c>
      <c r="AQ22" s="19" t="n">
        <f aca="false">IF(AND(37&gt;=E22,OR(F22="",37&lt;=F22)),(D22*(1+assumptions!$G$76)^3/12*(1+assumptions!$G$70+assumptions!$G$71+IF(37&gt;=assumptions!$G$73,assumptions!$G$72,0))+assumptions!$G$74/12)+IF(37=E22,D22*assumptions!$G$75,0),0)</f>
        <v>10745.76832</v>
      </c>
      <c r="AR22" s="19" t="n">
        <f aca="false">IF(AND(38&gt;=E22,OR(F22="",38&lt;=F22)),(D22*(1+assumptions!$G$76)^3/12*(1+assumptions!$G$70+assumptions!$G$71+IF(38&gt;=assumptions!$G$73,assumptions!$G$72,0))+assumptions!$G$74/12)+IF(38=E22,D22*assumptions!$G$75,0),0)</f>
        <v>10745.76832</v>
      </c>
      <c r="AS22" s="19" t="n">
        <f aca="false">IF(AND(39&gt;=E22,OR(F22="",39&lt;=F22)),(D22*(1+assumptions!$G$76)^3/12*(1+assumptions!$G$70+assumptions!$G$71+IF(39&gt;=assumptions!$G$73,assumptions!$G$72,0))+assumptions!$G$74/12)+IF(39=E22,D22*assumptions!$G$75,0),0)</f>
        <v>10745.76832</v>
      </c>
      <c r="AT22" s="19" t="n">
        <f aca="false">IF(AND(40&gt;=E22,OR(F22="",40&lt;=F22)),(D22*(1+assumptions!$G$76)^3/12*(1+assumptions!$G$70+assumptions!$G$71+IF(40&gt;=assumptions!$G$73,assumptions!$G$72,0))+assumptions!$G$74/12)+IF(40=E22,D22*assumptions!$G$75,0),0)</f>
        <v>10745.76832</v>
      </c>
      <c r="AU22" s="19" t="n">
        <f aca="false">IF(AND(41&gt;=E22,OR(F22="",41&lt;=F22)),(D22*(1+assumptions!$G$76)^3/12*(1+assumptions!$G$70+assumptions!$G$71+IF(41&gt;=assumptions!$G$73,assumptions!$G$72,0))+assumptions!$G$74/12)+IF(41=E22,D22*assumptions!$G$75,0),0)</f>
        <v>10745.76832</v>
      </c>
      <c r="AV22" s="19" t="n">
        <f aca="false">IF(AND(42&gt;=E22,OR(F22="",42&lt;=F22)),(D22*(1+assumptions!$G$76)^3/12*(1+assumptions!$G$70+assumptions!$G$71+IF(42&gt;=assumptions!$G$73,assumptions!$G$72,0))+assumptions!$G$74/12)+IF(42=E22,D22*assumptions!$G$75,0),0)</f>
        <v>10745.76832</v>
      </c>
      <c r="AW22" s="19" t="n">
        <f aca="false">IF(AND(43&gt;=E22,OR(F22="",43&lt;=F22)),(D22*(1+assumptions!$G$76)^3/12*(1+assumptions!$G$70+assumptions!$G$71+IF(43&gt;=assumptions!$G$73,assumptions!$G$72,0))+assumptions!$G$74/12)+IF(43=E22,D22*assumptions!$G$75,0),0)</f>
        <v>10745.76832</v>
      </c>
      <c r="AX22" s="19" t="n">
        <f aca="false">IF(AND(44&gt;=E22,OR(F22="",44&lt;=F22)),(D22*(1+assumptions!$G$76)^3/12*(1+assumptions!$G$70+assumptions!$G$71+IF(44&gt;=assumptions!$G$73,assumptions!$G$72,0))+assumptions!$G$74/12)+IF(44=E22,D22*assumptions!$G$75,0),0)</f>
        <v>10745.76832</v>
      </c>
      <c r="AY22" s="19" t="n">
        <f aca="false">IF(AND(45&gt;=E22,OR(F22="",45&lt;=F22)),(D22*(1+assumptions!$G$76)^3/12*(1+assumptions!$G$70+assumptions!$G$71+IF(45&gt;=assumptions!$G$73,assumptions!$G$72,0))+assumptions!$G$74/12)+IF(45=E22,D22*assumptions!$G$75,0),0)</f>
        <v>10745.76832</v>
      </c>
      <c r="AZ22" s="19" t="n">
        <f aca="false">IF(AND(46&gt;=E22,OR(F22="",46&lt;=F22)),(D22*(1+assumptions!$G$76)^3/12*(1+assumptions!$G$70+assumptions!$G$71+IF(46&gt;=assumptions!$G$73,assumptions!$G$72,0))+assumptions!$G$74/12)+IF(46=E22,D22*assumptions!$G$75,0),0)</f>
        <v>10745.76832</v>
      </c>
      <c r="BA22" s="19" t="n">
        <f aca="false">IF(AND(47&gt;=E22,OR(F22="",47&lt;=F22)),(D22*(1+assumptions!$G$76)^3/12*(1+assumptions!$G$70+assumptions!$G$71+IF(47&gt;=assumptions!$G$73,assumptions!$G$72,0))+assumptions!$G$74/12)+IF(47=E22,D22*assumptions!$G$75,0),0)</f>
        <v>10745.76832</v>
      </c>
      <c r="BB22" s="19" t="n">
        <f aca="false">IF(AND(48&gt;=E22,OR(F22="",48&lt;=F22)),(D22*(1+assumptions!$G$76)^3/12*(1+assumptions!$G$70+assumptions!$G$71+IF(48&gt;=assumptions!$G$73,assumptions!$G$72,0))+assumptions!$G$74/12)+IF(48=E22,D22*assumptions!$G$75,0),0)</f>
        <v>10745.76832</v>
      </c>
      <c r="BC22" s="19" t="n">
        <f aca="false">IF(AND(49&gt;=E22,OR(F22="",49&lt;=F22)),(D22*(1+assumptions!$G$76)^4/12*(1+assumptions!$G$70+assumptions!$G$71+IF(49&gt;=assumptions!$G$73,assumptions!$G$72,0))+assumptions!$G$74/12)+IF(49=E22,D22*assumptions!$G$75,0),0)</f>
        <v>11163.5990528</v>
      </c>
      <c r="BD22" s="19" t="n">
        <f aca="false">IF(AND(50&gt;=E22,OR(F22="",50&lt;=F22)),(D22*(1+assumptions!$G$76)^4/12*(1+assumptions!$G$70+assumptions!$G$71+IF(50&gt;=assumptions!$G$73,assumptions!$G$72,0))+assumptions!$G$74/12)+IF(50=E22,D22*assumptions!$G$75,0),0)</f>
        <v>11163.5990528</v>
      </c>
      <c r="BE22" s="19" t="n">
        <f aca="false">IF(AND(51&gt;=E22,OR(F22="",51&lt;=F22)),(D22*(1+assumptions!$G$76)^4/12*(1+assumptions!$G$70+assumptions!$G$71+IF(51&gt;=assumptions!$G$73,assumptions!$G$72,0))+assumptions!$G$74/12)+IF(51=E22,D22*assumptions!$G$75,0),0)</f>
        <v>11163.5990528</v>
      </c>
      <c r="BF22" s="19" t="n">
        <f aca="false">IF(AND(52&gt;=E22,OR(F22="",52&lt;=F22)),(D22*(1+assumptions!$G$76)^4/12*(1+assumptions!$G$70+assumptions!$G$71+IF(52&gt;=assumptions!$G$73,assumptions!$G$72,0))+assumptions!$G$74/12)+IF(52=E22,D22*assumptions!$G$75,0),0)</f>
        <v>11163.5990528</v>
      </c>
      <c r="BG22" s="19" t="n">
        <f aca="false">IF(AND(53&gt;=E22,OR(F22="",53&lt;=F22)),(D22*(1+assumptions!$G$76)^4/12*(1+assumptions!$G$70+assumptions!$G$71+IF(53&gt;=assumptions!$G$73,assumptions!$G$72,0))+assumptions!$G$74/12)+IF(53=E22,D22*assumptions!$G$75,0),0)</f>
        <v>11163.5990528</v>
      </c>
      <c r="BH22" s="19" t="n">
        <f aca="false">IF(AND(54&gt;=E22,OR(F22="",54&lt;=F22)),(D22*(1+assumptions!$G$76)^4/12*(1+assumptions!$G$70+assumptions!$G$71+IF(54&gt;=assumptions!$G$73,assumptions!$G$72,0))+assumptions!$G$74/12)+IF(54=E22,D22*assumptions!$G$75,0),0)</f>
        <v>11163.5990528</v>
      </c>
      <c r="BI22" s="19" t="n">
        <f aca="false">IF(AND(55&gt;=E22,OR(F22="",55&lt;=F22)),(D22*(1+assumptions!$G$76)^4/12*(1+assumptions!$G$70+assumptions!$G$71+IF(55&gt;=assumptions!$G$73,assumptions!$G$72,0))+assumptions!$G$74/12)+IF(55=E22,D22*assumptions!$G$75,0),0)</f>
        <v>11163.5990528</v>
      </c>
      <c r="BJ22" s="19" t="n">
        <f aca="false">IF(AND(56&gt;=E22,OR(F22="",56&lt;=F22)),(D22*(1+assumptions!$G$76)^4/12*(1+assumptions!$G$70+assumptions!$G$71+IF(56&gt;=assumptions!$G$73,assumptions!$G$72,0))+assumptions!$G$74/12)+IF(56=E22,D22*assumptions!$G$75,0),0)</f>
        <v>11163.5990528</v>
      </c>
      <c r="BK22" s="19" t="n">
        <f aca="false">IF(AND(57&gt;=E22,OR(F22="",57&lt;=F22)),(D22*(1+assumptions!$G$76)^4/12*(1+assumptions!$G$70+assumptions!$G$71+IF(57&gt;=assumptions!$G$73,assumptions!$G$72,0))+assumptions!$G$74/12)+IF(57=E22,D22*assumptions!$G$75,0),0)</f>
        <v>11163.5990528</v>
      </c>
      <c r="BL22" s="19" t="n">
        <f aca="false">IF(AND(58&gt;=E22,OR(F22="",58&lt;=F22)),(D22*(1+assumptions!$G$76)^4/12*(1+assumptions!$G$70+assumptions!$G$71+IF(58&gt;=assumptions!$G$73,assumptions!$G$72,0))+assumptions!$G$74/12)+IF(58=E22,D22*assumptions!$G$75,0),0)</f>
        <v>11163.5990528</v>
      </c>
      <c r="BM22" s="19" t="n">
        <f aca="false">IF(AND(59&gt;=E22,OR(F22="",59&lt;=F22)),(D22*(1+assumptions!$G$76)^4/12*(1+assumptions!$G$70+assumptions!$G$71+IF(59&gt;=assumptions!$G$73,assumptions!$G$72,0))+assumptions!$G$74/12)+IF(59=E22,D22*assumptions!$G$75,0),0)</f>
        <v>11163.5990528</v>
      </c>
      <c r="BN22" s="19" t="n">
        <f aca="false">IF(AND(60&gt;=E22,OR(F22="",60&lt;=F22)),(D22*(1+assumptions!$G$76)^4/12*(1+assumptions!$G$70+assumptions!$G$71+IF(60&gt;=assumptions!$G$73,assumptions!$G$72,0))+assumptions!$G$74/12)+IF(60=E22,D22*assumptions!$G$75,0),0)</f>
        <v>11163.5990528</v>
      </c>
    </row>
    <row r="23" customFormat="false" ht="14.25" hidden="false" customHeight="false" outlineLevel="0" collapsed="false">
      <c r="A23" s="7" t="n">
        <v>20</v>
      </c>
      <c r="B23" s="7" t="s">
        <v>363</v>
      </c>
      <c r="C23" s="7" t="s">
        <v>345</v>
      </c>
      <c r="D23" s="17" t="n">
        <v>75000</v>
      </c>
      <c r="E23" s="49" t="n">
        <v>22</v>
      </c>
      <c r="F23" s="49"/>
      <c r="G23" s="19" t="n">
        <f aca="false">IF(AND(1&gt;=E23,OR(F23="",1&lt;=F23)),(D23*(1+assumptions!$G$76)^0/12*(1+assumptions!$G$70+assumptions!$G$71+IF(1&gt;=assumptions!$G$73,assumptions!$G$72,0))+assumptions!$G$74/12)+IF(1=E23,D23*assumptions!$G$75,0),0)</f>
        <v>0</v>
      </c>
      <c r="H23" s="19" t="n">
        <f aca="false">IF(AND(2&gt;=E23,OR(F23="",2&lt;=F23)),(D23*(1+assumptions!$G$76)^0/12*(1+assumptions!$G$70+assumptions!$G$71+IF(2&gt;=assumptions!$G$73,assumptions!$G$72,0))+assumptions!$G$74/12)+IF(2=E23,D23*assumptions!$G$75,0),0)</f>
        <v>0</v>
      </c>
      <c r="I23" s="19" t="n">
        <f aca="false">IF(AND(3&gt;=E23,OR(F23="",3&lt;=F23)),(D23*(1+assumptions!$G$76)^0/12*(1+assumptions!$G$70+assumptions!$G$71+IF(3&gt;=assumptions!$G$73,assumptions!$G$72,0))+assumptions!$G$74/12)+IF(3=E23,D23*assumptions!$G$75,0),0)</f>
        <v>0</v>
      </c>
      <c r="J23" s="19" t="n">
        <f aca="false">IF(AND(4&gt;=E23,OR(F23="",4&lt;=F23)),(D23*(1+assumptions!$G$76)^0/12*(1+assumptions!$G$70+assumptions!$G$71+IF(4&gt;=assumptions!$G$73,assumptions!$G$72,0))+assumptions!$G$74/12)+IF(4=E23,D23*assumptions!$G$75,0),0)</f>
        <v>0</v>
      </c>
      <c r="K23" s="19" t="n">
        <f aca="false">IF(AND(5&gt;=E23,OR(F23="",5&lt;=F23)),(D23*(1+assumptions!$G$76)^0/12*(1+assumptions!$G$70+assumptions!$G$71+IF(5&gt;=assumptions!$G$73,assumptions!$G$72,0))+assumptions!$G$74/12)+IF(5=E23,D23*assumptions!$G$75,0),0)</f>
        <v>0</v>
      </c>
      <c r="L23" s="19" t="n">
        <f aca="false">IF(AND(6&gt;=E23,OR(F23="",6&lt;=F23)),(D23*(1+assumptions!$G$76)^0/12*(1+assumptions!$G$70+assumptions!$G$71+IF(6&gt;=assumptions!$G$73,assumptions!$G$72,0))+assumptions!$G$74/12)+IF(6=E23,D23*assumptions!$G$75,0),0)</f>
        <v>0</v>
      </c>
      <c r="M23" s="19" t="n">
        <f aca="false">IF(AND(7&gt;=E23,OR(F23="",7&lt;=F23)),(D23*(1+assumptions!$G$76)^0/12*(1+assumptions!$G$70+assumptions!$G$71+IF(7&gt;=assumptions!$G$73,assumptions!$G$72,0))+assumptions!$G$74/12)+IF(7=E23,D23*assumptions!$G$75,0),0)</f>
        <v>0</v>
      </c>
      <c r="N23" s="19" t="n">
        <f aca="false">IF(AND(8&gt;=E23,OR(F23="",8&lt;=F23)),(D23*(1+assumptions!$G$76)^0/12*(1+assumptions!$G$70+assumptions!$G$71+IF(8&gt;=assumptions!$G$73,assumptions!$G$72,0))+assumptions!$G$74/12)+IF(8=E23,D23*assumptions!$G$75,0),0)</f>
        <v>0</v>
      </c>
      <c r="O23" s="19" t="n">
        <f aca="false">IF(AND(9&gt;=E23,OR(F23="",9&lt;=F23)),(D23*(1+assumptions!$G$76)^0/12*(1+assumptions!$G$70+assumptions!$G$71+IF(9&gt;=assumptions!$G$73,assumptions!$G$72,0))+assumptions!$G$74/12)+IF(9=E23,D23*assumptions!$G$75,0),0)</f>
        <v>0</v>
      </c>
      <c r="P23" s="19" t="n">
        <f aca="false">IF(AND(10&gt;=E23,OR(F23="",10&lt;=F23)),(D23*(1+assumptions!$G$76)^0/12*(1+assumptions!$G$70+assumptions!$G$71+IF(10&gt;=assumptions!$G$73,assumptions!$G$72,0))+assumptions!$G$74/12)+IF(10=E23,D23*assumptions!$G$75,0),0)</f>
        <v>0</v>
      </c>
      <c r="Q23" s="19" t="n">
        <f aca="false">IF(AND(11&gt;=E23,OR(F23="",11&lt;=F23)),(D23*(1+assumptions!$G$76)^0/12*(1+assumptions!$G$70+assumptions!$G$71+IF(11&gt;=assumptions!$G$73,assumptions!$G$72,0))+assumptions!$G$74/12)+IF(11=E23,D23*assumptions!$G$75,0),0)</f>
        <v>0</v>
      </c>
      <c r="R23" s="19" t="n">
        <f aca="false">IF(AND(12&gt;=E23,OR(F23="",12&lt;=F23)),(D23*(1+assumptions!$G$76)^0/12*(1+assumptions!$G$70+assumptions!$G$71+IF(12&gt;=assumptions!$G$73,assumptions!$G$72,0))+assumptions!$G$74/12)+IF(12=E23,D23*assumptions!$G$75,0),0)</f>
        <v>0</v>
      </c>
      <c r="S23" s="19" t="n">
        <f aca="false">IF(AND(13&gt;=E23,OR(F23="",13&lt;=F23)),(D23*(1+assumptions!$G$76)^1/12*(1+assumptions!$G$70+assumptions!$G$71+IF(13&gt;=assumptions!$G$73,assumptions!$G$72,0))+assumptions!$G$74/12)+IF(13=E23,D23*assumptions!$G$75,0),0)</f>
        <v>0</v>
      </c>
      <c r="T23" s="19" t="n">
        <f aca="false">IF(AND(14&gt;=E23,OR(F23="",14&lt;=F23)),(D23*(1+assumptions!$G$76)^1/12*(1+assumptions!$G$70+assumptions!$G$71+IF(14&gt;=assumptions!$G$73,assumptions!$G$72,0))+assumptions!$G$74/12)+IF(14=E23,D23*assumptions!$G$75,0),0)</f>
        <v>0</v>
      </c>
      <c r="U23" s="19" t="n">
        <f aca="false">IF(AND(15&gt;=E23,OR(F23="",15&lt;=F23)),(D23*(1+assumptions!$G$76)^1/12*(1+assumptions!$G$70+assumptions!$G$71+IF(15&gt;=assumptions!$G$73,assumptions!$G$72,0))+assumptions!$G$74/12)+IF(15=E23,D23*assumptions!$G$75,0),0)</f>
        <v>0</v>
      </c>
      <c r="V23" s="19" t="n">
        <f aca="false">IF(AND(16&gt;=E23,OR(F23="",16&lt;=F23)),(D23*(1+assumptions!$G$76)^1/12*(1+assumptions!$G$70+assumptions!$G$71+IF(16&gt;=assumptions!$G$73,assumptions!$G$72,0))+assumptions!$G$74/12)+IF(16=E23,D23*assumptions!$G$75,0),0)</f>
        <v>0</v>
      </c>
      <c r="W23" s="19" t="n">
        <f aca="false">IF(AND(17&gt;=E23,OR(F23="",17&lt;=F23)),(D23*(1+assumptions!$G$76)^1/12*(1+assumptions!$G$70+assumptions!$G$71+IF(17&gt;=assumptions!$G$73,assumptions!$G$72,0))+assumptions!$G$74/12)+IF(17=E23,D23*assumptions!$G$75,0),0)</f>
        <v>0</v>
      </c>
      <c r="X23" s="19" t="n">
        <f aca="false">IF(AND(18&gt;=E23,OR(F23="",18&lt;=F23)),(D23*(1+assumptions!$G$76)^1/12*(1+assumptions!$G$70+assumptions!$G$71+IF(18&gt;=assumptions!$G$73,assumptions!$G$72,0))+assumptions!$G$74/12)+IF(18=E23,D23*assumptions!$G$75,0),0)</f>
        <v>0</v>
      </c>
      <c r="Y23" s="19" t="n">
        <f aca="false">IF(AND(19&gt;=E23,OR(F23="",19&lt;=F23)),(D23*(1+assumptions!$G$76)^1/12*(1+assumptions!$G$70+assumptions!$G$71+IF(19&gt;=assumptions!$G$73,assumptions!$G$72,0))+assumptions!$G$74/12)+IF(19=E23,D23*assumptions!$G$75,0),0)</f>
        <v>0</v>
      </c>
      <c r="Z23" s="19" t="n">
        <f aca="false">IF(AND(20&gt;=E23,OR(F23="",20&lt;=F23)),(D23*(1+assumptions!$G$76)^1/12*(1+assumptions!$G$70+assumptions!$G$71+IF(20&gt;=assumptions!$G$73,assumptions!$G$72,0))+assumptions!$G$74/12)+IF(20=E23,D23*assumptions!$G$75,0),0)</f>
        <v>0</v>
      </c>
      <c r="AA23" s="19" t="n">
        <f aca="false">IF(AND(21&gt;=E23,OR(F23="",21&lt;=F23)),(D23*(1+assumptions!$G$76)^1/12*(1+assumptions!$G$70+assumptions!$G$71+IF(21&gt;=assumptions!$G$73,assumptions!$G$72,0))+assumptions!$G$74/12)+IF(21=E23,D23*assumptions!$G$75,0),0)</f>
        <v>0</v>
      </c>
      <c r="AB23" s="19" t="n">
        <f aca="false">IF(AND(22&gt;=E23,OR(F23="",22&lt;=F23)),(D23*(1+assumptions!$G$76)^1/12*(1+assumptions!$G$70+assumptions!$G$71+IF(22&gt;=assumptions!$G$73,assumptions!$G$72,0))+assumptions!$G$74/12)+IF(22=E23,D23*assumptions!$G$75,0),0)</f>
        <v>19142</v>
      </c>
      <c r="AC23" s="19" t="n">
        <f aca="false">IF(AND(23&gt;=E23,OR(F23="",23&lt;=F23)),(D23*(1+assumptions!$G$76)^1/12*(1+assumptions!$G$70+assumptions!$G$71+IF(23&gt;=assumptions!$G$73,assumptions!$G$72,0))+assumptions!$G$74/12)+IF(23=E23,D23*assumptions!$G$75,0),0)</f>
        <v>7892</v>
      </c>
      <c r="AD23" s="19" t="n">
        <f aca="false">IF(AND(24&gt;=E23,OR(F23="",24&lt;=F23)),(D23*(1+assumptions!$G$76)^1/12*(1+assumptions!$G$70+assumptions!$G$71+IF(24&gt;=assumptions!$G$73,assumptions!$G$72,0))+assumptions!$G$74/12)+IF(24=E23,D23*assumptions!$G$75,0),0)</f>
        <v>7924.5</v>
      </c>
      <c r="AE23" s="19" t="n">
        <f aca="false">IF(AND(25&gt;=E23,OR(F23="",25&lt;=F23)),(D23*(1+assumptions!$G$76)^2/12*(1+assumptions!$G$70+assumptions!$G$71+IF(25&gt;=assumptions!$G$73,assumptions!$G$72,0))+assumptions!$G$74/12)+IF(25=E23,D23*assumptions!$G$75,0),0)</f>
        <v>8229.48</v>
      </c>
      <c r="AF23" s="19" t="n">
        <f aca="false">IF(AND(26&gt;=E23,OR(F23="",26&lt;=F23)),(D23*(1+assumptions!$G$76)^2/12*(1+assumptions!$G$70+assumptions!$G$71+IF(26&gt;=assumptions!$G$73,assumptions!$G$72,0))+assumptions!$G$74/12)+IF(26=E23,D23*assumptions!$G$75,0),0)</f>
        <v>8229.48</v>
      </c>
      <c r="AG23" s="19" t="n">
        <f aca="false">IF(AND(27&gt;=E23,OR(F23="",27&lt;=F23)),(D23*(1+assumptions!$G$76)^2/12*(1+assumptions!$G$70+assumptions!$G$71+IF(27&gt;=assumptions!$G$73,assumptions!$G$72,0))+assumptions!$G$74/12)+IF(27=E23,D23*assumptions!$G$75,0),0)</f>
        <v>8229.48</v>
      </c>
      <c r="AH23" s="19" t="n">
        <f aca="false">IF(AND(28&gt;=E23,OR(F23="",28&lt;=F23)),(D23*(1+assumptions!$G$76)^2/12*(1+assumptions!$G$70+assumptions!$G$71+IF(28&gt;=assumptions!$G$73,assumptions!$G$72,0))+assumptions!$G$74/12)+IF(28=E23,D23*assumptions!$G$75,0),0)</f>
        <v>8229.48</v>
      </c>
      <c r="AI23" s="19" t="n">
        <f aca="false">IF(AND(29&gt;=E23,OR(F23="",29&lt;=F23)),(D23*(1+assumptions!$G$76)^2/12*(1+assumptions!$G$70+assumptions!$G$71+IF(29&gt;=assumptions!$G$73,assumptions!$G$72,0))+assumptions!$G$74/12)+IF(29=E23,D23*assumptions!$G$75,0),0)</f>
        <v>8229.48</v>
      </c>
      <c r="AJ23" s="19" t="n">
        <f aca="false">IF(AND(30&gt;=E23,OR(F23="",30&lt;=F23)),(D23*(1+assumptions!$G$76)^2/12*(1+assumptions!$G$70+assumptions!$G$71+IF(30&gt;=assumptions!$G$73,assumptions!$G$72,0))+assumptions!$G$74/12)+IF(30=E23,D23*assumptions!$G$75,0),0)</f>
        <v>8229.48</v>
      </c>
      <c r="AK23" s="19" t="n">
        <f aca="false">IF(AND(31&gt;=E23,OR(F23="",31&lt;=F23)),(D23*(1+assumptions!$G$76)^2/12*(1+assumptions!$G$70+assumptions!$G$71+IF(31&gt;=assumptions!$G$73,assumptions!$G$72,0))+assumptions!$G$74/12)+IF(31=E23,D23*assumptions!$G$75,0),0)</f>
        <v>8229.48</v>
      </c>
      <c r="AL23" s="19" t="n">
        <f aca="false">IF(AND(32&gt;=E23,OR(F23="",32&lt;=F23)),(D23*(1+assumptions!$G$76)^2/12*(1+assumptions!$G$70+assumptions!$G$71+IF(32&gt;=assumptions!$G$73,assumptions!$G$72,0))+assumptions!$G$74/12)+IF(32=E23,D23*assumptions!$G$75,0),0)</f>
        <v>8229.48</v>
      </c>
      <c r="AM23" s="19" t="n">
        <f aca="false">IF(AND(33&gt;=E23,OR(F23="",33&lt;=F23)),(D23*(1+assumptions!$G$76)^2/12*(1+assumptions!$G$70+assumptions!$G$71+IF(33&gt;=assumptions!$G$73,assumptions!$G$72,0))+assumptions!$G$74/12)+IF(33=E23,D23*assumptions!$G$75,0),0)</f>
        <v>8229.48</v>
      </c>
      <c r="AN23" s="19" t="n">
        <f aca="false">IF(AND(34&gt;=E23,OR(F23="",34&lt;=F23)),(D23*(1+assumptions!$G$76)^2/12*(1+assumptions!$G$70+assumptions!$G$71+IF(34&gt;=assumptions!$G$73,assumptions!$G$72,0))+assumptions!$G$74/12)+IF(34=E23,D23*assumptions!$G$75,0),0)</f>
        <v>8229.48</v>
      </c>
      <c r="AO23" s="19" t="n">
        <f aca="false">IF(AND(35&gt;=E23,OR(F23="",35&lt;=F23)),(D23*(1+assumptions!$G$76)^2/12*(1+assumptions!$G$70+assumptions!$G$71+IF(35&gt;=assumptions!$G$73,assumptions!$G$72,0))+assumptions!$G$74/12)+IF(35=E23,D23*assumptions!$G$75,0),0)</f>
        <v>8229.48</v>
      </c>
      <c r="AP23" s="19" t="n">
        <f aca="false">IF(AND(36&gt;=E23,OR(F23="",36&lt;=F23)),(D23*(1+assumptions!$G$76)^2/12*(1+assumptions!$G$70+assumptions!$G$71+IF(36&gt;=assumptions!$G$73,assumptions!$G$72,0))+assumptions!$G$74/12)+IF(36=E23,D23*assumptions!$G$75,0),0)</f>
        <v>8229.48</v>
      </c>
      <c r="AQ23" s="19" t="n">
        <f aca="false">IF(AND(37&gt;=E23,OR(F23="",37&lt;=F23)),(D23*(1+assumptions!$G$76)^3/12*(1+assumptions!$G$70+assumptions!$G$71+IF(37&gt;=assumptions!$G$73,assumptions!$G$72,0))+assumptions!$G$74/12)+IF(37=E23,D23*assumptions!$G$75,0),0)</f>
        <v>8546.6592</v>
      </c>
      <c r="AR23" s="19" t="n">
        <f aca="false">IF(AND(38&gt;=E23,OR(F23="",38&lt;=F23)),(D23*(1+assumptions!$G$76)^3/12*(1+assumptions!$G$70+assumptions!$G$71+IF(38&gt;=assumptions!$G$73,assumptions!$G$72,0))+assumptions!$G$74/12)+IF(38=E23,D23*assumptions!$G$75,0),0)</f>
        <v>8546.6592</v>
      </c>
      <c r="AS23" s="19" t="n">
        <f aca="false">IF(AND(39&gt;=E23,OR(F23="",39&lt;=F23)),(D23*(1+assumptions!$G$76)^3/12*(1+assumptions!$G$70+assumptions!$G$71+IF(39&gt;=assumptions!$G$73,assumptions!$G$72,0))+assumptions!$G$74/12)+IF(39=E23,D23*assumptions!$G$75,0),0)</f>
        <v>8546.6592</v>
      </c>
      <c r="AT23" s="19" t="n">
        <f aca="false">IF(AND(40&gt;=E23,OR(F23="",40&lt;=F23)),(D23*(1+assumptions!$G$76)^3/12*(1+assumptions!$G$70+assumptions!$G$71+IF(40&gt;=assumptions!$G$73,assumptions!$G$72,0))+assumptions!$G$74/12)+IF(40=E23,D23*assumptions!$G$75,0),0)</f>
        <v>8546.6592</v>
      </c>
      <c r="AU23" s="19" t="n">
        <f aca="false">IF(AND(41&gt;=E23,OR(F23="",41&lt;=F23)),(D23*(1+assumptions!$G$76)^3/12*(1+assumptions!$G$70+assumptions!$G$71+IF(41&gt;=assumptions!$G$73,assumptions!$G$72,0))+assumptions!$G$74/12)+IF(41=E23,D23*assumptions!$G$75,0),0)</f>
        <v>8546.6592</v>
      </c>
      <c r="AV23" s="19" t="n">
        <f aca="false">IF(AND(42&gt;=E23,OR(F23="",42&lt;=F23)),(D23*(1+assumptions!$G$76)^3/12*(1+assumptions!$G$70+assumptions!$G$71+IF(42&gt;=assumptions!$G$73,assumptions!$G$72,0))+assumptions!$G$74/12)+IF(42=E23,D23*assumptions!$G$75,0),0)</f>
        <v>8546.6592</v>
      </c>
      <c r="AW23" s="19" t="n">
        <f aca="false">IF(AND(43&gt;=E23,OR(F23="",43&lt;=F23)),(D23*(1+assumptions!$G$76)^3/12*(1+assumptions!$G$70+assumptions!$G$71+IF(43&gt;=assumptions!$G$73,assumptions!$G$72,0))+assumptions!$G$74/12)+IF(43=E23,D23*assumptions!$G$75,0),0)</f>
        <v>8546.6592</v>
      </c>
      <c r="AX23" s="19" t="n">
        <f aca="false">IF(AND(44&gt;=E23,OR(F23="",44&lt;=F23)),(D23*(1+assumptions!$G$76)^3/12*(1+assumptions!$G$70+assumptions!$G$71+IF(44&gt;=assumptions!$G$73,assumptions!$G$72,0))+assumptions!$G$74/12)+IF(44=E23,D23*assumptions!$G$75,0),0)</f>
        <v>8546.6592</v>
      </c>
      <c r="AY23" s="19" t="n">
        <f aca="false">IF(AND(45&gt;=E23,OR(F23="",45&lt;=F23)),(D23*(1+assumptions!$G$76)^3/12*(1+assumptions!$G$70+assumptions!$G$71+IF(45&gt;=assumptions!$G$73,assumptions!$G$72,0))+assumptions!$G$74/12)+IF(45=E23,D23*assumptions!$G$75,0),0)</f>
        <v>8546.6592</v>
      </c>
      <c r="AZ23" s="19" t="n">
        <f aca="false">IF(AND(46&gt;=E23,OR(F23="",46&lt;=F23)),(D23*(1+assumptions!$G$76)^3/12*(1+assumptions!$G$70+assumptions!$G$71+IF(46&gt;=assumptions!$G$73,assumptions!$G$72,0))+assumptions!$G$74/12)+IF(46=E23,D23*assumptions!$G$75,0),0)</f>
        <v>8546.6592</v>
      </c>
      <c r="BA23" s="19" t="n">
        <f aca="false">IF(AND(47&gt;=E23,OR(F23="",47&lt;=F23)),(D23*(1+assumptions!$G$76)^3/12*(1+assumptions!$G$70+assumptions!$G$71+IF(47&gt;=assumptions!$G$73,assumptions!$G$72,0))+assumptions!$G$74/12)+IF(47=E23,D23*assumptions!$G$75,0),0)</f>
        <v>8546.6592</v>
      </c>
      <c r="BB23" s="19" t="n">
        <f aca="false">IF(AND(48&gt;=E23,OR(F23="",48&lt;=F23)),(D23*(1+assumptions!$G$76)^3/12*(1+assumptions!$G$70+assumptions!$G$71+IF(48&gt;=assumptions!$G$73,assumptions!$G$72,0))+assumptions!$G$74/12)+IF(48=E23,D23*assumptions!$G$75,0),0)</f>
        <v>8546.6592</v>
      </c>
      <c r="BC23" s="19" t="n">
        <f aca="false">IF(AND(49&gt;=E23,OR(F23="",49&lt;=F23)),(D23*(1+assumptions!$G$76)^4/12*(1+assumptions!$G$70+assumptions!$G$71+IF(49&gt;=assumptions!$G$73,assumptions!$G$72,0))+assumptions!$G$74/12)+IF(49=E23,D23*assumptions!$G$75,0),0)</f>
        <v>8876.525568</v>
      </c>
      <c r="BD23" s="19" t="n">
        <f aca="false">IF(AND(50&gt;=E23,OR(F23="",50&lt;=F23)),(D23*(1+assumptions!$G$76)^4/12*(1+assumptions!$G$70+assumptions!$G$71+IF(50&gt;=assumptions!$G$73,assumptions!$G$72,0))+assumptions!$G$74/12)+IF(50=E23,D23*assumptions!$G$75,0),0)</f>
        <v>8876.525568</v>
      </c>
      <c r="BE23" s="19" t="n">
        <f aca="false">IF(AND(51&gt;=E23,OR(F23="",51&lt;=F23)),(D23*(1+assumptions!$G$76)^4/12*(1+assumptions!$G$70+assumptions!$G$71+IF(51&gt;=assumptions!$G$73,assumptions!$G$72,0))+assumptions!$G$74/12)+IF(51=E23,D23*assumptions!$G$75,0),0)</f>
        <v>8876.525568</v>
      </c>
      <c r="BF23" s="19" t="n">
        <f aca="false">IF(AND(52&gt;=E23,OR(F23="",52&lt;=F23)),(D23*(1+assumptions!$G$76)^4/12*(1+assumptions!$G$70+assumptions!$G$71+IF(52&gt;=assumptions!$G$73,assumptions!$G$72,0))+assumptions!$G$74/12)+IF(52=E23,D23*assumptions!$G$75,0),0)</f>
        <v>8876.525568</v>
      </c>
      <c r="BG23" s="19" t="n">
        <f aca="false">IF(AND(53&gt;=E23,OR(F23="",53&lt;=F23)),(D23*(1+assumptions!$G$76)^4/12*(1+assumptions!$G$70+assumptions!$G$71+IF(53&gt;=assumptions!$G$73,assumptions!$G$72,0))+assumptions!$G$74/12)+IF(53=E23,D23*assumptions!$G$75,0),0)</f>
        <v>8876.525568</v>
      </c>
      <c r="BH23" s="19" t="n">
        <f aca="false">IF(AND(54&gt;=E23,OR(F23="",54&lt;=F23)),(D23*(1+assumptions!$G$76)^4/12*(1+assumptions!$G$70+assumptions!$G$71+IF(54&gt;=assumptions!$G$73,assumptions!$G$72,0))+assumptions!$G$74/12)+IF(54=E23,D23*assumptions!$G$75,0),0)</f>
        <v>8876.525568</v>
      </c>
      <c r="BI23" s="19" t="n">
        <f aca="false">IF(AND(55&gt;=E23,OR(F23="",55&lt;=F23)),(D23*(1+assumptions!$G$76)^4/12*(1+assumptions!$G$70+assumptions!$G$71+IF(55&gt;=assumptions!$G$73,assumptions!$G$72,0))+assumptions!$G$74/12)+IF(55=E23,D23*assumptions!$G$75,0),0)</f>
        <v>8876.525568</v>
      </c>
      <c r="BJ23" s="19" t="n">
        <f aca="false">IF(AND(56&gt;=E23,OR(F23="",56&lt;=F23)),(D23*(1+assumptions!$G$76)^4/12*(1+assumptions!$G$70+assumptions!$G$71+IF(56&gt;=assumptions!$G$73,assumptions!$G$72,0))+assumptions!$G$74/12)+IF(56=E23,D23*assumptions!$G$75,0),0)</f>
        <v>8876.525568</v>
      </c>
      <c r="BK23" s="19" t="n">
        <f aca="false">IF(AND(57&gt;=E23,OR(F23="",57&lt;=F23)),(D23*(1+assumptions!$G$76)^4/12*(1+assumptions!$G$70+assumptions!$G$71+IF(57&gt;=assumptions!$G$73,assumptions!$G$72,0))+assumptions!$G$74/12)+IF(57=E23,D23*assumptions!$G$75,0),0)</f>
        <v>8876.525568</v>
      </c>
      <c r="BL23" s="19" t="n">
        <f aca="false">IF(AND(58&gt;=E23,OR(F23="",58&lt;=F23)),(D23*(1+assumptions!$G$76)^4/12*(1+assumptions!$G$70+assumptions!$G$71+IF(58&gt;=assumptions!$G$73,assumptions!$G$72,0))+assumptions!$G$74/12)+IF(58=E23,D23*assumptions!$G$75,0),0)</f>
        <v>8876.525568</v>
      </c>
      <c r="BM23" s="19" t="n">
        <f aca="false">IF(AND(59&gt;=E23,OR(F23="",59&lt;=F23)),(D23*(1+assumptions!$G$76)^4/12*(1+assumptions!$G$70+assumptions!$G$71+IF(59&gt;=assumptions!$G$73,assumptions!$G$72,0))+assumptions!$G$74/12)+IF(59=E23,D23*assumptions!$G$75,0),0)</f>
        <v>8876.525568</v>
      </c>
      <c r="BN23" s="19" t="n">
        <f aca="false">IF(AND(60&gt;=E23,OR(F23="",60&lt;=F23)),(D23*(1+assumptions!$G$76)^4/12*(1+assumptions!$G$70+assumptions!$G$71+IF(60&gt;=assumptions!$G$73,assumptions!$G$72,0))+assumptions!$G$74/12)+IF(60=E23,D23*assumptions!$G$75,0),0)</f>
        <v>8876.525568</v>
      </c>
    </row>
    <row r="24" customFormat="false" ht="14.25" hidden="false" customHeight="false" outlineLevel="0" collapsed="false">
      <c r="A24" s="7" t="n">
        <v>21</v>
      </c>
      <c r="B24" s="7" t="s">
        <v>364</v>
      </c>
      <c r="C24" s="7" t="s">
        <v>342</v>
      </c>
      <c r="D24" s="17" t="n">
        <v>95000</v>
      </c>
      <c r="E24" s="49" t="n">
        <v>24</v>
      </c>
      <c r="F24" s="49"/>
      <c r="G24" s="19" t="n">
        <f aca="false">IF(AND(1&gt;=E24,OR(F24="",1&lt;=F24)),(D24*(1+assumptions!$G$76)^0/12*(1+assumptions!$G$70+assumptions!$G$71+IF(1&gt;=assumptions!$G$73,assumptions!$G$72,0))+assumptions!$G$74/12)+IF(1=E24,D24*assumptions!$G$75,0),0)</f>
        <v>0</v>
      </c>
      <c r="H24" s="19" t="n">
        <f aca="false">IF(AND(2&gt;=E24,OR(F24="",2&lt;=F24)),(D24*(1+assumptions!$G$76)^0/12*(1+assumptions!$G$70+assumptions!$G$71+IF(2&gt;=assumptions!$G$73,assumptions!$G$72,0))+assumptions!$G$74/12)+IF(2=E24,D24*assumptions!$G$75,0),0)</f>
        <v>0</v>
      </c>
      <c r="I24" s="19" t="n">
        <f aca="false">IF(AND(3&gt;=E24,OR(F24="",3&lt;=F24)),(D24*(1+assumptions!$G$76)^0/12*(1+assumptions!$G$70+assumptions!$G$71+IF(3&gt;=assumptions!$G$73,assumptions!$G$72,0))+assumptions!$G$74/12)+IF(3=E24,D24*assumptions!$G$75,0),0)</f>
        <v>0</v>
      </c>
      <c r="J24" s="19" t="n">
        <f aca="false">IF(AND(4&gt;=E24,OR(F24="",4&lt;=F24)),(D24*(1+assumptions!$G$76)^0/12*(1+assumptions!$G$70+assumptions!$G$71+IF(4&gt;=assumptions!$G$73,assumptions!$G$72,0))+assumptions!$G$74/12)+IF(4=E24,D24*assumptions!$G$75,0),0)</f>
        <v>0</v>
      </c>
      <c r="K24" s="19" t="n">
        <f aca="false">IF(AND(5&gt;=E24,OR(F24="",5&lt;=F24)),(D24*(1+assumptions!$G$76)^0/12*(1+assumptions!$G$70+assumptions!$G$71+IF(5&gt;=assumptions!$G$73,assumptions!$G$72,0))+assumptions!$G$74/12)+IF(5=E24,D24*assumptions!$G$75,0),0)</f>
        <v>0</v>
      </c>
      <c r="L24" s="19" t="n">
        <f aca="false">IF(AND(6&gt;=E24,OR(F24="",6&lt;=F24)),(D24*(1+assumptions!$G$76)^0/12*(1+assumptions!$G$70+assumptions!$G$71+IF(6&gt;=assumptions!$G$73,assumptions!$G$72,0))+assumptions!$G$74/12)+IF(6=E24,D24*assumptions!$G$75,0),0)</f>
        <v>0</v>
      </c>
      <c r="M24" s="19" t="n">
        <f aca="false">IF(AND(7&gt;=E24,OR(F24="",7&lt;=F24)),(D24*(1+assumptions!$G$76)^0/12*(1+assumptions!$G$70+assumptions!$G$71+IF(7&gt;=assumptions!$G$73,assumptions!$G$72,0))+assumptions!$G$74/12)+IF(7=E24,D24*assumptions!$G$75,0),0)</f>
        <v>0</v>
      </c>
      <c r="N24" s="19" t="n">
        <f aca="false">IF(AND(8&gt;=E24,OR(F24="",8&lt;=F24)),(D24*(1+assumptions!$G$76)^0/12*(1+assumptions!$G$70+assumptions!$G$71+IF(8&gt;=assumptions!$G$73,assumptions!$G$72,0))+assumptions!$G$74/12)+IF(8=E24,D24*assumptions!$G$75,0),0)</f>
        <v>0</v>
      </c>
      <c r="O24" s="19" t="n">
        <f aca="false">IF(AND(9&gt;=E24,OR(F24="",9&lt;=F24)),(D24*(1+assumptions!$G$76)^0/12*(1+assumptions!$G$70+assumptions!$G$71+IF(9&gt;=assumptions!$G$73,assumptions!$G$72,0))+assumptions!$G$74/12)+IF(9=E24,D24*assumptions!$G$75,0),0)</f>
        <v>0</v>
      </c>
      <c r="P24" s="19" t="n">
        <f aca="false">IF(AND(10&gt;=E24,OR(F24="",10&lt;=F24)),(D24*(1+assumptions!$G$76)^0/12*(1+assumptions!$G$70+assumptions!$G$71+IF(10&gt;=assumptions!$G$73,assumptions!$G$72,0))+assumptions!$G$74/12)+IF(10=E24,D24*assumptions!$G$75,0),0)</f>
        <v>0</v>
      </c>
      <c r="Q24" s="19" t="n">
        <f aca="false">IF(AND(11&gt;=E24,OR(F24="",11&lt;=F24)),(D24*(1+assumptions!$G$76)^0/12*(1+assumptions!$G$70+assumptions!$G$71+IF(11&gt;=assumptions!$G$73,assumptions!$G$72,0))+assumptions!$G$74/12)+IF(11=E24,D24*assumptions!$G$75,0),0)</f>
        <v>0</v>
      </c>
      <c r="R24" s="19" t="n">
        <f aca="false">IF(AND(12&gt;=E24,OR(F24="",12&lt;=F24)),(D24*(1+assumptions!$G$76)^0/12*(1+assumptions!$G$70+assumptions!$G$71+IF(12&gt;=assumptions!$G$73,assumptions!$G$72,0))+assumptions!$G$74/12)+IF(12=E24,D24*assumptions!$G$75,0),0)</f>
        <v>0</v>
      </c>
      <c r="S24" s="19" t="n">
        <f aca="false">IF(AND(13&gt;=E24,OR(F24="",13&lt;=F24)),(D24*(1+assumptions!$G$76)^1/12*(1+assumptions!$G$70+assumptions!$G$71+IF(13&gt;=assumptions!$G$73,assumptions!$G$72,0))+assumptions!$G$74/12)+IF(13=E24,D24*assumptions!$G$75,0),0)</f>
        <v>0</v>
      </c>
      <c r="T24" s="19" t="n">
        <f aca="false">IF(AND(14&gt;=E24,OR(F24="",14&lt;=F24)),(D24*(1+assumptions!$G$76)^1/12*(1+assumptions!$G$70+assumptions!$G$71+IF(14&gt;=assumptions!$G$73,assumptions!$G$72,0))+assumptions!$G$74/12)+IF(14=E24,D24*assumptions!$G$75,0),0)</f>
        <v>0</v>
      </c>
      <c r="U24" s="19" t="n">
        <f aca="false">IF(AND(15&gt;=E24,OR(F24="",15&lt;=F24)),(D24*(1+assumptions!$G$76)^1/12*(1+assumptions!$G$70+assumptions!$G$71+IF(15&gt;=assumptions!$G$73,assumptions!$G$72,0))+assumptions!$G$74/12)+IF(15=E24,D24*assumptions!$G$75,0),0)</f>
        <v>0</v>
      </c>
      <c r="V24" s="19" t="n">
        <f aca="false">IF(AND(16&gt;=E24,OR(F24="",16&lt;=F24)),(D24*(1+assumptions!$G$76)^1/12*(1+assumptions!$G$70+assumptions!$G$71+IF(16&gt;=assumptions!$G$73,assumptions!$G$72,0))+assumptions!$G$74/12)+IF(16=E24,D24*assumptions!$G$75,0),0)</f>
        <v>0</v>
      </c>
      <c r="W24" s="19" t="n">
        <f aca="false">IF(AND(17&gt;=E24,OR(F24="",17&lt;=F24)),(D24*(1+assumptions!$G$76)^1/12*(1+assumptions!$G$70+assumptions!$G$71+IF(17&gt;=assumptions!$G$73,assumptions!$G$72,0))+assumptions!$G$74/12)+IF(17=E24,D24*assumptions!$G$75,0),0)</f>
        <v>0</v>
      </c>
      <c r="X24" s="19" t="n">
        <f aca="false">IF(AND(18&gt;=E24,OR(F24="",18&lt;=F24)),(D24*(1+assumptions!$G$76)^1/12*(1+assumptions!$G$70+assumptions!$G$71+IF(18&gt;=assumptions!$G$73,assumptions!$G$72,0))+assumptions!$G$74/12)+IF(18=E24,D24*assumptions!$G$75,0),0)</f>
        <v>0</v>
      </c>
      <c r="Y24" s="19" t="n">
        <f aca="false">IF(AND(19&gt;=E24,OR(F24="",19&lt;=F24)),(D24*(1+assumptions!$G$76)^1/12*(1+assumptions!$G$70+assumptions!$G$71+IF(19&gt;=assumptions!$G$73,assumptions!$G$72,0))+assumptions!$G$74/12)+IF(19=E24,D24*assumptions!$G$75,0),0)</f>
        <v>0</v>
      </c>
      <c r="Z24" s="19" t="n">
        <f aca="false">IF(AND(20&gt;=E24,OR(F24="",20&lt;=F24)),(D24*(1+assumptions!$G$76)^1/12*(1+assumptions!$G$70+assumptions!$G$71+IF(20&gt;=assumptions!$G$73,assumptions!$G$72,0))+assumptions!$G$74/12)+IF(20=E24,D24*assumptions!$G$75,0),0)</f>
        <v>0</v>
      </c>
      <c r="AA24" s="19" t="n">
        <f aca="false">IF(AND(21&gt;=E24,OR(F24="",21&lt;=F24)),(D24*(1+assumptions!$G$76)^1/12*(1+assumptions!$G$70+assumptions!$G$71+IF(21&gt;=assumptions!$G$73,assumptions!$G$72,0))+assumptions!$G$74/12)+IF(21=E24,D24*assumptions!$G$75,0),0)</f>
        <v>0</v>
      </c>
      <c r="AB24" s="19" t="n">
        <f aca="false">IF(AND(22&gt;=E24,OR(F24="",22&lt;=F24)),(D24*(1+assumptions!$G$76)^1/12*(1+assumptions!$G$70+assumptions!$G$71+IF(22&gt;=assumptions!$G$73,assumptions!$G$72,0))+assumptions!$G$74/12)+IF(22=E24,D24*assumptions!$G$75,0),0)</f>
        <v>0</v>
      </c>
      <c r="AC24" s="19" t="n">
        <f aca="false">IF(AND(23&gt;=E24,OR(F24="",23&lt;=F24)),(D24*(1+assumptions!$G$76)^1/12*(1+assumptions!$G$70+assumptions!$G$71+IF(23&gt;=assumptions!$G$73,assumptions!$G$72,0))+assumptions!$G$74/12)+IF(23=E24,D24*assumptions!$G$75,0),0)</f>
        <v>0</v>
      </c>
      <c r="AD24" s="19" t="n">
        <f aca="false">IF(AND(24&gt;=E24,OR(F24="",24&lt;=F24)),(D24*(1+assumptions!$G$76)^1/12*(1+assumptions!$G$70+assumptions!$G$71+IF(24&gt;=assumptions!$G$73,assumptions!$G$72,0))+assumptions!$G$74/12)+IF(24=E24,D24*assumptions!$G$75,0),0)</f>
        <v>24207.7</v>
      </c>
      <c r="AE24" s="19" t="n">
        <f aca="false">IF(AND(25&gt;=E24,OR(F24="",25&lt;=F24)),(D24*(1+assumptions!$G$76)^2/12*(1+assumptions!$G$70+assumptions!$G$71+IF(25&gt;=assumptions!$G$73,assumptions!$G$72,0))+assumptions!$G$74/12)+IF(25=E24,D24*assumptions!$G$75,0),0)</f>
        <v>10344.008</v>
      </c>
      <c r="AF24" s="19" t="n">
        <f aca="false">IF(AND(26&gt;=E24,OR(F24="",26&lt;=F24)),(D24*(1+assumptions!$G$76)^2/12*(1+assumptions!$G$70+assumptions!$G$71+IF(26&gt;=assumptions!$G$73,assumptions!$G$72,0))+assumptions!$G$74/12)+IF(26=E24,D24*assumptions!$G$75,0),0)</f>
        <v>10344.008</v>
      </c>
      <c r="AG24" s="19" t="n">
        <f aca="false">IF(AND(27&gt;=E24,OR(F24="",27&lt;=F24)),(D24*(1+assumptions!$G$76)^2/12*(1+assumptions!$G$70+assumptions!$G$71+IF(27&gt;=assumptions!$G$73,assumptions!$G$72,0))+assumptions!$G$74/12)+IF(27=E24,D24*assumptions!$G$75,0),0)</f>
        <v>10344.008</v>
      </c>
      <c r="AH24" s="19" t="n">
        <f aca="false">IF(AND(28&gt;=E24,OR(F24="",28&lt;=F24)),(D24*(1+assumptions!$G$76)^2/12*(1+assumptions!$G$70+assumptions!$G$71+IF(28&gt;=assumptions!$G$73,assumptions!$G$72,0))+assumptions!$G$74/12)+IF(28=E24,D24*assumptions!$G$75,0),0)</f>
        <v>10344.008</v>
      </c>
      <c r="AI24" s="19" t="n">
        <f aca="false">IF(AND(29&gt;=E24,OR(F24="",29&lt;=F24)),(D24*(1+assumptions!$G$76)^2/12*(1+assumptions!$G$70+assumptions!$G$71+IF(29&gt;=assumptions!$G$73,assumptions!$G$72,0))+assumptions!$G$74/12)+IF(29=E24,D24*assumptions!$G$75,0),0)</f>
        <v>10344.008</v>
      </c>
      <c r="AJ24" s="19" t="n">
        <f aca="false">IF(AND(30&gt;=E24,OR(F24="",30&lt;=F24)),(D24*(1+assumptions!$G$76)^2/12*(1+assumptions!$G$70+assumptions!$G$71+IF(30&gt;=assumptions!$G$73,assumptions!$G$72,0))+assumptions!$G$74/12)+IF(30=E24,D24*assumptions!$G$75,0),0)</f>
        <v>10344.008</v>
      </c>
      <c r="AK24" s="19" t="n">
        <f aca="false">IF(AND(31&gt;=E24,OR(F24="",31&lt;=F24)),(D24*(1+assumptions!$G$76)^2/12*(1+assumptions!$G$70+assumptions!$G$71+IF(31&gt;=assumptions!$G$73,assumptions!$G$72,0))+assumptions!$G$74/12)+IF(31=E24,D24*assumptions!$G$75,0),0)</f>
        <v>10344.008</v>
      </c>
      <c r="AL24" s="19" t="n">
        <f aca="false">IF(AND(32&gt;=E24,OR(F24="",32&lt;=F24)),(D24*(1+assumptions!$G$76)^2/12*(1+assumptions!$G$70+assumptions!$G$71+IF(32&gt;=assumptions!$G$73,assumptions!$G$72,0))+assumptions!$G$74/12)+IF(32=E24,D24*assumptions!$G$75,0),0)</f>
        <v>10344.008</v>
      </c>
      <c r="AM24" s="19" t="n">
        <f aca="false">IF(AND(33&gt;=E24,OR(F24="",33&lt;=F24)),(D24*(1+assumptions!$G$76)^2/12*(1+assumptions!$G$70+assumptions!$G$71+IF(33&gt;=assumptions!$G$73,assumptions!$G$72,0))+assumptions!$G$74/12)+IF(33=E24,D24*assumptions!$G$75,0),0)</f>
        <v>10344.008</v>
      </c>
      <c r="AN24" s="19" t="n">
        <f aca="false">IF(AND(34&gt;=E24,OR(F24="",34&lt;=F24)),(D24*(1+assumptions!$G$76)^2/12*(1+assumptions!$G$70+assumptions!$G$71+IF(34&gt;=assumptions!$G$73,assumptions!$G$72,0))+assumptions!$G$74/12)+IF(34=E24,D24*assumptions!$G$75,0),0)</f>
        <v>10344.008</v>
      </c>
      <c r="AO24" s="19" t="n">
        <f aca="false">IF(AND(35&gt;=E24,OR(F24="",35&lt;=F24)),(D24*(1+assumptions!$G$76)^2/12*(1+assumptions!$G$70+assumptions!$G$71+IF(35&gt;=assumptions!$G$73,assumptions!$G$72,0))+assumptions!$G$74/12)+IF(35=E24,D24*assumptions!$G$75,0),0)</f>
        <v>10344.008</v>
      </c>
      <c r="AP24" s="19" t="n">
        <f aca="false">IF(AND(36&gt;=E24,OR(F24="",36&lt;=F24)),(D24*(1+assumptions!$G$76)^2/12*(1+assumptions!$G$70+assumptions!$G$71+IF(36&gt;=assumptions!$G$73,assumptions!$G$72,0))+assumptions!$G$74/12)+IF(36=E24,D24*assumptions!$G$75,0),0)</f>
        <v>10344.008</v>
      </c>
      <c r="AQ24" s="19" t="n">
        <f aca="false">IF(AND(37&gt;=E24,OR(F24="",37&lt;=F24)),(D24*(1+assumptions!$G$76)^3/12*(1+assumptions!$G$70+assumptions!$G$71+IF(37&gt;=assumptions!$G$73,assumptions!$G$72,0))+assumptions!$G$74/12)+IF(37=E24,D24*assumptions!$G$75,0),0)</f>
        <v>10745.76832</v>
      </c>
      <c r="AR24" s="19" t="n">
        <f aca="false">IF(AND(38&gt;=E24,OR(F24="",38&lt;=F24)),(D24*(1+assumptions!$G$76)^3/12*(1+assumptions!$G$70+assumptions!$G$71+IF(38&gt;=assumptions!$G$73,assumptions!$G$72,0))+assumptions!$G$74/12)+IF(38=E24,D24*assumptions!$G$75,0),0)</f>
        <v>10745.76832</v>
      </c>
      <c r="AS24" s="19" t="n">
        <f aca="false">IF(AND(39&gt;=E24,OR(F24="",39&lt;=F24)),(D24*(1+assumptions!$G$76)^3/12*(1+assumptions!$G$70+assumptions!$G$71+IF(39&gt;=assumptions!$G$73,assumptions!$G$72,0))+assumptions!$G$74/12)+IF(39=E24,D24*assumptions!$G$75,0),0)</f>
        <v>10745.76832</v>
      </c>
      <c r="AT24" s="19" t="n">
        <f aca="false">IF(AND(40&gt;=E24,OR(F24="",40&lt;=F24)),(D24*(1+assumptions!$G$76)^3/12*(1+assumptions!$G$70+assumptions!$G$71+IF(40&gt;=assumptions!$G$73,assumptions!$G$72,0))+assumptions!$G$74/12)+IF(40=E24,D24*assumptions!$G$75,0),0)</f>
        <v>10745.76832</v>
      </c>
      <c r="AU24" s="19" t="n">
        <f aca="false">IF(AND(41&gt;=E24,OR(F24="",41&lt;=F24)),(D24*(1+assumptions!$G$76)^3/12*(1+assumptions!$G$70+assumptions!$G$71+IF(41&gt;=assumptions!$G$73,assumptions!$G$72,0))+assumptions!$G$74/12)+IF(41=E24,D24*assumptions!$G$75,0),0)</f>
        <v>10745.76832</v>
      </c>
      <c r="AV24" s="19" t="n">
        <f aca="false">IF(AND(42&gt;=E24,OR(F24="",42&lt;=F24)),(D24*(1+assumptions!$G$76)^3/12*(1+assumptions!$G$70+assumptions!$G$71+IF(42&gt;=assumptions!$G$73,assumptions!$G$72,0))+assumptions!$G$74/12)+IF(42=E24,D24*assumptions!$G$75,0),0)</f>
        <v>10745.76832</v>
      </c>
      <c r="AW24" s="19" t="n">
        <f aca="false">IF(AND(43&gt;=E24,OR(F24="",43&lt;=F24)),(D24*(1+assumptions!$G$76)^3/12*(1+assumptions!$G$70+assumptions!$G$71+IF(43&gt;=assumptions!$G$73,assumptions!$G$72,0))+assumptions!$G$74/12)+IF(43=E24,D24*assumptions!$G$75,0),0)</f>
        <v>10745.76832</v>
      </c>
      <c r="AX24" s="19" t="n">
        <f aca="false">IF(AND(44&gt;=E24,OR(F24="",44&lt;=F24)),(D24*(1+assumptions!$G$76)^3/12*(1+assumptions!$G$70+assumptions!$G$71+IF(44&gt;=assumptions!$G$73,assumptions!$G$72,0))+assumptions!$G$74/12)+IF(44=E24,D24*assumptions!$G$75,0),0)</f>
        <v>10745.76832</v>
      </c>
      <c r="AY24" s="19" t="n">
        <f aca="false">IF(AND(45&gt;=E24,OR(F24="",45&lt;=F24)),(D24*(1+assumptions!$G$76)^3/12*(1+assumptions!$G$70+assumptions!$G$71+IF(45&gt;=assumptions!$G$73,assumptions!$G$72,0))+assumptions!$G$74/12)+IF(45=E24,D24*assumptions!$G$75,0),0)</f>
        <v>10745.76832</v>
      </c>
      <c r="AZ24" s="19" t="n">
        <f aca="false">IF(AND(46&gt;=E24,OR(F24="",46&lt;=F24)),(D24*(1+assumptions!$G$76)^3/12*(1+assumptions!$G$70+assumptions!$G$71+IF(46&gt;=assumptions!$G$73,assumptions!$G$72,0))+assumptions!$G$74/12)+IF(46=E24,D24*assumptions!$G$75,0),0)</f>
        <v>10745.76832</v>
      </c>
      <c r="BA24" s="19" t="n">
        <f aca="false">IF(AND(47&gt;=E24,OR(F24="",47&lt;=F24)),(D24*(1+assumptions!$G$76)^3/12*(1+assumptions!$G$70+assumptions!$G$71+IF(47&gt;=assumptions!$G$73,assumptions!$G$72,0))+assumptions!$G$74/12)+IF(47=E24,D24*assumptions!$G$75,0),0)</f>
        <v>10745.76832</v>
      </c>
      <c r="BB24" s="19" t="n">
        <f aca="false">IF(AND(48&gt;=E24,OR(F24="",48&lt;=F24)),(D24*(1+assumptions!$G$76)^3/12*(1+assumptions!$G$70+assumptions!$G$71+IF(48&gt;=assumptions!$G$73,assumptions!$G$72,0))+assumptions!$G$74/12)+IF(48=E24,D24*assumptions!$G$75,0),0)</f>
        <v>10745.76832</v>
      </c>
      <c r="BC24" s="19" t="n">
        <f aca="false">IF(AND(49&gt;=E24,OR(F24="",49&lt;=F24)),(D24*(1+assumptions!$G$76)^4/12*(1+assumptions!$G$70+assumptions!$G$71+IF(49&gt;=assumptions!$G$73,assumptions!$G$72,0))+assumptions!$G$74/12)+IF(49=E24,D24*assumptions!$G$75,0),0)</f>
        <v>11163.5990528</v>
      </c>
      <c r="BD24" s="19" t="n">
        <f aca="false">IF(AND(50&gt;=E24,OR(F24="",50&lt;=F24)),(D24*(1+assumptions!$G$76)^4/12*(1+assumptions!$G$70+assumptions!$G$71+IF(50&gt;=assumptions!$G$73,assumptions!$G$72,0))+assumptions!$G$74/12)+IF(50=E24,D24*assumptions!$G$75,0),0)</f>
        <v>11163.5990528</v>
      </c>
      <c r="BE24" s="19" t="n">
        <f aca="false">IF(AND(51&gt;=E24,OR(F24="",51&lt;=F24)),(D24*(1+assumptions!$G$76)^4/12*(1+assumptions!$G$70+assumptions!$G$71+IF(51&gt;=assumptions!$G$73,assumptions!$G$72,0))+assumptions!$G$74/12)+IF(51=E24,D24*assumptions!$G$75,0),0)</f>
        <v>11163.5990528</v>
      </c>
      <c r="BF24" s="19" t="n">
        <f aca="false">IF(AND(52&gt;=E24,OR(F24="",52&lt;=F24)),(D24*(1+assumptions!$G$76)^4/12*(1+assumptions!$G$70+assumptions!$G$71+IF(52&gt;=assumptions!$G$73,assumptions!$G$72,0))+assumptions!$G$74/12)+IF(52=E24,D24*assumptions!$G$75,0),0)</f>
        <v>11163.5990528</v>
      </c>
      <c r="BG24" s="19" t="n">
        <f aca="false">IF(AND(53&gt;=E24,OR(F24="",53&lt;=F24)),(D24*(1+assumptions!$G$76)^4/12*(1+assumptions!$G$70+assumptions!$G$71+IF(53&gt;=assumptions!$G$73,assumptions!$G$72,0))+assumptions!$G$74/12)+IF(53=E24,D24*assumptions!$G$75,0),0)</f>
        <v>11163.5990528</v>
      </c>
      <c r="BH24" s="19" t="n">
        <f aca="false">IF(AND(54&gt;=E24,OR(F24="",54&lt;=F24)),(D24*(1+assumptions!$G$76)^4/12*(1+assumptions!$G$70+assumptions!$G$71+IF(54&gt;=assumptions!$G$73,assumptions!$G$72,0))+assumptions!$G$74/12)+IF(54=E24,D24*assumptions!$G$75,0),0)</f>
        <v>11163.5990528</v>
      </c>
      <c r="BI24" s="19" t="n">
        <f aca="false">IF(AND(55&gt;=E24,OR(F24="",55&lt;=F24)),(D24*(1+assumptions!$G$76)^4/12*(1+assumptions!$G$70+assumptions!$G$71+IF(55&gt;=assumptions!$G$73,assumptions!$G$72,0))+assumptions!$G$74/12)+IF(55=E24,D24*assumptions!$G$75,0),0)</f>
        <v>11163.5990528</v>
      </c>
      <c r="BJ24" s="19" t="n">
        <f aca="false">IF(AND(56&gt;=E24,OR(F24="",56&lt;=F24)),(D24*(1+assumptions!$G$76)^4/12*(1+assumptions!$G$70+assumptions!$G$71+IF(56&gt;=assumptions!$G$73,assumptions!$G$72,0))+assumptions!$G$74/12)+IF(56=E24,D24*assumptions!$G$75,0),0)</f>
        <v>11163.5990528</v>
      </c>
      <c r="BK24" s="19" t="n">
        <f aca="false">IF(AND(57&gt;=E24,OR(F24="",57&lt;=F24)),(D24*(1+assumptions!$G$76)^4/12*(1+assumptions!$G$70+assumptions!$G$71+IF(57&gt;=assumptions!$G$73,assumptions!$G$72,0))+assumptions!$G$74/12)+IF(57=E24,D24*assumptions!$G$75,0),0)</f>
        <v>11163.5990528</v>
      </c>
      <c r="BL24" s="19" t="n">
        <f aca="false">IF(AND(58&gt;=E24,OR(F24="",58&lt;=F24)),(D24*(1+assumptions!$G$76)^4/12*(1+assumptions!$G$70+assumptions!$G$71+IF(58&gt;=assumptions!$G$73,assumptions!$G$72,0))+assumptions!$G$74/12)+IF(58=E24,D24*assumptions!$G$75,0),0)</f>
        <v>11163.5990528</v>
      </c>
      <c r="BM24" s="19" t="n">
        <f aca="false">IF(AND(59&gt;=E24,OR(F24="",59&lt;=F24)),(D24*(1+assumptions!$G$76)^4/12*(1+assumptions!$G$70+assumptions!$G$71+IF(59&gt;=assumptions!$G$73,assumptions!$G$72,0))+assumptions!$G$74/12)+IF(59=E24,D24*assumptions!$G$75,0),0)</f>
        <v>11163.5990528</v>
      </c>
      <c r="BN24" s="19" t="n">
        <f aca="false">IF(AND(60&gt;=E24,OR(F24="",60&lt;=F24)),(D24*(1+assumptions!$G$76)^4/12*(1+assumptions!$G$70+assumptions!$G$71+IF(60&gt;=assumptions!$G$73,assumptions!$G$72,0))+assumptions!$G$74/12)+IF(60=E24,D24*assumptions!$G$75,0),0)</f>
        <v>11163.5990528</v>
      </c>
    </row>
    <row r="25" customFormat="false" ht="14.25" hidden="false" customHeight="false" outlineLevel="0" collapsed="false">
      <c r="A25" s="7" t="n">
        <v>22</v>
      </c>
      <c r="B25" s="7" t="s">
        <v>365</v>
      </c>
      <c r="C25" s="7" t="s">
        <v>340</v>
      </c>
      <c r="D25" s="17" t="n">
        <v>110000</v>
      </c>
      <c r="E25" s="49" t="n">
        <v>26</v>
      </c>
      <c r="F25" s="49"/>
      <c r="G25" s="19" t="n">
        <f aca="false">IF(AND(1&gt;=E25,OR(F25="",1&lt;=F25)),(D25*(1+assumptions!$G$76)^0/12*(1+assumptions!$G$70+assumptions!$G$71+IF(1&gt;=assumptions!$G$73,assumptions!$G$72,0))+assumptions!$G$74/12)+IF(1=E25,D25*assumptions!$G$75,0),0)</f>
        <v>0</v>
      </c>
      <c r="H25" s="19" t="n">
        <f aca="false">IF(AND(2&gt;=E25,OR(F25="",2&lt;=F25)),(D25*(1+assumptions!$G$76)^0/12*(1+assumptions!$G$70+assumptions!$G$71+IF(2&gt;=assumptions!$G$73,assumptions!$G$72,0))+assumptions!$G$74/12)+IF(2=E25,D25*assumptions!$G$75,0),0)</f>
        <v>0</v>
      </c>
      <c r="I25" s="19" t="n">
        <f aca="false">IF(AND(3&gt;=E25,OR(F25="",3&lt;=F25)),(D25*(1+assumptions!$G$76)^0/12*(1+assumptions!$G$70+assumptions!$G$71+IF(3&gt;=assumptions!$G$73,assumptions!$G$72,0))+assumptions!$G$74/12)+IF(3=E25,D25*assumptions!$G$75,0),0)</f>
        <v>0</v>
      </c>
      <c r="J25" s="19" t="n">
        <f aca="false">IF(AND(4&gt;=E25,OR(F25="",4&lt;=F25)),(D25*(1+assumptions!$G$76)^0/12*(1+assumptions!$G$70+assumptions!$G$71+IF(4&gt;=assumptions!$G$73,assumptions!$G$72,0))+assumptions!$G$74/12)+IF(4=E25,D25*assumptions!$G$75,0),0)</f>
        <v>0</v>
      </c>
      <c r="K25" s="19" t="n">
        <f aca="false">IF(AND(5&gt;=E25,OR(F25="",5&lt;=F25)),(D25*(1+assumptions!$G$76)^0/12*(1+assumptions!$G$70+assumptions!$G$71+IF(5&gt;=assumptions!$G$73,assumptions!$G$72,0))+assumptions!$G$74/12)+IF(5=E25,D25*assumptions!$G$75,0),0)</f>
        <v>0</v>
      </c>
      <c r="L25" s="19" t="n">
        <f aca="false">IF(AND(6&gt;=E25,OR(F25="",6&lt;=F25)),(D25*(1+assumptions!$G$76)^0/12*(1+assumptions!$G$70+assumptions!$G$71+IF(6&gt;=assumptions!$G$73,assumptions!$G$72,0))+assumptions!$G$74/12)+IF(6=E25,D25*assumptions!$G$75,0),0)</f>
        <v>0</v>
      </c>
      <c r="M25" s="19" t="n">
        <f aca="false">IF(AND(7&gt;=E25,OR(F25="",7&lt;=F25)),(D25*(1+assumptions!$G$76)^0/12*(1+assumptions!$G$70+assumptions!$G$71+IF(7&gt;=assumptions!$G$73,assumptions!$G$72,0))+assumptions!$G$74/12)+IF(7=E25,D25*assumptions!$G$75,0),0)</f>
        <v>0</v>
      </c>
      <c r="N25" s="19" t="n">
        <f aca="false">IF(AND(8&gt;=E25,OR(F25="",8&lt;=F25)),(D25*(1+assumptions!$G$76)^0/12*(1+assumptions!$G$70+assumptions!$G$71+IF(8&gt;=assumptions!$G$73,assumptions!$G$72,0))+assumptions!$G$74/12)+IF(8=E25,D25*assumptions!$G$75,0),0)</f>
        <v>0</v>
      </c>
      <c r="O25" s="19" t="n">
        <f aca="false">IF(AND(9&gt;=E25,OR(F25="",9&lt;=F25)),(D25*(1+assumptions!$G$76)^0/12*(1+assumptions!$G$70+assumptions!$G$71+IF(9&gt;=assumptions!$G$73,assumptions!$G$72,0))+assumptions!$G$74/12)+IF(9=E25,D25*assumptions!$G$75,0),0)</f>
        <v>0</v>
      </c>
      <c r="P25" s="19" t="n">
        <f aca="false">IF(AND(10&gt;=E25,OR(F25="",10&lt;=F25)),(D25*(1+assumptions!$G$76)^0/12*(1+assumptions!$G$70+assumptions!$G$71+IF(10&gt;=assumptions!$G$73,assumptions!$G$72,0))+assumptions!$G$74/12)+IF(10=E25,D25*assumptions!$G$75,0),0)</f>
        <v>0</v>
      </c>
      <c r="Q25" s="19" t="n">
        <f aca="false">IF(AND(11&gt;=E25,OR(F25="",11&lt;=F25)),(D25*(1+assumptions!$G$76)^0/12*(1+assumptions!$G$70+assumptions!$G$71+IF(11&gt;=assumptions!$G$73,assumptions!$G$72,0))+assumptions!$G$74/12)+IF(11=E25,D25*assumptions!$G$75,0),0)</f>
        <v>0</v>
      </c>
      <c r="R25" s="19" t="n">
        <f aca="false">IF(AND(12&gt;=E25,OR(F25="",12&lt;=F25)),(D25*(1+assumptions!$G$76)^0/12*(1+assumptions!$G$70+assumptions!$G$71+IF(12&gt;=assumptions!$G$73,assumptions!$G$72,0))+assumptions!$G$74/12)+IF(12=E25,D25*assumptions!$G$75,0),0)</f>
        <v>0</v>
      </c>
      <c r="S25" s="19" t="n">
        <f aca="false">IF(AND(13&gt;=E25,OR(F25="",13&lt;=F25)),(D25*(1+assumptions!$G$76)^1/12*(1+assumptions!$G$70+assumptions!$G$71+IF(13&gt;=assumptions!$G$73,assumptions!$G$72,0))+assumptions!$G$74/12)+IF(13=E25,D25*assumptions!$G$75,0),0)</f>
        <v>0</v>
      </c>
      <c r="T25" s="19" t="n">
        <f aca="false">IF(AND(14&gt;=E25,OR(F25="",14&lt;=F25)),(D25*(1+assumptions!$G$76)^1/12*(1+assumptions!$G$70+assumptions!$G$71+IF(14&gt;=assumptions!$G$73,assumptions!$G$72,0))+assumptions!$G$74/12)+IF(14=E25,D25*assumptions!$G$75,0),0)</f>
        <v>0</v>
      </c>
      <c r="U25" s="19" t="n">
        <f aca="false">IF(AND(15&gt;=E25,OR(F25="",15&lt;=F25)),(D25*(1+assumptions!$G$76)^1/12*(1+assumptions!$G$70+assumptions!$G$71+IF(15&gt;=assumptions!$G$73,assumptions!$G$72,0))+assumptions!$G$74/12)+IF(15=E25,D25*assumptions!$G$75,0),0)</f>
        <v>0</v>
      </c>
      <c r="V25" s="19" t="n">
        <f aca="false">IF(AND(16&gt;=E25,OR(F25="",16&lt;=F25)),(D25*(1+assumptions!$G$76)^1/12*(1+assumptions!$G$70+assumptions!$G$71+IF(16&gt;=assumptions!$G$73,assumptions!$G$72,0))+assumptions!$G$74/12)+IF(16=E25,D25*assumptions!$G$75,0),0)</f>
        <v>0</v>
      </c>
      <c r="W25" s="19" t="n">
        <f aca="false">IF(AND(17&gt;=E25,OR(F25="",17&lt;=F25)),(D25*(1+assumptions!$G$76)^1/12*(1+assumptions!$G$70+assumptions!$G$71+IF(17&gt;=assumptions!$G$73,assumptions!$G$72,0))+assumptions!$G$74/12)+IF(17=E25,D25*assumptions!$G$75,0),0)</f>
        <v>0</v>
      </c>
      <c r="X25" s="19" t="n">
        <f aca="false">IF(AND(18&gt;=E25,OR(F25="",18&lt;=F25)),(D25*(1+assumptions!$G$76)^1/12*(1+assumptions!$G$70+assumptions!$G$71+IF(18&gt;=assumptions!$G$73,assumptions!$G$72,0))+assumptions!$G$74/12)+IF(18=E25,D25*assumptions!$G$75,0),0)</f>
        <v>0</v>
      </c>
      <c r="Y25" s="19" t="n">
        <f aca="false">IF(AND(19&gt;=E25,OR(F25="",19&lt;=F25)),(D25*(1+assumptions!$G$76)^1/12*(1+assumptions!$G$70+assumptions!$G$71+IF(19&gt;=assumptions!$G$73,assumptions!$G$72,0))+assumptions!$G$74/12)+IF(19=E25,D25*assumptions!$G$75,0),0)</f>
        <v>0</v>
      </c>
      <c r="Z25" s="19" t="n">
        <f aca="false">IF(AND(20&gt;=E25,OR(F25="",20&lt;=F25)),(D25*(1+assumptions!$G$76)^1/12*(1+assumptions!$G$70+assumptions!$G$71+IF(20&gt;=assumptions!$G$73,assumptions!$G$72,0))+assumptions!$G$74/12)+IF(20=E25,D25*assumptions!$G$75,0),0)</f>
        <v>0</v>
      </c>
      <c r="AA25" s="19" t="n">
        <f aca="false">IF(AND(21&gt;=E25,OR(F25="",21&lt;=F25)),(D25*(1+assumptions!$G$76)^1/12*(1+assumptions!$G$70+assumptions!$G$71+IF(21&gt;=assumptions!$G$73,assumptions!$G$72,0))+assumptions!$G$74/12)+IF(21=E25,D25*assumptions!$G$75,0),0)</f>
        <v>0</v>
      </c>
      <c r="AB25" s="19" t="n">
        <f aca="false">IF(AND(22&gt;=E25,OR(F25="",22&lt;=F25)),(D25*(1+assumptions!$G$76)^1/12*(1+assumptions!$G$70+assumptions!$G$71+IF(22&gt;=assumptions!$G$73,assumptions!$G$72,0))+assumptions!$G$74/12)+IF(22=E25,D25*assumptions!$G$75,0),0)</f>
        <v>0</v>
      </c>
      <c r="AC25" s="19" t="n">
        <f aca="false">IF(AND(23&gt;=E25,OR(F25="",23&lt;=F25)),(D25*(1+assumptions!$G$76)^1/12*(1+assumptions!$G$70+assumptions!$G$71+IF(23&gt;=assumptions!$G$73,assumptions!$G$72,0))+assumptions!$G$74/12)+IF(23=E25,D25*assumptions!$G$75,0),0)</f>
        <v>0</v>
      </c>
      <c r="AD25" s="19" t="n">
        <f aca="false">IF(AND(24&gt;=E25,OR(F25="",24&lt;=F25)),(D25*(1+assumptions!$G$76)^1/12*(1+assumptions!$G$70+assumptions!$G$71+IF(24&gt;=assumptions!$G$73,assumptions!$G$72,0))+assumptions!$G$74/12)+IF(24=E25,D25*assumptions!$G$75,0),0)</f>
        <v>0</v>
      </c>
      <c r="AE25" s="19" t="n">
        <f aca="false">IF(AND(25&gt;=E25,OR(F25="",25&lt;=F25)),(D25*(1+assumptions!$G$76)^2/12*(1+assumptions!$G$70+assumptions!$G$71+IF(25&gt;=assumptions!$G$73,assumptions!$G$72,0))+assumptions!$G$74/12)+IF(25=E25,D25*assumptions!$G$75,0),0)</f>
        <v>0</v>
      </c>
      <c r="AF25" s="19" t="n">
        <f aca="false">IF(AND(26&gt;=E25,OR(F25="",26&lt;=F25)),(D25*(1+assumptions!$G$76)^2/12*(1+assumptions!$G$70+assumptions!$G$71+IF(26&gt;=assumptions!$G$73,assumptions!$G$72,0))+assumptions!$G$74/12)+IF(26=E25,D25*assumptions!$G$75,0),0)</f>
        <v>28429.904</v>
      </c>
      <c r="AG25" s="19" t="n">
        <f aca="false">IF(AND(27&gt;=E25,OR(F25="",27&lt;=F25)),(D25*(1+assumptions!$G$76)^2/12*(1+assumptions!$G$70+assumptions!$G$71+IF(27&gt;=assumptions!$G$73,assumptions!$G$72,0))+assumptions!$G$74/12)+IF(27=E25,D25*assumptions!$G$75,0),0)</f>
        <v>11929.904</v>
      </c>
      <c r="AH25" s="19" t="n">
        <f aca="false">IF(AND(28&gt;=E25,OR(F25="",28&lt;=F25)),(D25*(1+assumptions!$G$76)^2/12*(1+assumptions!$G$70+assumptions!$G$71+IF(28&gt;=assumptions!$G$73,assumptions!$G$72,0))+assumptions!$G$74/12)+IF(28=E25,D25*assumptions!$G$75,0),0)</f>
        <v>11929.904</v>
      </c>
      <c r="AI25" s="19" t="n">
        <f aca="false">IF(AND(29&gt;=E25,OR(F25="",29&lt;=F25)),(D25*(1+assumptions!$G$76)^2/12*(1+assumptions!$G$70+assumptions!$G$71+IF(29&gt;=assumptions!$G$73,assumptions!$G$72,0))+assumptions!$G$74/12)+IF(29=E25,D25*assumptions!$G$75,0),0)</f>
        <v>11929.904</v>
      </c>
      <c r="AJ25" s="19" t="n">
        <f aca="false">IF(AND(30&gt;=E25,OR(F25="",30&lt;=F25)),(D25*(1+assumptions!$G$76)^2/12*(1+assumptions!$G$70+assumptions!$G$71+IF(30&gt;=assumptions!$G$73,assumptions!$G$72,0))+assumptions!$G$74/12)+IF(30=E25,D25*assumptions!$G$75,0),0)</f>
        <v>11929.904</v>
      </c>
      <c r="AK25" s="19" t="n">
        <f aca="false">IF(AND(31&gt;=E25,OR(F25="",31&lt;=F25)),(D25*(1+assumptions!$G$76)^2/12*(1+assumptions!$G$70+assumptions!$G$71+IF(31&gt;=assumptions!$G$73,assumptions!$G$72,0))+assumptions!$G$74/12)+IF(31=E25,D25*assumptions!$G$75,0),0)</f>
        <v>11929.904</v>
      </c>
      <c r="AL25" s="19" t="n">
        <f aca="false">IF(AND(32&gt;=E25,OR(F25="",32&lt;=F25)),(D25*(1+assumptions!$G$76)^2/12*(1+assumptions!$G$70+assumptions!$G$71+IF(32&gt;=assumptions!$G$73,assumptions!$G$72,0))+assumptions!$G$74/12)+IF(32=E25,D25*assumptions!$G$75,0),0)</f>
        <v>11929.904</v>
      </c>
      <c r="AM25" s="19" t="n">
        <f aca="false">IF(AND(33&gt;=E25,OR(F25="",33&lt;=F25)),(D25*(1+assumptions!$G$76)^2/12*(1+assumptions!$G$70+assumptions!$G$71+IF(33&gt;=assumptions!$G$73,assumptions!$G$72,0))+assumptions!$G$74/12)+IF(33=E25,D25*assumptions!$G$75,0),0)</f>
        <v>11929.904</v>
      </c>
      <c r="AN25" s="19" t="n">
        <f aca="false">IF(AND(34&gt;=E25,OR(F25="",34&lt;=F25)),(D25*(1+assumptions!$G$76)^2/12*(1+assumptions!$G$70+assumptions!$G$71+IF(34&gt;=assumptions!$G$73,assumptions!$G$72,0))+assumptions!$G$74/12)+IF(34=E25,D25*assumptions!$G$75,0),0)</f>
        <v>11929.904</v>
      </c>
      <c r="AO25" s="19" t="n">
        <f aca="false">IF(AND(35&gt;=E25,OR(F25="",35&lt;=F25)),(D25*(1+assumptions!$G$76)^2/12*(1+assumptions!$G$70+assumptions!$G$71+IF(35&gt;=assumptions!$G$73,assumptions!$G$72,0))+assumptions!$G$74/12)+IF(35=E25,D25*assumptions!$G$75,0),0)</f>
        <v>11929.904</v>
      </c>
      <c r="AP25" s="19" t="n">
        <f aca="false">IF(AND(36&gt;=E25,OR(F25="",36&lt;=F25)),(D25*(1+assumptions!$G$76)^2/12*(1+assumptions!$G$70+assumptions!$G$71+IF(36&gt;=assumptions!$G$73,assumptions!$G$72,0))+assumptions!$G$74/12)+IF(36=E25,D25*assumptions!$G$75,0),0)</f>
        <v>11929.904</v>
      </c>
      <c r="AQ25" s="19" t="n">
        <f aca="false">IF(AND(37&gt;=E25,OR(F25="",37&lt;=F25)),(D25*(1+assumptions!$G$76)^3/12*(1+assumptions!$G$70+assumptions!$G$71+IF(37&gt;=assumptions!$G$73,assumptions!$G$72,0))+assumptions!$G$74/12)+IF(37=E25,D25*assumptions!$G$75,0),0)</f>
        <v>12395.10016</v>
      </c>
      <c r="AR25" s="19" t="n">
        <f aca="false">IF(AND(38&gt;=E25,OR(F25="",38&lt;=F25)),(D25*(1+assumptions!$G$76)^3/12*(1+assumptions!$G$70+assumptions!$G$71+IF(38&gt;=assumptions!$G$73,assumptions!$G$72,0))+assumptions!$G$74/12)+IF(38=E25,D25*assumptions!$G$75,0),0)</f>
        <v>12395.10016</v>
      </c>
      <c r="AS25" s="19" t="n">
        <f aca="false">IF(AND(39&gt;=E25,OR(F25="",39&lt;=F25)),(D25*(1+assumptions!$G$76)^3/12*(1+assumptions!$G$70+assumptions!$G$71+IF(39&gt;=assumptions!$G$73,assumptions!$G$72,0))+assumptions!$G$74/12)+IF(39=E25,D25*assumptions!$G$75,0),0)</f>
        <v>12395.10016</v>
      </c>
      <c r="AT25" s="19" t="n">
        <f aca="false">IF(AND(40&gt;=E25,OR(F25="",40&lt;=F25)),(D25*(1+assumptions!$G$76)^3/12*(1+assumptions!$G$70+assumptions!$G$71+IF(40&gt;=assumptions!$G$73,assumptions!$G$72,0))+assumptions!$G$74/12)+IF(40=E25,D25*assumptions!$G$75,0),0)</f>
        <v>12395.10016</v>
      </c>
      <c r="AU25" s="19" t="n">
        <f aca="false">IF(AND(41&gt;=E25,OR(F25="",41&lt;=F25)),(D25*(1+assumptions!$G$76)^3/12*(1+assumptions!$G$70+assumptions!$G$71+IF(41&gt;=assumptions!$G$73,assumptions!$G$72,0))+assumptions!$G$74/12)+IF(41=E25,D25*assumptions!$G$75,0),0)</f>
        <v>12395.10016</v>
      </c>
      <c r="AV25" s="19" t="n">
        <f aca="false">IF(AND(42&gt;=E25,OR(F25="",42&lt;=F25)),(D25*(1+assumptions!$G$76)^3/12*(1+assumptions!$G$70+assumptions!$G$71+IF(42&gt;=assumptions!$G$73,assumptions!$G$72,0))+assumptions!$G$74/12)+IF(42=E25,D25*assumptions!$G$75,0),0)</f>
        <v>12395.10016</v>
      </c>
      <c r="AW25" s="19" t="n">
        <f aca="false">IF(AND(43&gt;=E25,OR(F25="",43&lt;=F25)),(D25*(1+assumptions!$G$76)^3/12*(1+assumptions!$G$70+assumptions!$G$71+IF(43&gt;=assumptions!$G$73,assumptions!$G$72,0))+assumptions!$G$74/12)+IF(43=E25,D25*assumptions!$G$75,0),0)</f>
        <v>12395.10016</v>
      </c>
      <c r="AX25" s="19" t="n">
        <f aca="false">IF(AND(44&gt;=E25,OR(F25="",44&lt;=F25)),(D25*(1+assumptions!$G$76)^3/12*(1+assumptions!$G$70+assumptions!$G$71+IF(44&gt;=assumptions!$G$73,assumptions!$G$72,0))+assumptions!$G$74/12)+IF(44=E25,D25*assumptions!$G$75,0),0)</f>
        <v>12395.10016</v>
      </c>
      <c r="AY25" s="19" t="n">
        <f aca="false">IF(AND(45&gt;=E25,OR(F25="",45&lt;=F25)),(D25*(1+assumptions!$G$76)^3/12*(1+assumptions!$G$70+assumptions!$G$71+IF(45&gt;=assumptions!$G$73,assumptions!$G$72,0))+assumptions!$G$74/12)+IF(45=E25,D25*assumptions!$G$75,0),0)</f>
        <v>12395.10016</v>
      </c>
      <c r="AZ25" s="19" t="n">
        <f aca="false">IF(AND(46&gt;=E25,OR(F25="",46&lt;=F25)),(D25*(1+assumptions!$G$76)^3/12*(1+assumptions!$G$70+assumptions!$G$71+IF(46&gt;=assumptions!$G$73,assumptions!$G$72,0))+assumptions!$G$74/12)+IF(46=E25,D25*assumptions!$G$75,0),0)</f>
        <v>12395.10016</v>
      </c>
      <c r="BA25" s="19" t="n">
        <f aca="false">IF(AND(47&gt;=E25,OR(F25="",47&lt;=F25)),(D25*(1+assumptions!$G$76)^3/12*(1+assumptions!$G$70+assumptions!$G$71+IF(47&gt;=assumptions!$G$73,assumptions!$G$72,0))+assumptions!$G$74/12)+IF(47=E25,D25*assumptions!$G$75,0),0)</f>
        <v>12395.10016</v>
      </c>
      <c r="BB25" s="19" t="n">
        <f aca="false">IF(AND(48&gt;=E25,OR(F25="",48&lt;=F25)),(D25*(1+assumptions!$G$76)^3/12*(1+assumptions!$G$70+assumptions!$G$71+IF(48&gt;=assumptions!$G$73,assumptions!$G$72,0))+assumptions!$G$74/12)+IF(48=E25,D25*assumptions!$G$75,0),0)</f>
        <v>12395.10016</v>
      </c>
      <c r="BC25" s="19" t="n">
        <f aca="false">IF(AND(49&gt;=E25,OR(F25="",49&lt;=F25)),(D25*(1+assumptions!$G$76)^4/12*(1+assumptions!$G$70+assumptions!$G$71+IF(49&gt;=assumptions!$G$73,assumptions!$G$72,0))+assumptions!$G$74/12)+IF(49=E25,D25*assumptions!$G$75,0),0)</f>
        <v>12878.9041664</v>
      </c>
      <c r="BD25" s="19" t="n">
        <f aca="false">IF(AND(50&gt;=E25,OR(F25="",50&lt;=F25)),(D25*(1+assumptions!$G$76)^4/12*(1+assumptions!$G$70+assumptions!$G$71+IF(50&gt;=assumptions!$G$73,assumptions!$G$72,0))+assumptions!$G$74/12)+IF(50=E25,D25*assumptions!$G$75,0),0)</f>
        <v>12878.9041664</v>
      </c>
      <c r="BE25" s="19" t="n">
        <f aca="false">IF(AND(51&gt;=E25,OR(F25="",51&lt;=F25)),(D25*(1+assumptions!$G$76)^4/12*(1+assumptions!$G$70+assumptions!$G$71+IF(51&gt;=assumptions!$G$73,assumptions!$G$72,0))+assumptions!$G$74/12)+IF(51=E25,D25*assumptions!$G$75,0),0)</f>
        <v>12878.9041664</v>
      </c>
      <c r="BF25" s="19" t="n">
        <f aca="false">IF(AND(52&gt;=E25,OR(F25="",52&lt;=F25)),(D25*(1+assumptions!$G$76)^4/12*(1+assumptions!$G$70+assumptions!$G$71+IF(52&gt;=assumptions!$G$73,assumptions!$G$72,0))+assumptions!$G$74/12)+IF(52=E25,D25*assumptions!$G$75,0),0)</f>
        <v>12878.9041664</v>
      </c>
      <c r="BG25" s="19" t="n">
        <f aca="false">IF(AND(53&gt;=E25,OR(F25="",53&lt;=F25)),(D25*(1+assumptions!$G$76)^4/12*(1+assumptions!$G$70+assumptions!$G$71+IF(53&gt;=assumptions!$G$73,assumptions!$G$72,0))+assumptions!$G$74/12)+IF(53=E25,D25*assumptions!$G$75,0),0)</f>
        <v>12878.9041664</v>
      </c>
      <c r="BH25" s="19" t="n">
        <f aca="false">IF(AND(54&gt;=E25,OR(F25="",54&lt;=F25)),(D25*(1+assumptions!$G$76)^4/12*(1+assumptions!$G$70+assumptions!$G$71+IF(54&gt;=assumptions!$G$73,assumptions!$G$72,0))+assumptions!$G$74/12)+IF(54=E25,D25*assumptions!$G$75,0),0)</f>
        <v>12878.9041664</v>
      </c>
      <c r="BI25" s="19" t="n">
        <f aca="false">IF(AND(55&gt;=E25,OR(F25="",55&lt;=F25)),(D25*(1+assumptions!$G$76)^4/12*(1+assumptions!$G$70+assumptions!$G$71+IF(55&gt;=assumptions!$G$73,assumptions!$G$72,0))+assumptions!$G$74/12)+IF(55=E25,D25*assumptions!$G$75,0),0)</f>
        <v>12878.9041664</v>
      </c>
      <c r="BJ25" s="19" t="n">
        <f aca="false">IF(AND(56&gt;=E25,OR(F25="",56&lt;=F25)),(D25*(1+assumptions!$G$76)^4/12*(1+assumptions!$G$70+assumptions!$G$71+IF(56&gt;=assumptions!$G$73,assumptions!$G$72,0))+assumptions!$G$74/12)+IF(56=E25,D25*assumptions!$G$75,0),0)</f>
        <v>12878.9041664</v>
      </c>
      <c r="BK25" s="19" t="n">
        <f aca="false">IF(AND(57&gt;=E25,OR(F25="",57&lt;=F25)),(D25*(1+assumptions!$G$76)^4/12*(1+assumptions!$G$70+assumptions!$G$71+IF(57&gt;=assumptions!$G$73,assumptions!$G$72,0))+assumptions!$G$74/12)+IF(57=E25,D25*assumptions!$G$75,0),0)</f>
        <v>12878.9041664</v>
      </c>
      <c r="BL25" s="19" t="n">
        <f aca="false">IF(AND(58&gt;=E25,OR(F25="",58&lt;=F25)),(D25*(1+assumptions!$G$76)^4/12*(1+assumptions!$G$70+assumptions!$G$71+IF(58&gt;=assumptions!$G$73,assumptions!$G$72,0))+assumptions!$G$74/12)+IF(58=E25,D25*assumptions!$G$75,0),0)</f>
        <v>12878.9041664</v>
      </c>
      <c r="BM25" s="19" t="n">
        <f aca="false">IF(AND(59&gt;=E25,OR(F25="",59&lt;=F25)),(D25*(1+assumptions!$G$76)^4/12*(1+assumptions!$G$70+assumptions!$G$71+IF(59&gt;=assumptions!$G$73,assumptions!$G$72,0))+assumptions!$G$74/12)+IF(59=E25,D25*assumptions!$G$75,0),0)</f>
        <v>12878.9041664</v>
      </c>
      <c r="BN25" s="19" t="n">
        <f aca="false">IF(AND(60&gt;=E25,OR(F25="",60&lt;=F25)),(D25*(1+assumptions!$G$76)^4/12*(1+assumptions!$G$70+assumptions!$G$71+IF(60&gt;=assumptions!$G$73,assumptions!$G$72,0))+assumptions!$G$74/12)+IF(60=E25,D25*assumptions!$G$75,0),0)</f>
        <v>12878.9041664</v>
      </c>
    </row>
    <row r="26" customFormat="false" ht="14.25" hidden="false" customHeight="false" outlineLevel="0" collapsed="false">
      <c r="A26" s="7" t="n">
        <v>23</v>
      </c>
      <c r="B26" s="7" t="s">
        <v>366</v>
      </c>
      <c r="C26" s="7" t="s">
        <v>340</v>
      </c>
      <c r="D26" s="17" t="n">
        <v>65000</v>
      </c>
      <c r="E26" s="49" t="n">
        <v>28</v>
      </c>
      <c r="F26" s="49"/>
      <c r="G26" s="19" t="n">
        <f aca="false">IF(AND(1&gt;=E26,OR(F26="",1&lt;=F26)),(D26*(1+assumptions!$G$76)^0/12*(1+assumptions!$G$70+assumptions!$G$71+IF(1&gt;=assumptions!$G$73,assumptions!$G$72,0))+assumptions!$G$74/12)+IF(1=E26,D26*assumptions!$G$75,0),0)</f>
        <v>0</v>
      </c>
      <c r="H26" s="19" t="n">
        <f aca="false">IF(AND(2&gt;=E26,OR(F26="",2&lt;=F26)),(D26*(1+assumptions!$G$76)^0/12*(1+assumptions!$G$70+assumptions!$G$71+IF(2&gt;=assumptions!$G$73,assumptions!$G$72,0))+assumptions!$G$74/12)+IF(2=E26,D26*assumptions!$G$75,0),0)</f>
        <v>0</v>
      </c>
      <c r="I26" s="19" t="n">
        <f aca="false">IF(AND(3&gt;=E26,OR(F26="",3&lt;=F26)),(D26*(1+assumptions!$G$76)^0/12*(1+assumptions!$G$70+assumptions!$G$71+IF(3&gt;=assumptions!$G$73,assumptions!$G$72,0))+assumptions!$G$74/12)+IF(3=E26,D26*assumptions!$G$75,0),0)</f>
        <v>0</v>
      </c>
      <c r="J26" s="19" t="n">
        <f aca="false">IF(AND(4&gt;=E26,OR(F26="",4&lt;=F26)),(D26*(1+assumptions!$G$76)^0/12*(1+assumptions!$G$70+assumptions!$G$71+IF(4&gt;=assumptions!$G$73,assumptions!$G$72,0))+assumptions!$G$74/12)+IF(4=E26,D26*assumptions!$G$75,0),0)</f>
        <v>0</v>
      </c>
      <c r="K26" s="19" t="n">
        <f aca="false">IF(AND(5&gt;=E26,OR(F26="",5&lt;=F26)),(D26*(1+assumptions!$G$76)^0/12*(1+assumptions!$G$70+assumptions!$G$71+IF(5&gt;=assumptions!$G$73,assumptions!$G$72,0))+assumptions!$G$74/12)+IF(5=E26,D26*assumptions!$G$75,0),0)</f>
        <v>0</v>
      </c>
      <c r="L26" s="19" t="n">
        <f aca="false">IF(AND(6&gt;=E26,OR(F26="",6&lt;=F26)),(D26*(1+assumptions!$G$76)^0/12*(1+assumptions!$G$70+assumptions!$G$71+IF(6&gt;=assumptions!$G$73,assumptions!$G$72,0))+assumptions!$G$74/12)+IF(6=E26,D26*assumptions!$G$75,0),0)</f>
        <v>0</v>
      </c>
      <c r="M26" s="19" t="n">
        <f aca="false">IF(AND(7&gt;=E26,OR(F26="",7&lt;=F26)),(D26*(1+assumptions!$G$76)^0/12*(1+assumptions!$G$70+assumptions!$G$71+IF(7&gt;=assumptions!$G$73,assumptions!$G$72,0))+assumptions!$G$74/12)+IF(7=E26,D26*assumptions!$G$75,0),0)</f>
        <v>0</v>
      </c>
      <c r="N26" s="19" t="n">
        <f aca="false">IF(AND(8&gt;=E26,OR(F26="",8&lt;=F26)),(D26*(1+assumptions!$G$76)^0/12*(1+assumptions!$G$70+assumptions!$G$71+IF(8&gt;=assumptions!$G$73,assumptions!$G$72,0))+assumptions!$G$74/12)+IF(8=E26,D26*assumptions!$G$75,0),0)</f>
        <v>0</v>
      </c>
      <c r="O26" s="19" t="n">
        <f aca="false">IF(AND(9&gt;=E26,OR(F26="",9&lt;=F26)),(D26*(1+assumptions!$G$76)^0/12*(1+assumptions!$G$70+assumptions!$G$71+IF(9&gt;=assumptions!$G$73,assumptions!$G$72,0))+assumptions!$G$74/12)+IF(9=E26,D26*assumptions!$G$75,0),0)</f>
        <v>0</v>
      </c>
      <c r="P26" s="19" t="n">
        <f aca="false">IF(AND(10&gt;=E26,OR(F26="",10&lt;=F26)),(D26*(1+assumptions!$G$76)^0/12*(1+assumptions!$G$70+assumptions!$G$71+IF(10&gt;=assumptions!$G$73,assumptions!$G$72,0))+assumptions!$G$74/12)+IF(10=E26,D26*assumptions!$G$75,0),0)</f>
        <v>0</v>
      </c>
      <c r="Q26" s="19" t="n">
        <f aca="false">IF(AND(11&gt;=E26,OR(F26="",11&lt;=F26)),(D26*(1+assumptions!$G$76)^0/12*(1+assumptions!$G$70+assumptions!$G$71+IF(11&gt;=assumptions!$G$73,assumptions!$G$72,0))+assumptions!$G$74/12)+IF(11=E26,D26*assumptions!$G$75,0),0)</f>
        <v>0</v>
      </c>
      <c r="R26" s="19" t="n">
        <f aca="false">IF(AND(12&gt;=E26,OR(F26="",12&lt;=F26)),(D26*(1+assumptions!$G$76)^0/12*(1+assumptions!$G$70+assumptions!$G$71+IF(12&gt;=assumptions!$G$73,assumptions!$G$72,0))+assumptions!$G$74/12)+IF(12=E26,D26*assumptions!$G$75,0),0)</f>
        <v>0</v>
      </c>
      <c r="S26" s="19" t="n">
        <f aca="false">IF(AND(13&gt;=E26,OR(F26="",13&lt;=F26)),(D26*(1+assumptions!$G$76)^1/12*(1+assumptions!$G$70+assumptions!$G$71+IF(13&gt;=assumptions!$G$73,assumptions!$G$72,0))+assumptions!$G$74/12)+IF(13=E26,D26*assumptions!$G$75,0),0)</f>
        <v>0</v>
      </c>
      <c r="T26" s="19" t="n">
        <f aca="false">IF(AND(14&gt;=E26,OR(F26="",14&lt;=F26)),(D26*(1+assumptions!$G$76)^1/12*(1+assumptions!$G$70+assumptions!$G$71+IF(14&gt;=assumptions!$G$73,assumptions!$G$72,0))+assumptions!$G$74/12)+IF(14=E26,D26*assumptions!$G$75,0),0)</f>
        <v>0</v>
      </c>
      <c r="U26" s="19" t="n">
        <f aca="false">IF(AND(15&gt;=E26,OR(F26="",15&lt;=F26)),(D26*(1+assumptions!$G$76)^1/12*(1+assumptions!$G$70+assumptions!$G$71+IF(15&gt;=assumptions!$G$73,assumptions!$G$72,0))+assumptions!$G$74/12)+IF(15=E26,D26*assumptions!$G$75,0),0)</f>
        <v>0</v>
      </c>
      <c r="V26" s="19" t="n">
        <f aca="false">IF(AND(16&gt;=E26,OR(F26="",16&lt;=F26)),(D26*(1+assumptions!$G$76)^1/12*(1+assumptions!$G$70+assumptions!$G$71+IF(16&gt;=assumptions!$G$73,assumptions!$G$72,0))+assumptions!$G$74/12)+IF(16=E26,D26*assumptions!$G$75,0),0)</f>
        <v>0</v>
      </c>
      <c r="W26" s="19" t="n">
        <f aca="false">IF(AND(17&gt;=E26,OR(F26="",17&lt;=F26)),(D26*(1+assumptions!$G$76)^1/12*(1+assumptions!$G$70+assumptions!$G$71+IF(17&gt;=assumptions!$G$73,assumptions!$G$72,0))+assumptions!$G$74/12)+IF(17=E26,D26*assumptions!$G$75,0),0)</f>
        <v>0</v>
      </c>
      <c r="X26" s="19" t="n">
        <f aca="false">IF(AND(18&gt;=E26,OR(F26="",18&lt;=F26)),(D26*(1+assumptions!$G$76)^1/12*(1+assumptions!$G$70+assumptions!$G$71+IF(18&gt;=assumptions!$G$73,assumptions!$G$72,0))+assumptions!$G$74/12)+IF(18=E26,D26*assumptions!$G$75,0),0)</f>
        <v>0</v>
      </c>
      <c r="Y26" s="19" t="n">
        <f aca="false">IF(AND(19&gt;=E26,OR(F26="",19&lt;=F26)),(D26*(1+assumptions!$G$76)^1/12*(1+assumptions!$G$70+assumptions!$G$71+IF(19&gt;=assumptions!$G$73,assumptions!$G$72,0))+assumptions!$G$74/12)+IF(19=E26,D26*assumptions!$G$75,0),0)</f>
        <v>0</v>
      </c>
      <c r="Z26" s="19" t="n">
        <f aca="false">IF(AND(20&gt;=E26,OR(F26="",20&lt;=F26)),(D26*(1+assumptions!$G$76)^1/12*(1+assumptions!$G$70+assumptions!$G$71+IF(20&gt;=assumptions!$G$73,assumptions!$G$72,0))+assumptions!$G$74/12)+IF(20=E26,D26*assumptions!$G$75,0),0)</f>
        <v>0</v>
      </c>
      <c r="AA26" s="19" t="n">
        <f aca="false">IF(AND(21&gt;=E26,OR(F26="",21&lt;=F26)),(D26*(1+assumptions!$G$76)^1/12*(1+assumptions!$G$70+assumptions!$G$71+IF(21&gt;=assumptions!$G$73,assumptions!$G$72,0))+assumptions!$G$74/12)+IF(21=E26,D26*assumptions!$G$75,0),0)</f>
        <v>0</v>
      </c>
      <c r="AB26" s="19" t="n">
        <f aca="false">IF(AND(22&gt;=E26,OR(F26="",22&lt;=F26)),(D26*(1+assumptions!$G$76)^1/12*(1+assumptions!$G$70+assumptions!$G$71+IF(22&gt;=assumptions!$G$73,assumptions!$G$72,0))+assumptions!$G$74/12)+IF(22=E26,D26*assumptions!$G$75,0),0)</f>
        <v>0</v>
      </c>
      <c r="AC26" s="19" t="n">
        <f aca="false">IF(AND(23&gt;=E26,OR(F26="",23&lt;=F26)),(D26*(1+assumptions!$G$76)^1/12*(1+assumptions!$G$70+assumptions!$G$71+IF(23&gt;=assumptions!$G$73,assumptions!$G$72,0))+assumptions!$G$74/12)+IF(23=E26,D26*assumptions!$G$75,0),0)</f>
        <v>0</v>
      </c>
      <c r="AD26" s="19" t="n">
        <f aca="false">IF(AND(24&gt;=E26,OR(F26="",24&lt;=F26)),(D26*(1+assumptions!$G$76)^1/12*(1+assumptions!$G$70+assumptions!$G$71+IF(24&gt;=assumptions!$G$73,assumptions!$G$72,0))+assumptions!$G$74/12)+IF(24=E26,D26*assumptions!$G$75,0),0)</f>
        <v>0</v>
      </c>
      <c r="AE26" s="19" t="n">
        <f aca="false">IF(AND(25&gt;=E26,OR(F26="",25&lt;=F26)),(D26*(1+assumptions!$G$76)^2/12*(1+assumptions!$G$70+assumptions!$G$71+IF(25&gt;=assumptions!$G$73,assumptions!$G$72,0))+assumptions!$G$74/12)+IF(25=E26,D26*assumptions!$G$75,0),0)</f>
        <v>0</v>
      </c>
      <c r="AF26" s="19" t="n">
        <f aca="false">IF(AND(26&gt;=E26,OR(F26="",26&lt;=F26)),(D26*(1+assumptions!$G$76)^2/12*(1+assumptions!$G$70+assumptions!$G$71+IF(26&gt;=assumptions!$G$73,assumptions!$G$72,0))+assumptions!$G$74/12)+IF(26=E26,D26*assumptions!$G$75,0),0)</f>
        <v>0</v>
      </c>
      <c r="AG26" s="19" t="n">
        <f aca="false">IF(AND(27&gt;=E26,OR(F26="",27&lt;=F26)),(D26*(1+assumptions!$G$76)^2/12*(1+assumptions!$G$70+assumptions!$G$71+IF(27&gt;=assumptions!$G$73,assumptions!$G$72,0))+assumptions!$G$74/12)+IF(27=E26,D26*assumptions!$G$75,0),0)</f>
        <v>0</v>
      </c>
      <c r="AH26" s="19" t="n">
        <f aca="false">IF(AND(28&gt;=E26,OR(F26="",28&lt;=F26)),(D26*(1+assumptions!$G$76)^2/12*(1+assumptions!$G$70+assumptions!$G$71+IF(28&gt;=assumptions!$G$73,assumptions!$G$72,0))+assumptions!$G$74/12)+IF(28=E26,D26*assumptions!$G$75,0),0)</f>
        <v>16922.216</v>
      </c>
      <c r="AI26" s="19" t="n">
        <f aca="false">IF(AND(29&gt;=E26,OR(F26="",29&lt;=F26)),(D26*(1+assumptions!$G$76)^2/12*(1+assumptions!$G$70+assumptions!$G$71+IF(29&gt;=assumptions!$G$73,assumptions!$G$72,0))+assumptions!$G$74/12)+IF(29=E26,D26*assumptions!$G$75,0),0)</f>
        <v>7172.216</v>
      </c>
      <c r="AJ26" s="19" t="n">
        <f aca="false">IF(AND(30&gt;=E26,OR(F26="",30&lt;=F26)),(D26*(1+assumptions!$G$76)^2/12*(1+assumptions!$G$70+assumptions!$G$71+IF(30&gt;=assumptions!$G$73,assumptions!$G$72,0))+assumptions!$G$74/12)+IF(30=E26,D26*assumptions!$G$75,0),0)</f>
        <v>7172.216</v>
      </c>
      <c r="AK26" s="19" t="n">
        <f aca="false">IF(AND(31&gt;=E26,OR(F26="",31&lt;=F26)),(D26*(1+assumptions!$G$76)^2/12*(1+assumptions!$G$70+assumptions!$G$71+IF(31&gt;=assumptions!$G$73,assumptions!$G$72,0))+assumptions!$G$74/12)+IF(31=E26,D26*assumptions!$G$75,0),0)</f>
        <v>7172.216</v>
      </c>
      <c r="AL26" s="19" t="n">
        <f aca="false">IF(AND(32&gt;=E26,OR(F26="",32&lt;=F26)),(D26*(1+assumptions!$G$76)^2/12*(1+assumptions!$G$70+assumptions!$G$71+IF(32&gt;=assumptions!$G$73,assumptions!$G$72,0))+assumptions!$G$74/12)+IF(32=E26,D26*assumptions!$G$75,0),0)</f>
        <v>7172.216</v>
      </c>
      <c r="AM26" s="19" t="n">
        <f aca="false">IF(AND(33&gt;=E26,OR(F26="",33&lt;=F26)),(D26*(1+assumptions!$G$76)^2/12*(1+assumptions!$G$70+assumptions!$G$71+IF(33&gt;=assumptions!$G$73,assumptions!$G$72,0))+assumptions!$G$74/12)+IF(33=E26,D26*assumptions!$G$75,0),0)</f>
        <v>7172.216</v>
      </c>
      <c r="AN26" s="19" t="n">
        <f aca="false">IF(AND(34&gt;=E26,OR(F26="",34&lt;=F26)),(D26*(1+assumptions!$G$76)^2/12*(1+assumptions!$G$70+assumptions!$G$71+IF(34&gt;=assumptions!$G$73,assumptions!$G$72,0))+assumptions!$G$74/12)+IF(34=E26,D26*assumptions!$G$75,0),0)</f>
        <v>7172.216</v>
      </c>
      <c r="AO26" s="19" t="n">
        <f aca="false">IF(AND(35&gt;=E26,OR(F26="",35&lt;=F26)),(D26*(1+assumptions!$G$76)^2/12*(1+assumptions!$G$70+assumptions!$G$71+IF(35&gt;=assumptions!$G$73,assumptions!$G$72,0))+assumptions!$G$74/12)+IF(35=E26,D26*assumptions!$G$75,0),0)</f>
        <v>7172.216</v>
      </c>
      <c r="AP26" s="19" t="n">
        <f aca="false">IF(AND(36&gt;=E26,OR(F26="",36&lt;=F26)),(D26*(1+assumptions!$G$76)^2/12*(1+assumptions!$G$70+assumptions!$G$71+IF(36&gt;=assumptions!$G$73,assumptions!$G$72,0))+assumptions!$G$74/12)+IF(36=E26,D26*assumptions!$G$75,0),0)</f>
        <v>7172.216</v>
      </c>
      <c r="AQ26" s="19" t="n">
        <f aca="false">IF(AND(37&gt;=E26,OR(F26="",37&lt;=F26)),(D26*(1+assumptions!$G$76)^3/12*(1+assumptions!$G$70+assumptions!$G$71+IF(37&gt;=assumptions!$G$73,assumptions!$G$72,0))+assumptions!$G$74/12)+IF(37=E26,D26*assumptions!$G$75,0),0)</f>
        <v>7447.10464</v>
      </c>
      <c r="AR26" s="19" t="n">
        <f aca="false">IF(AND(38&gt;=E26,OR(F26="",38&lt;=F26)),(D26*(1+assumptions!$G$76)^3/12*(1+assumptions!$G$70+assumptions!$G$71+IF(38&gt;=assumptions!$G$73,assumptions!$G$72,0))+assumptions!$G$74/12)+IF(38=E26,D26*assumptions!$G$75,0),0)</f>
        <v>7447.10464</v>
      </c>
      <c r="AS26" s="19" t="n">
        <f aca="false">IF(AND(39&gt;=E26,OR(F26="",39&lt;=F26)),(D26*(1+assumptions!$G$76)^3/12*(1+assumptions!$G$70+assumptions!$G$71+IF(39&gt;=assumptions!$G$73,assumptions!$G$72,0))+assumptions!$G$74/12)+IF(39=E26,D26*assumptions!$G$75,0),0)</f>
        <v>7447.10464</v>
      </c>
      <c r="AT26" s="19" t="n">
        <f aca="false">IF(AND(40&gt;=E26,OR(F26="",40&lt;=F26)),(D26*(1+assumptions!$G$76)^3/12*(1+assumptions!$G$70+assumptions!$G$71+IF(40&gt;=assumptions!$G$73,assumptions!$G$72,0))+assumptions!$G$74/12)+IF(40=E26,D26*assumptions!$G$75,0),0)</f>
        <v>7447.10464</v>
      </c>
      <c r="AU26" s="19" t="n">
        <f aca="false">IF(AND(41&gt;=E26,OR(F26="",41&lt;=F26)),(D26*(1+assumptions!$G$76)^3/12*(1+assumptions!$G$70+assumptions!$G$71+IF(41&gt;=assumptions!$G$73,assumptions!$G$72,0))+assumptions!$G$74/12)+IF(41=E26,D26*assumptions!$G$75,0),0)</f>
        <v>7447.10464</v>
      </c>
      <c r="AV26" s="19" t="n">
        <f aca="false">IF(AND(42&gt;=E26,OR(F26="",42&lt;=F26)),(D26*(1+assumptions!$G$76)^3/12*(1+assumptions!$G$70+assumptions!$G$71+IF(42&gt;=assumptions!$G$73,assumptions!$G$72,0))+assumptions!$G$74/12)+IF(42=E26,D26*assumptions!$G$75,0),0)</f>
        <v>7447.10464</v>
      </c>
      <c r="AW26" s="19" t="n">
        <f aca="false">IF(AND(43&gt;=E26,OR(F26="",43&lt;=F26)),(D26*(1+assumptions!$G$76)^3/12*(1+assumptions!$G$70+assumptions!$G$71+IF(43&gt;=assumptions!$G$73,assumptions!$G$72,0))+assumptions!$G$74/12)+IF(43=E26,D26*assumptions!$G$75,0),0)</f>
        <v>7447.10464</v>
      </c>
      <c r="AX26" s="19" t="n">
        <f aca="false">IF(AND(44&gt;=E26,OR(F26="",44&lt;=F26)),(D26*(1+assumptions!$G$76)^3/12*(1+assumptions!$G$70+assumptions!$G$71+IF(44&gt;=assumptions!$G$73,assumptions!$G$72,0))+assumptions!$G$74/12)+IF(44=E26,D26*assumptions!$G$75,0),0)</f>
        <v>7447.10464</v>
      </c>
      <c r="AY26" s="19" t="n">
        <f aca="false">IF(AND(45&gt;=E26,OR(F26="",45&lt;=F26)),(D26*(1+assumptions!$G$76)^3/12*(1+assumptions!$G$70+assumptions!$G$71+IF(45&gt;=assumptions!$G$73,assumptions!$G$72,0))+assumptions!$G$74/12)+IF(45=E26,D26*assumptions!$G$75,0),0)</f>
        <v>7447.10464</v>
      </c>
      <c r="AZ26" s="19" t="n">
        <f aca="false">IF(AND(46&gt;=E26,OR(F26="",46&lt;=F26)),(D26*(1+assumptions!$G$76)^3/12*(1+assumptions!$G$70+assumptions!$G$71+IF(46&gt;=assumptions!$G$73,assumptions!$G$72,0))+assumptions!$G$74/12)+IF(46=E26,D26*assumptions!$G$75,0),0)</f>
        <v>7447.10464</v>
      </c>
      <c r="BA26" s="19" t="n">
        <f aca="false">IF(AND(47&gt;=E26,OR(F26="",47&lt;=F26)),(D26*(1+assumptions!$G$76)^3/12*(1+assumptions!$G$70+assumptions!$G$71+IF(47&gt;=assumptions!$G$73,assumptions!$G$72,0))+assumptions!$G$74/12)+IF(47=E26,D26*assumptions!$G$75,0),0)</f>
        <v>7447.10464</v>
      </c>
      <c r="BB26" s="19" t="n">
        <f aca="false">IF(AND(48&gt;=E26,OR(F26="",48&lt;=F26)),(D26*(1+assumptions!$G$76)^3/12*(1+assumptions!$G$70+assumptions!$G$71+IF(48&gt;=assumptions!$G$73,assumptions!$G$72,0))+assumptions!$G$74/12)+IF(48=E26,D26*assumptions!$G$75,0),0)</f>
        <v>7447.10464</v>
      </c>
      <c r="BC26" s="19" t="n">
        <f aca="false">IF(AND(49&gt;=E26,OR(F26="",49&lt;=F26)),(D26*(1+assumptions!$G$76)^4/12*(1+assumptions!$G$70+assumptions!$G$71+IF(49&gt;=assumptions!$G$73,assumptions!$G$72,0))+assumptions!$G$74/12)+IF(49=E26,D26*assumptions!$G$75,0),0)</f>
        <v>7732.9888256</v>
      </c>
      <c r="BD26" s="19" t="n">
        <f aca="false">IF(AND(50&gt;=E26,OR(F26="",50&lt;=F26)),(D26*(1+assumptions!$G$76)^4/12*(1+assumptions!$G$70+assumptions!$G$71+IF(50&gt;=assumptions!$G$73,assumptions!$G$72,0))+assumptions!$G$74/12)+IF(50=E26,D26*assumptions!$G$75,0),0)</f>
        <v>7732.9888256</v>
      </c>
      <c r="BE26" s="19" t="n">
        <f aca="false">IF(AND(51&gt;=E26,OR(F26="",51&lt;=F26)),(D26*(1+assumptions!$G$76)^4/12*(1+assumptions!$G$70+assumptions!$G$71+IF(51&gt;=assumptions!$G$73,assumptions!$G$72,0))+assumptions!$G$74/12)+IF(51=E26,D26*assumptions!$G$75,0),0)</f>
        <v>7732.9888256</v>
      </c>
      <c r="BF26" s="19" t="n">
        <f aca="false">IF(AND(52&gt;=E26,OR(F26="",52&lt;=F26)),(D26*(1+assumptions!$G$76)^4/12*(1+assumptions!$G$70+assumptions!$G$71+IF(52&gt;=assumptions!$G$73,assumptions!$G$72,0))+assumptions!$G$74/12)+IF(52=E26,D26*assumptions!$G$75,0),0)</f>
        <v>7732.9888256</v>
      </c>
      <c r="BG26" s="19" t="n">
        <f aca="false">IF(AND(53&gt;=E26,OR(F26="",53&lt;=F26)),(D26*(1+assumptions!$G$76)^4/12*(1+assumptions!$G$70+assumptions!$G$71+IF(53&gt;=assumptions!$G$73,assumptions!$G$72,0))+assumptions!$G$74/12)+IF(53=E26,D26*assumptions!$G$75,0),0)</f>
        <v>7732.9888256</v>
      </c>
      <c r="BH26" s="19" t="n">
        <f aca="false">IF(AND(54&gt;=E26,OR(F26="",54&lt;=F26)),(D26*(1+assumptions!$G$76)^4/12*(1+assumptions!$G$70+assumptions!$G$71+IF(54&gt;=assumptions!$G$73,assumptions!$G$72,0))+assumptions!$G$74/12)+IF(54=E26,D26*assumptions!$G$75,0),0)</f>
        <v>7732.9888256</v>
      </c>
      <c r="BI26" s="19" t="n">
        <f aca="false">IF(AND(55&gt;=E26,OR(F26="",55&lt;=F26)),(D26*(1+assumptions!$G$76)^4/12*(1+assumptions!$G$70+assumptions!$G$71+IF(55&gt;=assumptions!$G$73,assumptions!$G$72,0))+assumptions!$G$74/12)+IF(55=E26,D26*assumptions!$G$75,0),0)</f>
        <v>7732.9888256</v>
      </c>
      <c r="BJ26" s="19" t="n">
        <f aca="false">IF(AND(56&gt;=E26,OR(F26="",56&lt;=F26)),(D26*(1+assumptions!$G$76)^4/12*(1+assumptions!$G$70+assumptions!$G$71+IF(56&gt;=assumptions!$G$73,assumptions!$G$72,0))+assumptions!$G$74/12)+IF(56=E26,D26*assumptions!$G$75,0),0)</f>
        <v>7732.9888256</v>
      </c>
      <c r="BK26" s="19" t="n">
        <f aca="false">IF(AND(57&gt;=E26,OR(F26="",57&lt;=F26)),(D26*(1+assumptions!$G$76)^4/12*(1+assumptions!$G$70+assumptions!$G$71+IF(57&gt;=assumptions!$G$73,assumptions!$G$72,0))+assumptions!$G$74/12)+IF(57=E26,D26*assumptions!$G$75,0),0)</f>
        <v>7732.9888256</v>
      </c>
      <c r="BL26" s="19" t="n">
        <f aca="false">IF(AND(58&gt;=E26,OR(F26="",58&lt;=F26)),(D26*(1+assumptions!$G$76)^4/12*(1+assumptions!$G$70+assumptions!$G$71+IF(58&gt;=assumptions!$G$73,assumptions!$G$72,0))+assumptions!$G$74/12)+IF(58=E26,D26*assumptions!$G$75,0),0)</f>
        <v>7732.9888256</v>
      </c>
      <c r="BM26" s="19" t="n">
        <f aca="false">IF(AND(59&gt;=E26,OR(F26="",59&lt;=F26)),(D26*(1+assumptions!$G$76)^4/12*(1+assumptions!$G$70+assumptions!$G$71+IF(59&gt;=assumptions!$G$73,assumptions!$G$72,0))+assumptions!$G$74/12)+IF(59=E26,D26*assumptions!$G$75,0),0)</f>
        <v>7732.9888256</v>
      </c>
      <c r="BN26" s="19" t="n">
        <f aca="false">IF(AND(60&gt;=E26,OR(F26="",60&lt;=F26)),(D26*(1+assumptions!$G$76)^4/12*(1+assumptions!$G$70+assumptions!$G$71+IF(60&gt;=assumptions!$G$73,assumptions!$G$72,0))+assumptions!$G$74/12)+IF(60=E26,D26*assumptions!$G$75,0),0)</f>
        <v>7732.9888256</v>
      </c>
    </row>
    <row r="27" customFormat="false" ht="14.25" hidden="false" customHeight="false" outlineLevel="0" collapsed="false">
      <c r="A27" s="7" t="n">
        <v>24</v>
      </c>
      <c r="B27" s="7" t="s">
        <v>367</v>
      </c>
      <c r="C27" s="7" t="s">
        <v>349</v>
      </c>
      <c r="D27" s="17" t="n">
        <v>65000</v>
      </c>
      <c r="E27" s="49" t="n">
        <v>30</v>
      </c>
      <c r="F27" s="49"/>
      <c r="G27" s="19" t="n">
        <f aca="false">IF(AND(1&gt;=E27,OR(F27="",1&lt;=F27)),(D27*(1+assumptions!$G$76)^0/12*(1+assumptions!$G$70+assumptions!$G$71+IF(1&gt;=assumptions!$G$73,assumptions!$G$72,0))+assumptions!$G$74/12)+IF(1=E27,D27*assumptions!$G$75,0),0)</f>
        <v>0</v>
      </c>
      <c r="H27" s="19" t="n">
        <f aca="false">IF(AND(2&gt;=E27,OR(F27="",2&lt;=F27)),(D27*(1+assumptions!$G$76)^0/12*(1+assumptions!$G$70+assumptions!$G$71+IF(2&gt;=assumptions!$G$73,assumptions!$G$72,0))+assumptions!$G$74/12)+IF(2=E27,D27*assumptions!$G$75,0),0)</f>
        <v>0</v>
      </c>
      <c r="I27" s="19" t="n">
        <f aca="false">IF(AND(3&gt;=E27,OR(F27="",3&lt;=F27)),(D27*(1+assumptions!$G$76)^0/12*(1+assumptions!$G$70+assumptions!$G$71+IF(3&gt;=assumptions!$G$73,assumptions!$G$72,0))+assumptions!$G$74/12)+IF(3=E27,D27*assumptions!$G$75,0),0)</f>
        <v>0</v>
      </c>
      <c r="J27" s="19" t="n">
        <f aca="false">IF(AND(4&gt;=E27,OR(F27="",4&lt;=F27)),(D27*(1+assumptions!$G$76)^0/12*(1+assumptions!$G$70+assumptions!$G$71+IF(4&gt;=assumptions!$G$73,assumptions!$G$72,0))+assumptions!$G$74/12)+IF(4=E27,D27*assumptions!$G$75,0),0)</f>
        <v>0</v>
      </c>
      <c r="K27" s="19" t="n">
        <f aca="false">IF(AND(5&gt;=E27,OR(F27="",5&lt;=F27)),(D27*(1+assumptions!$G$76)^0/12*(1+assumptions!$G$70+assumptions!$G$71+IF(5&gt;=assumptions!$G$73,assumptions!$G$72,0))+assumptions!$G$74/12)+IF(5=E27,D27*assumptions!$G$75,0),0)</f>
        <v>0</v>
      </c>
      <c r="L27" s="19" t="n">
        <f aca="false">IF(AND(6&gt;=E27,OR(F27="",6&lt;=F27)),(D27*(1+assumptions!$G$76)^0/12*(1+assumptions!$G$70+assumptions!$G$71+IF(6&gt;=assumptions!$G$73,assumptions!$G$72,0))+assumptions!$G$74/12)+IF(6=E27,D27*assumptions!$G$75,0),0)</f>
        <v>0</v>
      </c>
      <c r="M27" s="19" t="n">
        <f aca="false">IF(AND(7&gt;=E27,OR(F27="",7&lt;=F27)),(D27*(1+assumptions!$G$76)^0/12*(1+assumptions!$G$70+assumptions!$G$71+IF(7&gt;=assumptions!$G$73,assumptions!$G$72,0))+assumptions!$G$74/12)+IF(7=E27,D27*assumptions!$G$75,0),0)</f>
        <v>0</v>
      </c>
      <c r="N27" s="19" t="n">
        <f aca="false">IF(AND(8&gt;=E27,OR(F27="",8&lt;=F27)),(D27*(1+assumptions!$G$76)^0/12*(1+assumptions!$G$70+assumptions!$G$71+IF(8&gt;=assumptions!$G$73,assumptions!$G$72,0))+assumptions!$G$74/12)+IF(8=E27,D27*assumptions!$G$75,0),0)</f>
        <v>0</v>
      </c>
      <c r="O27" s="19" t="n">
        <f aca="false">IF(AND(9&gt;=E27,OR(F27="",9&lt;=F27)),(D27*(1+assumptions!$G$76)^0/12*(1+assumptions!$G$70+assumptions!$G$71+IF(9&gt;=assumptions!$G$73,assumptions!$G$72,0))+assumptions!$G$74/12)+IF(9=E27,D27*assumptions!$G$75,0),0)</f>
        <v>0</v>
      </c>
      <c r="P27" s="19" t="n">
        <f aca="false">IF(AND(10&gt;=E27,OR(F27="",10&lt;=F27)),(D27*(1+assumptions!$G$76)^0/12*(1+assumptions!$G$70+assumptions!$G$71+IF(10&gt;=assumptions!$G$73,assumptions!$G$72,0))+assumptions!$G$74/12)+IF(10=E27,D27*assumptions!$G$75,0),0)</f>
        <v>0</v>
      </c>
      <c r="Q27" s="19" t="n">
        <f aca="false">IF(AND(11&gt;=E27,OR(F27="",11&lt;=F27)),(D27*(1+assumptions!$G$76)^0/12*(1+assumptions!$G$70+assumptions!$G$71+IF(11&gt;=assumptions!$G$73,assumptions!$G$72,0))+assumptions!$G$74/12)+IF(11=E27,D27*assumptions!$G$75,0),0)</f>
        <v>0</v>
      </c>
      <c r="R27" s="19" t="n">
        <f aca="false">IF(AND(12&gt;=E27,OR(F27="",12&lt;=F27)),(D27*(1+assumptions!$G$76)^0/12*(1+assumptions!$G$70+assumptions!$G$71+IF(12&gt;=assumptions!$G$73,assumptions!$G$72,0))+assumptions!$G$74/12)+IF(12=E27,D27*assumptions!$G$75,0),0)</f>
        <v>0</v>
      </c>
      <c r="S27" s="19" t="n">
        <f aca="false">IF(AND(13&gt;=E27,OR(F27="",13&lt;=F27)),(D27*(1+assumptions!$G$76)^1/12*(1+assumptions!$G$70+assumptions!$G$71+IF(13&gt;=assumptions!$G$73,assumptions!$G$72,0))+assumptions!$G$74/12)+IF(13=E27,D27*assumptions!$G$75,0),0)</f>
        <v>0</v>
      </c>
      <c r="T27" s="19" t="n">
        <f aca="false">IF(AND(14&gt;=E27,OR(F27="",14&lt;=F27)),(D27*(1+assumptions!$G$76)^1/12*(1+assumptions!$G$70+assumptions!$G$71+IF(14&gt;=assumptions!$G$73,assumptions!$G$72,0))+assumptions!$G$74/12)+IF(14=E27,D27*assumptions!$G$75,0),0)</f>
        <v>0</v>
      </c>
      <c r="U27" s="19" t="n">
        <f aca="false">IF(AND(15&gt;=E27,OR(F27="",15&lt;=F27)),(D27*(1+assumptions!$G$76)^1/12*(1+assumptions!$G$70+assumptions!$G$71+IF(15&gt;=assumptions!$G$73,assumptions!$G$72,0))+assumptions!$G$74/12)+IF(15=E27,D27*assumptions!$G$75,0),0)</f>
        <v>0</v>
      </c>
      <c r="V27" s="19" t="n">
        <f aca="false">IF(AND(16&gt;=E27,OR(F27="",16&lt;=F27)),(D27*(1+assumptions!$G$76)^1/12*(1+assumptions!$G$70+assumptions!$G$71+IF(16&gt;=assumptions!$G$73,assumptions!$G$72,0))+assumptions!$G$74/12)+IF(16=E27,D27*assumptions!$G$75,0),0)</f>
        <v>0</v>
      </c>
      <c r="W27" s="19" t="n">
        <f aca="false">IF(AND(17&gt;=E27,OR(F27="",17&lt;=F27)),(D27*(1+assumptions!$G$76)^1/12*(1+assumptions!$G$70+assumptions!$G$71+IF(17&gt;=assumptions!$G$73,assumptions!$G$72,0))+assumptions!$G$74/12)+IF(17=E27,D27*assumptions!$G$75,0),0)</f>
        <v>0</v>
      </c>
      <c r="X27" s="19" t="n">
        <f aca="false">IF(AND(18&gt;=E27,OR(F27="",18&lt;=F27)),(D27*(1+assumptions!$G$76)^1/12*(1+assumptions!$G$70+assumptions!$G$71+IF(18&gt;=assumptions!$G$73,assumptions!$G$72,0))+assumptions!$G$74/12)+IF(18=E27,D27*assumptions!$G$75,0),0)</f>
        <v>0</v>
      </c>
      <c r="Y27" s="19" t="n">
        <f aca="false">IF(AND(19&gt;=E27,OR(F27="",19&lt;=F27)),(D27*(1+assumptions!$G$76)^1/12*(1+assumptions!$G$70+assumptions!$G$71+IF(19&gt;=assumptions!$G$73,assumptions!$G$72,0))+assumptions!$G$74/12)+IF(19=E27,D27*assumptions!$G$75,0),0)</f>
        <v>0</v>
      </c>
      <c r="Z27" s="19" t="n">
        <f aca="false">IF(AND(20&gt;=E27,OR(F27="",20&lt;=F27)),(D27*(1+assumptions!$G$76)^1/12*(1+assumptions!$G$70+assumptions!$G$71+IF(20&gt;=assumptions!$G$73,assumptions!$G$72,0))+assumptions!$G$74/12)+IF(20=E27,D27*assumptions!$G$75,0),0)</f>
        <v>0</v>
      </c>
      <c r="AA27" s="19" t="n">
        <f aca="false">IF(AND(21&gt;=E27,OR(F27="",21&lt;=F27)),(D27*(1+assumptions!$G$76)^1/12*(1+assumptions!$G$70+assumptions!$G$71+IF(21&gt;=assumptions!$G$73,assumptions!$G$72,0))+assumptions!$G$74/12)+IF(21=E27,D27*assumptions!$G$75,0),0)</f>
        <v>0</v>
      </c>
      <c r="AB27" s="19" t="n">
        <f aca="false">IF(AND(22&gt;=E27,OR(F27="",22&lt;=F27)),(D27*(1+assumptions!$G$76)^1/12*(1+assumptions!$G$70+assumptions!$G$71+IF(22&gt;=assumptions!$G$73,assumptions!$G$72,0))+assumptions!$G$74/12)+IF(22=E27,D27*assumptions!$G$75,0),0)</f>
        <v>0</v>
      </c>
      <c r="AC27" s="19" t="n">
        <f aca="false">IF(AND(23&gt;=E27,OR(F27="",23&lt;=F27)),(D27*(1+assumptions!$G$76)^1/12*(1+assumptions!$G$70+assumptions!$G$71+IF(23&gt;=assumptions!$G$73,assumptions!$G$72,0))+assumptions!$G$74/12)+IF(23=E27,D27*assumptions!$G$75,0),0)</f>
        <v>0</v>
      </c>
      <c r="AD27" s="19" t="n">
        <f aca="false">IF(AND(24&gt;=E27,OR(F27="",24&lt;=F27)),(D27*(1+assumptions!$G$76)^1/12*(1+assumptions!$G$70+assumptions!$G$71+IF(24&gt;=assumptions!$G$73,assumptions!$G$72,0))+assumptions!$G$74/12)+IF(24=E27,D27*assumptions!$G$75,0),0)</f>
        <v>0</v>
      </c>
      <c r="AE27" s="19" t="n">
        <f aca="false">IF(AND(25&gt;=E27,OR(F27="",25&lt;=F27)),(D27*(1+assumptions!$G$76)^2/12*(1+assumptions!$G$70+assumptions!$G$71+IF(25&gt;=assumptions!$G$73,assumptions!$G$72,0))+assumptions!$G$74/12)+IF(25=E27,D27*assumptions!$G$75,0),0)</f>
        <v>0</v>
      </c>
      <c r="AF27" s="19" t="n">
        <f aca="false">IF(AND(26&gt;=E27,OR(F27="",26&lt;=F27)),(D27*(1+assumptions!$G$76)^2/12*(1+assumptions!$G$70+assumptions!$G$71+IF(26&gt;=assumptions!$G$73,assumptions!$G$72,0))+assumptions!$G$74/12)+IF(26=E27,D27*assumptions!$G$75,0),0)</f>
        <v>0</v>
      </c>
      <c r="AG27" s="19" t="n">
        <f aca="false">IF(AND(27&gt;=E27,OR(F27="",27&lt;=F27)),(D27*(1+assumptions!$G$76)^2/12*(1+assumptions!$G$70+assumptions!$G$71+IF(27&gt;=assumptions!$G$73,assumptions!$G$72,0))+assumptions!$G$74/12)+IF(27=E27,D27*assumptions!$G$75,0),0)</f>
        <v>0</v>
      </c>
      <c r="AH27" s="19" t="n">
        <f aca="false">IF(AND(28&gt;=E27,OR(F27="",28&lt;=F27)),(D27*(1+assumptions!$G$76)^2/12*(1+assumptions!$G$70+assumptions!$G$71+IF(28&gt;=assumptions!$G$73,assumptions!$G$72,0))+assumptions!$G$74/12)+IF(28=E27,D27*assumptions!$G$75,0),0)</f>
        <v>0</v>
      </c>
      <c r="AI27" s="19" t="n">
        <f aca="false">IF(AND(29&gt;=E27,OR(F27="",29&lt;=F27)),(D27*(1+assumptions!$G$76)^2/12*(1+assumptions!$G$70+assumptions!$G$71+IF(29&gt;=assumptions!$G$73,assumptions!$G$72,0))+assumptions!$G$74/12)+IF(29=E27,D27*assumptions!$G$75,0),0)</f>
        <v>0</v>
      </c>
      <c r="AJ27" s="19" t="n">
        <f aca="false">IF(AND(30&gt;=E27,OR(F27="",30&lt;=F27)),(D27*(1+assumptions!$G$76)^2/12*(1+assumptions!$G$70+assumptions!$G$71+IF(30&gt;=assumptions!$G$73,assumptions!$G$72,0))+assumptions!$G$74/12)+IF(30=E27,D27*assumptions!$G$75,0),0)</f>
        <v>16922.216</v>
      </c>
      <c r="AK27" s="19" t="n">
        <f aca="false">IF(AND(31&gt;=E27,OR(F27="",31&lt;=F27)),(D27*(1+assumptions!$G$76)^2/12*(1+assumptions!$G$70+assumptions!$G$71+IF(31&gt;=assumptions!$G$73,assumptions!$G$72,0))+assumptions!$G$74/12)+IF(31=E27,D27*assumptions!$G$75,0),0)</f>
        <v>7172.216</v>
      </c>
      <c r="AL27" s="19" t="n">
        <f aca="false">IF(AND(32&gt;=E27,OR(F27="",32&lt;=F27)),(D27*(1+assumptions!$G$76)^2/12*(1+assumptions!$G$70+assumptions!$G$71+IF(32&gt;=assumptions!$G$73,assumptions!$G$72,0))+assumptions!$G$74/12)+IF(32=E27,D27*assumptions!$G$75,0),0)</f>
        <v>7172.216</v>
      </c>
      <c r="AM27" s="19" t="n">
        <f aca="false">IF(AND(33&gt;=E27,OR(F27="",33&lt;=F27)),(D27*(1+assumptions!$G$76)^2/12*(1+assumptions!$G$70+assumptions!$G$71+IF(33&gt;=assumptions!$G$73,assumptions!$G$72,0))+assumptions!$G$74/12)+IF(33=E27,D27*assumptions!$G$75,0),0)</f>
        <v>7172.216</v>
      </c>
      <c r="AN27" s="19" t="n">
        <f aca="false">IF(AND(34&gt;=E27,OR(F27="",34&lt;=F27)),(D27*(1+assumptions!$G$76)^2/12*(1+assumptions!$G$70+assumptions!$G$71+IF(34&gt;=assumptions!$G$73,assumptions!$G$72,0))+assumptions!$G$74/12)+IF(34=E27,D27*assumptions!$G$75,0),0)</f>
        <v>7172.216</v>
      </c>
      <c r="AO27" s="19" t="n">
        <f aca="false">IF(AND(35&gt;=E27,OR(F27="",35&lt;=F27)),(D27*(1+assumptions!$G$76)^2/12*(1+assumptions!$G$70+assumptions!$G$71+IF(35&gt;=assumptions!$G$73,assumptions!$G$72,0))+assumptions!$G$74/12)+IF(35=E27,D27*assumptions!$G$75,0),0)</f>
        <v>7172.216</v>
      </c>
      <c r="AP27" s="19" t="n">
        <f aca="false">IF(AND(36&gt;=E27,OR(F27="",36&lt;=F27)),(D27*(1+assumptions!$G$76)^2/12*(1+assumptions!$G$70+assumptions!$G$71+IF(36&gt;=assumptions!$G$73,assumptions!$G$72,0))+assumptions!$G$74/12)+IF(36=E27,D27*assumptions!$G$75,0),0)</f>
        <v>7172.216</v>
      </c>
      <c r="AQ27" s="19" t="n">
        <f aca="false">IF(AND(37&gt;=E27,OR(F27="",37&lt;=F27)),(D27*(1+assumptions!$G$76)^3/12*(1+assumptions!$G$70+assumptions!$G$71+IF(37&gt;=assumptions!$G$73,assumptions!$G$72,0))+assumptions!$G$74/12)+IF(37=E27,D27*assumptions!$G$75,0),0)</f>
        <v>7447.10464</v>
      </c>
      <c r="AR27" s="19" t="n">
        <f aca="false">IF(AND(38&gt;=E27,OR(F27="",38&lt;=F27)),(D27*(1+assumptions!$G$76)^3/12*(1+assumptions!$G$70+assumptions!$G$71+IF(38&gt;=assumptions!$G$73,assumptions!$G$72,0))+assumptions!$G$74/12)+IF(38=E27,D27*assumptions!$G$75,0),0)</f>
        <v>7447.10464</v>
      </c>
      <c r="AS27" s="19" t="n">
        <f aca="false">IF(AND(39&gt;=E27,OR(F27="",39&lt;=F27)),(D27*(1+assumptions!$G$76)^3/12*(1+assumptions!$G$70+assumptions!$G$71+IF(39&gt;=assumptions!$G$73,assumptions!$G$72,0))+assumptions!$G$74/12)+IF(39=E27,D27*assumptions!$G$75,0),0)</f>
        <v>7447.10464</v>
      </c>
      <c r="AT27" s="19" t="n">
        <f aca="false">IF(AND(40&gt;=E27,OR(F27="",40&lt;=F27)),(D27*(1+assumptions!$G$76)^3/12*(1+assumptions!$G$70+assumptions!$G$71+IF(40&gt;=assumptions!$G$73,assumptions!$G$72,0))+assumptions!$G$74/12)+IF(40=E27,D27*assumptions!$G$75,0),0)</f>
        <v>7447.10464</v>
      </c>
      <c r="AU27" s="19" t="n">
        <f aca="false">IF(AND(41&gt;=E27,OR(F27="",41&lt;=F27)),(D27*(1+assumptions!$G$76)^3/12*(1+assumptions!$G$70+assumptions!$G$71+IF(41&gt;=assumptions!$G$73,assumptions!$G$72,0))+assumptions!$G$74/12)+IF(41=E27,D27*assumptions!$G$75,0),0)</f>
        <v>7447.10464</v>
      </c>
      <c r="AV27" s="19" t="n">
        <f aca="false">IF(AND(42&gt;=E27,OR(F27="",42&lt;=F27)),(D27*(1+assumptions!$G$76)^3/12*(1+assumptions!$G$70+assumptions!$G$71+IF(42&gt;=assumptions!$G$73,assumptions!$G$72,0))+assumptions!$G$74/12)+IF(42=E27,D27*assumptions!$G$75,0),0)</f>
        <v>7447.10464</v>
      </c>
      <c r="AW27" s="19" t="n">
        <f aca="false">IF(AND(43&gt;=E27,OR(F27="",43&lt;=F27)),(D27*(1+assumptions!$G$76)^3/12*(1+assumptions!$G$70+assumptions!$G$71+IF(43&gt;=assumptions!$G$73,assumptions!$G$72,0))+assumptions!$G$74/12)+IF(43=E27,D27*assumptions!$G$75,0),0)</f>
        <v>7447.10464</v>
      </c>
      <c r="AX27" s="19" t="n">
        <f aca="false">IF(AND(44&gt;=E27,OR(F27="",44&lt;=F27)),(D27*(1+assumptions!$G$76)^3/12*(1+assumptions!$G$70+assumptions!$G$71+IF(44&gt;=assumptions!$G$73,assumptions!$G$72,0))+assumptions!$G$74/12)+IF(44=E27,D27*assumptions!$G$75,0),0)</f>
        <v>7447.10464</v>
      </c>
      <c r="AY27" s="19" t="n">
        <f aca="false">IF(AND(45&gt;=E27,OR(F27="",45&lt;=F27)),(D27*(1+assumptions!$G$76)^3/12*(1+assumptions!$G$70+assumptions!$G$71+IF(45&gt;=assumptions!$G$73,assumptions!$G$72,0))+assumptions!$G$74/12)+IF(45=E27,D27*assumptions!$G$75,0),0)</f>
        <v>7447.10464</v>
      </c>
      <c r="AZ27" s="19" t="n">
        <f aca="false">IF(AND(46&gt;=E27,OR(F27="",46&lt;=F27)),(D27*(1+assumptions!$G$76)^3/12*(1+assumptions!$G$70+assumptions!$G$71+IF(46&gt;=assumptions!$G$73,assumptions!$G$72,0))+assumptions!$G$74/12)+IF(46=E27,D27*assumptions!$G$75,0),0)</f>
        <v>7447.10464</v>
      </c>
      <c r="BA27" s="19" t="n">
        <f aca="false">IF(AND(47&gt;=E27,OR(F27="",47&lt;=F27)),(D27*(1+assumptions!$G$76)^3/12*(1+assumptions!$G$70+assumptions!$G$71+IF(47&gt;=assumptions!$G$73,assumptions!$G$72,0))+assumptions!$G$74/12)+IF(47=E27,D27*assumptions!$G$75,0),0)</f>
        <v>7447.10464</v>
      </c>
      <c r="BB27" s="19" t="n">
        <f aca="false">IF(AND(48&gt;=E27,OR(F27="",48&lt;=F27)),(D27*(1+assumptions!$G$76)^3/12*(1+assumptions!$G$70+assumptions!$G$71+IF(48&gt;=assumptions!$G$73,assumptions!$G$72,0))+assumptions!$G$74/12)+IF(48=E27,D27*assumptions!$G$75,0),0)</f>
        <v>7447.10464</v>
      </c>
      <c r="BC27" s="19" t="n">
        <f aca="false">IF(AND(49&gt;=E27,OR(F27="",49&lt;=F27)),(D27*(1+assumptions!$G$76)^4/12*(1+assumptions!$G$70+assumptions!$G$71+IF(49&gt;=assumptions!$G$73,assumptions!$G$72,0))+assumptions!$G$74/12)+IF(49=E27,D27*assumptions!$G$75,0),0)</f>
        <v>7732.9888256</v>
      </c>
      <c r="BD27" s="19" t="n">
        <f aca="false">IF(AND(50&gt;=E27,OR(F27="",50&lt;=F27)),(D27*(1+assumptions!$G$76)^4/12*(1+assumptions!$G$70+assumptions!$G$71+IF(50&gt;=assumptions!$G$73,assumptions!$G$72,0))+assumptions!$G$74/12)+IF(50=E27,D27*assumptions!$G$75,0),0)</f>
        <v>7732.9888256</v>
      </c>
      <c r="BE27" s="19" t="n">
        <f aca="false">IF(AND(51&gt;=E27,OR(F27="",51&lt;=F27)),(D27*(1+assumptions!$G$76)^4/12*(1+assumptions!$G$70+assumptions!$G$71+IF(51&gt;=assumptions!$G$73,assumptions!$G$72,0))+assumptions!$G$74/12)+IF(51=E27,D27*assumptions!$G$75,0),0)</f>
        <v>7732.9888256</v>
      </c>
      <c r="BF27" s="19" t="n">
        <f aca="false">IF(AND(52&gt;=E27,OR(F27="",52&lt;=F27)),(D27*(1+assumptions!$G$76)^4/12*(1+assumptions!$G$70+assumptions!$G$71+IF(52&gt;=assumptions!$G$73,assumptions!$G$72,0))+assumptions!$G$74/12)+IF(52=E27,D27*assumptions!$G$75,0),0)</f>
        <v>7732.9888256</v>
      </c>
      <c r="BG27" s="19" t="n">
        <f aca="false">IF(AND(53&gt;=E27,OR(F27="",53&lt;=F27)),(D27*(1+assumptions!$G$76)^4/12*(1+assumptions!$G$70+assumptions!$G$71+IF(53&gt;=assumptions!$G$73,assumptions!$G$72,0))+assumptions!$G$74/12)+IF(53=E27,D27*assumptions!$G$75,0),0)</f>
        <v>7732.9888256</v>
      </c>
      <c r="BH27" s="19" t="n">
        <f aca="false">IF(AND(54&gt;=E27,OR(F27="",54&lt;=F27)),(D27*(1+assumptions!$G$76)^4/12*(1+assumptions!$G$70+assumptions!$G$71+IF(54&gt;=assumptions!$G$73,assumptions!$G$72,0))+assumptions!$G$74/12)+IF(54=E27,D27*assumptions!$G$75,0),0)</f>
        <v>7732.9888256</v>
      </c>
      <c r="BI27" s="19" t="n">
        <f aca="false">IF(AND(55&gt;=E27,OR(F27="",55&lt;=F27)),(D27*(1+assumptions!$G$76)^4/12*(1+assumptions!$G$70+assumptions!$G$71+IF(55&gt;=assumptions!$G$73,assumptions!$G$72,0))+assumptions!$G$74/12)+IF(55=E27,D27*assumptions!$G$75,0),0)</f>
        <v>7732.9888256</v>
      </c>
      <c r="BJ27" s="19" t="n">
        <f aca="false">IF(AND(56&gt;=E27,OR(F27="",56&lt;=F27)),(D27*(1+assumptions!$G$76)^4/12*(1+assumptions!$G$70+assumptions!$G$71+IF(56&gt;=assumptions!$G$73,assumptions!$G$72,0))+assumptions!$G$74/12)+IF(56=E27,D27*assumptions!$G$75,0),0)</f>
        <v>7732.9888256</v>
      </c>
      <c r="BK27" s="19" t="n">
        <f aca="false">IF(AND(57&gt;=E27,OR(F27="",57&lt;=F27)),(D27*(1+assumptions!$G$76)^4/12*(1+assumptions!$G$70+assumptions!$G$71+IF(57&gt;=assumptions!$G$73,assumptions!$G$72,0))+assumptions!$G$74/12)+IF(57=E27,D27*assumptions!$G$75,0),0)</f>
        <v>7732.9888256</v>
      </c>
      <c r="BL27" s="19" t="n">
        <f aca="false">IF(AND(58&gt;=E27,OR(F27="",58&lt;=F27)),(D27*(1+assumptions!$G$76)^4/12*(1+assumptions!$G$70+assumptions!$G$71+IF(58&gt;=assumptions!$G$73,assumptions!$G$72,0))+assumptions!$G$74/12)+IF(58=E27,D27*assumptions!$G$75,0),0)</f>
        <v>7732.9888256</v>
      </c>
      <c r="BM27" s="19" t="n">
        <f aca="false">IF(AND(59&gt;=E27,OR(F27="",59&lt;=F27)),(D27*(1+assumptions!$G$76)^4/12*(1+assumptions!$G$70+assumptions!$G$71+IF(59&gt;=assumptions!$G$73,assumptions!$G$72,0))+assumptions!$G$74/12)+IF(59=E27,D27*assumptions!$G$75,0),0)</f>
        <v>7732.9888256</v>
      </c>
      <c r="BN27" s="19" t="n">
        <f aca="false">IF(AND(60&gt;=E27,OR(F27="",60&lt;=F27)),(D27*(1+assumptions!$G$76)^4/12*(1+assumptions!$G$70+assumptions!$G$71+IF(60&gt;=assumptions!$G$73,assumptions!$G$72,0))+assumptions!$G$74/12)+IF(60=E27,D27*assumptions!$G$75,0),0)</f>
        <v>7732.9888256</v>
      </c>
    </row>
    <row r="28" customFormat="false" ht="14.25" hidden="false" customHeight="false" outlineLevel="0" collapsed="false">
      <c r="A28" s="7" t="n">
        <v>25</v>
      </c>
      <c r="B28" s="7" t="s">
        <v>368</v>
      </c>
      <c r="C28" s="7" t="s">
        <v>354</v>
      </c>
      <c r="D28" s="17" t="n">
        <v>70000</v>
      </c>
      <c r="E28" s="49" t="n">
        <v>32</v>
      </c>
      <c r="F28" s="49"/>
      <c r="G28" s="19" t="n">
        <f aca="false">IF(AND(1&gt;=E28,OR(F28="",1&lt;=F28)),(D28*(1+assumptions!$G$76)^0/12*(1+assumptions!$G$70+assumptions!$G$71+IF(1&gt;=assumptions!$G$73,assumptions!$G$72,0))+assumptions!$G$74/12)+IF(1=E28,D28*assumptions!$G$75,0),0)</f>
        <v>0</v>
      </c>
      <c r="H28" s="19" t="n">
        <f aca="false">IF(AND(2&gt;=E28,OR(F28="",2&lt;=F28)),(D28*(1+assumptions!$G$76)^0/12*(1+assumptions!$G$70+assumptions!$G$71+IF(2&gt;=assumptions!$G$73,assumptions!$G$72,0))+assumptions!$G$74/12)+IF(2=E28,D28*assumptions!$G$75,0),0)</f>
        <v>0</v>
      </c>
      <c r="I28" s="19" t="n">
        <f aca="false">IF(AND(3&gt;=E28,OR(F28="",3&lt;=F28)),(D28*(1+assumptions!$G$76)^0/12*(1+assumptions!$G$70+assumptions!$G$71+IF(3&gt;=assumptions!$G$73,assumptions!$G$72,0))+assumptions!$G$74/12)+IF(3=E28,D28*assumptions!$G$75,0),0)</f>
        <v>0</v>
      </c>
      <c r="J28" s="19" t="n">
        <f aca="false">IF(AND(4&gt;=E28,OR(F28="",4&lt;=F28)),(D28*(1+assumptions!$G$76)^0/12*(1+assumptions!$G$70+assumptions!$G$71+IF(4&gt;=assumptions!$G$73,assumptions!$G$72,0))+assumptions!$G$74/12)+IF(4=E28,D28*assumptions!$G$75,0),0)</f>
        <v>0</v>
      </c>
      <c r="K28" s="19" t="n">
        <f aca="false">IF(AND(5&gt;=E28,OR(F28="",5&lt;=F28)),(D28*(1+assumptions!$G$76)^0/12*(1+assumptions!$G$70+assumptions!$G$71+IF(5&gt;=assumptions!$G$73,assumptions!$G$72,0))+assumptions!$G$74/12)+IF(5=E28,D28*assumptions!$G$75,0),0)</f>
        <v>0</v>
      </c>
      <c r="L28" s="19" t="n">
        <f aca="false">IF(AND(6&gt;=E28,OR(F28="",6&lt;=F28)),(D28*(1+assumptions!$G$76)^0/12*(1+assumptions!$G$70+assumptions!$G$71+IF(6&gt;=assumptions!$G$73,assumptions!$G$72,0))+assumptions!$G$74/12)+IF(6=E28,D28*assumptions!$G$75,0),0)</f>
        <v>0</v>
      </c>
      <c r="M28" s="19" t="n">
        <f aca="false">IF(AND(7&gt;=E28,OR(F28="",7&lt;=F28)),(D28*(1+assumptions!$G$76)^0/12*(1+assumptions!$G$70+assumptions!$G$71+IF(7&gt;=assumptions!$G$73,assumptions!$G$72,0))+assumptions!$G$74/12)+IF(7=E28,D28*assumptions!$G$75,0),0)</f>
        <v>0</v>
      </c>
      <c r="N28" s="19" t="n">
        <f aca="false">IF(AND(8&gt;=E28,OR(F28="",8&lt;=F28)),(D28*(1+assumptions!$G$76)^0/12*(1+assumptions!$G$70+assumptions!$G$71+IF(8&gt;=assumptions!$G$73,assumptions!$G$72,0))+assumptions!$G$74/12)+IF(8=E28,D28*assumptions!$G$75,0),0)</f>
        <v>0</v>
      </c>
      <c r="O28" s="19" t="n">
        <f aca="false">IF(AND(9&gt;=E28,OR(F28="",9&lt;=F28)),(D28*(1+assumptions!$G$76)^0/12*(1+assumptions!$G$70+assumptions!$G$71+IF(9&gt;=assumptions!$G$73,assumptions!$G$72,0))+assumptions!$G$74/12)+IF(9=E28,D28*assumptions!$G$75,0),0)</f>
        <v>0</v>
      </c>
      <c r="P28" s="19" t="n">
        <f aca="false">IF(AND(10&gt;=E28,OR(F28="",10&lt;=F28)),(D28*(1+assumptions!$G$76)^0/12*(1+assumptions!$G$70+assumptions!$G$71+IF(10&gt;=assumptions!$G$73,assumptions!$G$72,0))+assumptions!$G$74/12)+IF(10=E28,D28*assumptions!$G$75,0),0)</f>
        <v>0</v>
      </c>
      <c r="Q28" s="19" t="n">
        <f aca="false">IF(AND(11&gt;=E28,OR(F28="",11&lt;=F28)),(D28*(1+assumptions!$G$76)^0/12*(1+assumptions!$G$70+assumptions!$G$71+IF(11&gt;=assumptions!$G$73,assumptions!$G$72,0))+assumptions!$G$74/12)+IF(11=E28,D28*assumptions!$G$75,0),0)</f>
        <v>0</v>
      </c>
      <c r="R28" s="19" t="n">
        <f aca="false">IF(AND(12&gt;=E28,OR(F28="",12&lt;=F28)),(D28*(1+assumptions!$G$76)^0/12*(1+assumptions!$G$70+assumptions!$G$71+IF(12&gt;=assumptions!$G$73,assumptions!$G$72,0))+assumptions!$G$74/12)+IF(12=E28,D28*assumptions!$G$75,0),0)</f>
        <v>0</v>
      </c>
      <c r="S28" s="19" t="n">
        <f aca="false">IF(AND(13&gt;=E28,OR(F28="",13&lt;=F28)),(D28*(1+assumptions!$G$76)^1/12*(1+assumptions!$G$70+assumptions!$G$71+IF(13&gt;=assumptions!$G$73,assumptions!$G$72,0))+assumptions!$G$74/12)+IF(13=E28,D28*assumptions!$G$75,0),0)</f>
        <v>0</v>
      </c>
      <c r="T28" s="19" t="n">
        <f aca="false">IF(AND(14&gt;=E28,OR(F28="",14&lt;=F28)),(D28*(1+assumptions!$G$76)^1/12*(1+assumptions!$G$70+assumptions!$G$71+IF(14&gt;=assumptions!$G$73,assumptions!$G$72,0))+assumptions!$G$74/12)+IF(14=E28,D28*assumptions!$G$75,0),0)</f>
        <v>0</v>
      </c>
      <c r="U28" s="19" t="n">
        <f aca="false">IF(AND(15&gt;=E28,OR(F28="",15&lt;=F28)),(D28*(1+assumptions!$G$76)^1/12*(1+assumptions!$G$70+assumptions!$G$71+IF(15&gt;=assumptions!$G$73,assumptions!$G$72,0))+assumptions!$G$74/12)+IF(15=E28,D28*assumptions!$G$75,0),0)</f>
        <v>0</v>
      </c>
      <c r="V28" s="19" t="n">
        <f aca="false">IF(AND(16&gt;=E28,OR(F28="",16&lt;=F28)),(D28*(1+assumptions!$G$76)^1/12*(1+assumptions!$G$70+assumptions!$G$71+IF(16&gt;=assumptions!$G$73,assumptions!$G$72,0))+assumptions!$G$74/12)+IF(16=E28,D28*assumptions!$G$75,0),0)</f>
        <v>0</v>
      </c>
      <c r="W28" s="19" t="n">
        <f aca="false">IF(AND(17&gt;=E28,OR(F28="",17&lt;=F28)),(D28*(1+assumptions!$G$76)^1/12*(1+assumptions!$G$70+assumptions!$G$71+IF(17&gt;=assumptions!$G$73,assumptions!$G$72,0))+assumptions!$G$74/12)+IF(17=E28,D28*assumptions!$G$75,0),0)</f>
        <v>0</v>
      </c>
      <c r="X28" s="19" t="n">
        <f aca="false">IF(AND(18&gt;=E28,OR(F28="",18&lt;=F28)),(D28*(1+assumptions!$G$76)^1/12*(1+assumptions!$G$70+assumptions!$G$71+IF(18&gt;=assumptions!$G$73,assumptions!$G$72,0))+assumptions!$G$74/12)+IF(18=E28,D28*assumptions!$G$75,0),0)</f>
        <v>0</v>
      </c>
      <c r="Y28" s="19" t="n">
        <f aca="false">IF(AND(19&gt;=E28,OR(F28="",19&lt;=F28)),(D28*(1+assumptions!$G$76)^1/12*(1+assumptions!$G$70+assumptions!$G$71+IF(19&gt;=assumptions!$G$73,assumptions!$G$72,0))+assumptions!$G$74/12)+IF(19=E28,D28*assumptions!$G$75,0),0)</f>
        <v>0</v>
      </c>
      <c r="Z28" s="19" t="n">
        <f aca="false">IF(AND(20&gt;=E28,OR(F28="",20&lt;=F28)),(D28*(1+assumptions!$G$76)^1/12*(1+assumptions!$G$70+assumptions!$G$71+IF(20&gt;=assumptions!$G$73,assumptions!$G$72,0))+assumptions!$G$74/12)+IF(20=E28,D28*assumptions!$G$75,0),0)</f>
        <v>0</v>
      </c>
      <c r="AA28" s="19" t="n">
        <f aca="false">IF(AND(21&gt;=E28,OR(F28="",21&lt;=F28)),(D28*(1+assumptions!$G$76)^1/12*(1+assumptions!$G$70+assumptions!$G$71+IF(21&gt;=assumptions!$G$73,assumptions!$G$72,0))+assumptions!$G$74/12)+IF(21=E28,D28*assumptions!$G$75,0),0)</f>
        <v>0</v>
      </c>
      <c r="AB28" s="19" t="n">
        <f aca="false">IF(AND(22&gt;=E28,OR(F28="",22&lt;=F28)),(D28*(1+assumptions!$G$76)^1/12*(1+assumptions!$G$70+assumptions!$G$71+IF(22&gt;=assumptions!$G$73,assumptions!$G$72,0))+assumptions!$G$74/12)+IF(22=E28,D28*assumptions!$G$75,0),0)</f>
        <v>0</v>
      </c>
      <c r="AC28" s="19" t="n">
        <f aca="false">IF(AND(23&gt;=E28,OR(F28="",23&lt;=F28)),(D28*(1+assumptions!$G$76)^1/12*(1+assumptions!$G$70+assumptions!$G$71+IF(23&gt;=assumptions!$G$73,assumptions!$G$72,0))+assumptions!$G$74/12)+IF(23=E28,D28*assumptions!$G$75,0),0)</f>
        <v>0</v>
      </c>
      <c r="AD28" s="19" t="n">
        <f aca="false">IF(AND(24&gt;=E28,OR(F28="",24&lt;=F28)),(D28*(1+assumptions!$G$76)^1/12*(1+assumptions!$G$70+assumptions!$G$71+IF(24&gt;=assumptions!$G$73,assumptions!$G$72,0))+assumptions!$G$74/12)+IF(24=E28,D28*assumptions!$G$75,0),0)</f>
        <v>0</v>
      </c>
      <c r="AE28" s="19" t="n">
        <f aca="false">IF(AND(25&gt;=E28,OR(F28="",25&lt;=F28)),(D28*(1+assumptions!$G$76)^2/12*(1+assumptions!$G$70+assumptions!$G$71+IF(25&gt;=assumptions!$G$73,assumptions!$G$72,0))+assumptions!$G$74/12)+IF(25=E28,D28*assumptions!$G$75,0),0)</f>
        <v>0</v>
      </c>
      <c r="AF28" s="19" t="n">
        <f aca="false">IF(AND(26&gt;=E28,OR(F28="",26&lt;=F28)),(D28*(1+assumptions!$G$76)^2/12*(1+assumptions!$G$70+assumptions!$G$71+IF(26&gt;=assumptions!$G$73,assumptions!$G$72,0))+assumptions!$G$74/12)+IF(26=E28,D28*assumptions!$G$75,0),0)</f>
        <v>0</v>
      </c>
      <c r="AG28" s="19" t="n">
        <f aca="false">IF(AND(27&gt;=E28,OR(F28="",27&lt;=F28)),(D28*(1+assumptions!$G$76)^2/12*(1+assumptions!$G$70+assumptions!$G$71+IF(27&gt;=assumptions!$G$73,assumptions!$G$72,0))+assumptions!$G$74/12)+IF(27=E28,D28*assumptions!$G$75,0),0)</f>
        <v>0</v>
      </c>
      <c r="AH28" s="19" t="n">
        <f aca="false">IF(AND(28&gt;=E28,OR(F28="",28&lt;=F28)),(D28*(1+assumptions!$G$76)^2/12*(1+assumptions!$G$70+assumptions!$G$71+IF(28&gt;=assumptions!$G$73,assumptions!$G$72,0))+assumptions!$G$74/12)+IF(28=E28,D28*assumptions!$G$75,0),0)</f>
        <v>0</v>
      </c>
      <c r="AI28" s="19" t="n">
        <f aca="false">IF(AND(29&gt;=E28,OR(F28="",29&lt;=F28)),(D28*(1+assumptions!$G$76)^2/12*(1+assumptions!$G$70+assumptions!$G$71+IF(29&gt;=assumptions!$G$73,assumptions!$G$72,0))+assumptions!$G$74/12)+IF(29=E28,D28*assumptions!$G$75,0),0)</f>
        <v>0</v>
      </c>
      <c r="AJ28" s="19" t="n">
        <f aca="false">IF(AND(30&gt;=E28,OR(F28="",30&lt;=F28)),(D28*(1+assumptions!$G$76)^2/12*(1+assumptions!$G$70+assumptions!$G$71+IF(30&gt;=assumptions!$G$73,assumptions!$G$72,0))+assumptions!$G$74/12)+IF(30=E28,D28*assumptions!$G$75,0),0)</f>
        <v>0</v>
      </c>
      <c r="AK28" s="19" t="n">
        <f aca="false">IF(AND(31&gt;=E28,OR(F28="",31&lt;=F28)),(D28*(1+assumptions!$G$76)^2/12*(1+assumptions!$G$70+assumptions!$G$71+IF(31&gt;=assumptions!$G$73,assumptions!$G$72,0))+assumptions!$G$74/12)+IF(31=E28,D28*assumptions!$G$75,0),0)</f>
        <v>0</v>
      </c>
      <c r="AL28" s="19" t="n">
        <f aca="false">IF(AND(32&gt;=E28,OR(F28="",32&lt;=F28)),(D28*(1+assumptions!$G$76)^2/12*(1+assumptions!$G$70+assumptions!$G$71+IF(32&gt;=assumptions!$G$73,assumptions!$G$72,0))+assumptions!$G$74/12)+IF(32=E28,D28*assumptions!$G$75,0),0)</f>
        <v>18200.848</v>
      </c>
      <c r="AM28" s="19" t="n">
        <f aca="false">IF(AND(33&gt;=E28,OR(F28="",33&lt;=F28)),(D28*(1+assumptions!$G$76)^2/12*(1+assumptions!$G$70+assumptions!$G$71+IF(33&gt;=assumptions!$G$73,assumptions!$G$72,0))+assumptions!$G$74/12)+IF(33=E28,D28*assumptions!$G$75,0),0)</f>
        <v>7700.848</v>
      </c>
      <c r="AN28" s="19" t="n">
        <f aca="false">IF(AND(34&gt;=E28,OR(F28="",34&lt;=F28)),(D28*(1+assumptions!$G$76)^2/12*(1+assumptions!$G$70+assumptions!$G$71+IF(34&gt;=assumptions!$G$73,assumptions!$G$72,0))+assumptions!$G$74/12)+IF(34=E28,D28*assumptions!$G$75,0),0)</f>
        <v>7700.848</v>
      </c>
      <c r="AO28" s="19" t="n">
        <f aca="false">IF(AND(35&gt;=E28,OR(F28="",35&lt;=F28)),(D28*(1+assumptions!$G$76)^2/12*(1+assumptions!$G$70+assumptions!$G$71+IF(35&gt;=assumptions!$G$73,assumptions!$G$72,0))+assumptions!$G$74/12)+IF(35=E28,D28*assumptions!$G$75,0),0)</f>
        <v>7700.848</v>
      </c>
      <c r="AP28" s="19" t="n">
        <f aca="false">IF(AND(36&gt;=E28,OR(F28="",36&lt;=F28)),(D28*(1+assumptions!$G$76)^2/12*(1+assumptions!$G$70+assumptions!$G$71+IF(36&gt;=assumptions!$G$73,assumptions!$G$72,0))+assumptions!$G$74/12)+IF(36=E28,D28*assumptions!$G$75,0),0)</f>
        <v>7700.848</v>
      </c>
      <c r="AQ28" s="19" t="n">
        <f aca="false">IF(AND(37&gt;=E28,OR(F28="",37&lt;=F28)),(D28*(1+assumptions!$G$76)^3/12*(1+assumptions!$G$70+assumptions!$G$71+IF(37&gt;=assumptions!$G$73,assumptions!$G$72,0))+assumptions!$G$74/12)+IF(37=E28,D28*assumptions!$G$75,0),0)</f>
        <v>7996.88192</v>
      </c>
      <c r="AR28" s="19" t="n">
        <f aca="false">IF(AND(38&gt;=E28,OR(F28="",38&lt;=F28)),(D28*(1+assumptions!$G$76)^3/12*(1+assumptions!$G$70+assumptions!$G$71+IF(38&gt;=assumptions!$G$73,assumptions!$G$72,0))+assumptions!$G$74/12)+IF(38=E28,D28*assumptions!$G$75,0),0)</f>
        <v>7996.88192</v>
      </c>
      <c r="AS28" s="19" t="n">
        <f aca="false">IF(AND(39&gt;=E28,OR(F28="",39&lt;=F28)),(D28*(1+assumptions!$G$76)^3/12*(1+assumptions!$G$70+assumptions!$G$71+IF(39&gt;=assumptions!$G$73,assumptions!$G$72,0))+assumptions!$G$74/12)+IF(39=E28,D28*assumptions!$G$75,0),0)</f>
        <v>7996.88192</v>
      </c>
      <c r="AT28" s="19" t="n">
        <f aca="false">IF(AND(40&gt;=E28,OR(F28="",40&lt;=F28)),(D28*(1+assumptions!$G$76)^3/12*(1+assumptions!$G$70+assumptions!$G$71+IF(40&gt;=assumptions!$G$73,assumptions!$G$72,0))+assumptions!$G$74/12)+IF(40=E28,D28*assumptions!$G$75,0),0)</f>
        <v>7996.88192</v>
      </c>
      <c r="AU28" s="19" t="n">
        <f aca="false">IF(AND(41&gt;=E28,OR(F28="",41&lt;=F28)),(D28*(1+assumptions!$G$76)^3/12*(1+assumptions!$G$70+assumptions!$G$71+IF(41&gt;=assumptions!$G$73,assumptions!$G$72,0))+assumptions!$G$74/12)+IF(41=E28,D28*assumptions!$G$75,0),0)</f>
        <v>7996.88192</v>
      </c>
      <c r="AV28" s="19" t="n">
        <f aca="false">IF(AND(42&gt;=E28,OR(F28="",42&lt;=F28)),(D28*(1+assumptions!$G$76)^3/12*(1+assumptions!$G$70+assumptions!$G$71+IF(42&gt;=assumptions!$G$73,assumptions!$G$72,0))+assumptions!$G$74/12)+IF(42=E28,D28*assumptions!$G$75,0),0)</f>
        <v>7996.88192</v>
      </c>
      <c r="AW28" s="19" t="n">
        <f aca="false">IF(AND(43&gt;=E28,OR(F28="",43&lt;=F28)),(D28*(1+assumptions!$G$76)^3/12*(1+assumptions!$G$70+assumptions!$G$71+IF(43&gt;=assumptions!$G$73,assumptions!$G$72,0))+assumptions!$G$74/12)+IF(43=E28,D28*assumptions!$G$75,0),0)</f>
        <v>7996.88192</v>
      </c>
      <c r="AX28" s="19" t="n">
        <f aca="false">IF(AND(44&gt;=E28,OR(F28="",44&lt;=F28)),(D28*(1+assumptions!$G$76)^3/12*(1+assumptions!$G$70+assumptions!$G$71+IF(44&gt;=assumptions!$G$73,assumptions!$G$72,0))+assumptions!$G$74/12)+IF(44=E28,D28*assumptions!$G$75,0),0)</f>
        <v>7996.88192</v>
      </c>
      <c r="AY28" s="19" t="n">
        <f aca="false">IF(AND(45&gt;=E28,OR(F28="",45&lt;=F28)),(D28*(1+assumptions!$G$76)^3/12*(1+assumptions!$G$70+assumptions!$G$71+IF(45&gt;=assumptions!$G$73,assumptions!$G$72,0))+assumptions!$G$74/12)+IF(45=E28,D28*assumptions!$G$75,0),0)</f>
        <v>7996.88192</v>
      </c>
      <c r="AZ28" s="19" t="n">
        <f aca="false">IF(AND(46&gt;=E28,OR(F28="",46&lt;=F28)),(D28*(1+assumptions!$G$76)^3/12*(1+assumptions!$G$70+assumptions!$G$71+IF(46&gt;=assumptions!$G$73,assumptions!$G$72,0))+assumptions!$G$74/12)+IF(46=E28,D28*assumptions!$G$75,0),0)</f>
        <v>7996.88192</v>
      </c>
      <c r="BA28" s="19" t="n">
        <f aca="false">IF(AND(47&gt;=E28,OR(F28="",47&lt;=F28)),(D28*(1+assumptions!$G$76)^3/12*(1+assumptions!$G$70+assumptions!$G$71+IF(47&gt;=assumptions!$G$73,assumptions!$G$72,0))+assumptions!$G$74/12)+IF(47=E28,D28*assumptions!$G$75,0),0)</f>
        <v>7996.88192</v>
      </c>
      <c r="BB28" s="19" t="n">
        <f aca="false">IF(AND(48&gt;=E28,OR(F28="",48&lt;=F28)),(D28*(1+assumptions!$G$76)^3/12*(1+assumptions!$G$70+assumptions!$G$71+IF(48&gt;=assumptions!$G$73,assumptions!$G$72,0))+assumptions!$G$74/12)+IF(48=E28,D28*assumptions!$G$75,0),0)</f>
        <v>7996.88192</v>
      </c>
      <c r="BC28" s="19" t="n">
        <f aca="false">IF(AND(49&gt;=E28,OR(F28="",49&lt;=F28)),(D28*(1+assumptions!$G$76)^4/12*(1+assumptions!$G$70+assumptions!$G$71+IF(49&gt;=assumptions!$G$73,assumptions!$G$72,0))+assumptions!$G$74/12)+IF(49=E28,D28*assumptions!$G$75,0),0)</f>
        <v>8304.7571968</v>
      </c>
      <c r="BD28" s="19" t="n">
        <f aca="false">IF(AND(50&gt;=E28,OR(F28="",50&lt;=F28)),(D28*(1+assumptions!$G$76)^4/12*(1+assumptions!$G$70+assumptions!$G$71+IF(50&gt;=assumptions!$G$73,assumptions!$G$72,0))+assumptions!$G$74/12)+IF(50=E28,D28*assumptions!$G$75,0),0)</f>
        <v>8304.7571968</v>
      </c>
      <c r="BE28" s="19" t="n">
        <f aca="false">IF(AND(51&gt;=E28,OR(F28="",51&lt;=F28)),(D28*(1+assumptions!$G$76)^4/12*(1+assumptions!$G$70+assumptions!$G$71+IF(51&gt;=assumptions!$G$73,assumptions!$G$72,0))+assumptions!$G$74/12)+IF(51=E28,D28*assumptions!$G$75,0),0)</f>
        <v>8304.7571968</v>
      </c>
      <c r="BF28" s="19" t="n">
        <f aca="false">IF(AND(52&gt;=E28,OR(F28="",52&lt;=F28)),(D28*(1+assumptions!$G$76)^4/12*(1+assumptions!$G$70+assumptions!$G$71+IF(52&gt;=assumptions!$G$73,assumptions!$G$72,0))+assumptions!$G$74/12)+IF(52=E28,D28*assumptions!$G$75,0),0)</f>
        <v>8304.7571968</v>
      </c>
      <c r="BG28" s="19" t="n">
        <f aca="false">IF(AND(53&gt;=E28,OR(F28="",53&lt;=F28)),(D28*(1+assumptions!$G$76)^4/12*(1+assumptions!$G$70+assumptions!$G$71+IF(53&gt;=assumptions!$G$73,assumptions!$G$72,0))+assumptions!$G$74/12)+IF(53=E28,D28*assumptions!$G$75,0),0)</f>
        <v>8304.7571968</v>
      </c>
      <c r="BH28" s="19" t="n">
        <f aca="false">IF(AND(54&gt;=E28,OR(F28="",54&lt;=F28)),(D28*(1+assumptions!$G$76)^4/12*(1+assumptions!$G$70+assumptions!$G$71+IF(54&gt;=assumptions!$G$73,assumptions!$G$72,0))+assumptions!$G$74/12)+IF(54=E28,D28*assumptions!$G$75,0),0)</f>
        <v>8304.7571968</v>
      </c>
      <c r="BI28" s="19" t="n">
        <f aca="false">IF(AND(55&gt;=E28,OR(F28="",55&lt;=F28)),(D28*(1+assumptions!$G$76)^4/12*(1+assumptions!$G$70+assumptions!$G$71+IF(55&gt;=assumptions!$G$73,assumptions!$G$72,0))+assumptions!$G$74/12)+IF(55=E28,D28*assumptions!$G$75,0),0)</f>
        <v>8304.7571968</v>
      </c>
      <c r="BJ28" s="19" t="n">
        <f aca="false">IF(AND(56&gt;=E28,OR(F28="",56&lt;=F28)),(D28*(1+assumptions!$G$76)^4/12*(1+assumptions!$G$70+assumptions!$G$71+IF(56&gt;=assumptions!$G$73,assumptions!$G$72,0))+assumptions!$G$74/12)+IF(56=E28,D28*assumptions!$G$75,0),0)</f>
        <v>8304.7571968</v>
      </c>
      <c r="BK28" s="19" t="n">
        <f aca="false">IF(AND(57&gt;=E28,OR(F28="",57&lt;=F28)),(D28*(1+assumptions!$G$76)^4/12*(1+assumptions!$G$70+assumptions!$G$71+IF(57&gt;=assumptions!$G$73,assumptions!$G$72,0))+assumptions!$G$74/12)+IF(57=E28,D28*assumptions!$G$75,0),0)</f>
        <v>8304.7571968</v>
      </c>
      <c r="BL28" s="19" t="n">
        <f aca="false">IF(AND(58&gt;=E28,OR(F28="",58&lt;=F28)),(D28*(1+assumptions!$G$76)^4/12*(1+assumptions!$G$70+assumptions!$G$71+IF(58&gt;=assumptions!$G$73,assumptions!$G$72,0))+assumptions!$G$74/12)+IF(58=E28,D28*assumptions!$G$75,0),0)</f>
        <v>8304.7571968</v>
      </c>
      <c r="BM28" s="19" t="n">
        <f aca="false">IF(AND(59&gt;=E28,OR(F28="",59&lt;=F28)),(D28*(1+assumptions!$G$76)^4/12*(1+assumptions!$G$70+assumptions!$G$71+IF(59&gt;=assumptions!$G$73,assumptions!$G$72,0))+assumptions!$G$74/12)+IF(59=E28,D28*assumptions!$G$75,0),0)</f>
        <v>8304.7571968</v>
      </c>
      <c r="BN28" s="19" t="n">
        <f aca="false">IF(AND(60&gt;=E28,OR(F28="",60&lt;=F28)),(D28*(1+assumptions!$G$76)^4/12*(1+assumptions!$G$70+assumptions!$G$71+IF(60&gt;=assumptions!$G$73,assumptions!$G$72,0))+assumptions!$G$74/12)+IF(60=E28,D28*assumptions!$G$75,0),0)</f>
        <v>8304.7571968</v>
      </c>
    </row>
    <row r="29" customFormat="false" ht="14.25" hidden="false" customHeight="false" outlineLevel="0" collapsed="false">
      <c r="A29" s="7" t="n">
        <v>26</v>
      </c>
      <c r="B29" s="7" t="s">
        <v>369</v>
      </c>
      <c r="C29" s="7" t="s">
        <v>340</v>
      </c>
      <c r="D29" s="17" t="n">
        <v>90000</v>
      </c>
      <c r="E29" s="49" t="n">
        <v>34</v>
      </c>
      <c r="F29" s="49"/>
      <c r="G29" s="19" t="n">
        <f aca="false">IF(AND(1&gt;=E29,OR(F29="",1&lt;=F29)),(D29*(1+assumptions!$G$76)^0/12*(1+assumptions!$G$70+assumptions!$G$71+IF(1&gt;=assumptions!$G$73,assumptions!$G$72,0))+assumptions!$G$74/12)+IF(1=E29,D29*assumptions!$G$75,0),0)</f>
        <v>0</v>
      </c>
      <c r="H29" s="19" t="n">
        <f aca="false">IF(AND(2&gt;=E29,OR(F29="",2&lt;=F29)),(D29*(1+assumptions!$G$76)^0/12*(1+assumptions!$G$70+assumptions!$G$71+IF(2&gt;=assumptions!$G$73,assumptions!$G$72,0))+assumptions!$G$74/12)+IF(2=E29,D29*assumptions!$G$75,0),0)</f>
        <v>0</v>
      </c>
      <c r="I29" s="19" t="n">
        <f aca="false">IF(AND(3&gt;=E29,OR(F29="",3&lt;=F29)),(D29*(1+assumptions!$G$76)^0/12*(1+assumptions!$G$70+assumptions!$G$71+IF(3&gt;=assumptions!$G$73,assumptions!$G$72,0))+assumptions!$G$74/12)+IF(3=E29,D29*assumptions!$G$75,0),0)</f>
        <v>0</v>
      </c>
      <c r="J29" s="19" t="n">
        <f aca="false">IF(AND(4&gt;=E29,OR(F29="",4&lt;=F29)),(D29*(1+assumptions!$G$76)^0/12*(1+assumptions!$G$70+assumptions!$G$71+IF(4&gt;=assumptions!$G$73,assumptions!$G$72,0))+assumptions!$G$74/12)+IF(4=E29,D29*assumptions!$G$75,0),0)</f>
        <v>0</v>
      </c>
      <c r="K29" s="19" t="n">
        <f aca="false">IF(AND(5&gt;=E29,OR(F29="",5&lt;=F29)),(D29*(1+assumptions!$G$76)^0/12*(1+assumptions!$G$70+assumptions!$G$71+IF(5&gt;=assumptions!$G$73,assumptions!$G$72,0))+assumptions!$G$74/12)+IF(5=E29,D29*assumptions!$G$75,0),0)</f>
        <v>0</v>
      </c>
      <c r="L29" s="19" t="n">
        <f aca="false">IF(AND(6&gt;=E29,OR(F29="",6&lt;=F29)),(D29*(1+assumptions!$G$76)^0/12*(1+assumptions!$G$70+assumptions!$G$71+IF(6&gt;=assumptions!$G$73,assumptions!$G$72,0))+assumptions!$G$74/12)+IF(6=E29,D29*assumptions!$G$75,0),0)</f>
        <v>0</v>
      </c>
      <c r="M29" s="19" t="n">
        <f aca="false">IF(AND(7&gt;=E29,OR(F29="",7&lt;=F29)),(D29*(1+assumptions!$G$76)^0/12*(1+assumptions!$G$70+assumptions!$G$71+IF(7&gt;=assumptions!$G$73,assumptions!$G$72,0))+assumptions!$G$74/12)+IF(7=E29,D29*assumptions!$G$75,0),0)</f>
        <v>0</v>
      </c>
      <c r="N29" s="19" t="n">
        <f aca="false">IF(AND(8&gt;=E29,OR(F29="",8&lt;=F29)),(D29*(1+assumptions!$G$76)^0/12*(1+assumptions!$G$70+assumptions!$G$71+IF(8&gt;=assumptions!$G$73,assumptions!$G$72,0))+assumptions!$G$74/12)+IF(8=E29,D29*assumptions!$G$75,0),0)</f>
        <v>0</v>
      </c>
      <c r="O29" s="19" t="n">
        <f aca="false">IF(AND(9&gt;=E29,OR(F29="",9&lt;=F29)),(D29*(1+assumptions!$G$76)^0/12*(1+assumptions!$G$70+assumptions!$G$71+IF(9&gt;=assumptions!$G$73,assumptions!$G$72,0))+assumptions!$G$74/12)+IF(9=E29,D29*assumptions!$G$75,0),0)</f>
        <v>0</v>
      </c>
      <c r="P29" s="19" t="n">
        <f aca="false">IF(AND(10&gt;=E29,OR(F29="",10&lt;=F29)),(D29*(1+assumptions!$G$76)^0/12*(1+assumptions!$G$70+assumptions!$G$71+IF(10&gt;=assumptions!$G$73,assumptions!$G$72,0))+assumptions!$G$74/12)+IF(10=E29,D29*assumptions!$G$75,0),0)</f>
        <v>0</v>
      </c>
      <c r="Q29" s="19" t="n">
        <f aca="false">IF(AND(11&gt;=E29,OR(F29="",11&lt;=F29)),(D29*(1+assumptions!$G$76)^0/12*(1+assumptions!$G$70+assumptions!$G$71+IF(11&gt;=assumptions!$G$73,assumptions!$G$72,0))+assumptions!$G$74/12)+IF(11=E29,D29*assumptions!$G$75,0),0)</f>
        <v>0</v>
      </c>
      <c r="R29" s="19" t="n">
        <f aca="false">IF(AND(12&gt;=E29,OR(F29="",12&lt;=F29)),(D29*(1+assumptions!$G$76)^0/12*(1+assumptions!$G$70+assumptions!$G$71+IF(12&gt;=assumptions!$G$73,assumptions!$G$72,0))+assumptions!$G$74/12)+IF(12=E29,D29*assumptions!$G$75,0),0)</f>
        <v>0</v>
      </c>
      <c r="S29" s="19" t="n">
        <f aca="false">IF(AND(13&gt;=E29,OR(F29="",13&lt;=F29)),(D29*(1+assumptions!$G$76)^1/12*(1+assumptions!$G$70+assumptions!$G$71+IF(13&gt;=assumptions!$G$73,assumptions!$G$72,0))+assumptions!$G$74/12)+IF(13=E29,D29*assumptions!$G$75,0),0)</f>
        <v>0</v>
      </c>
      <c r="T29" s="19" t="n">
        <f aca="false">IF(AND(14&gt;=E29,OR(F29="",14&lt;=F29)),(D29*(1+assumptions!$G$76)^1/12*(1+assumptions!$G$70+assumptions!$G$71+IF(14&gt;=assumptions!$G$73,assumptions!$G$72,0))+assumptions!$G$74/12)+IF(14=E29,D29*assumptions!$G$75,0),0)</f>
        <v>0</v>
      </c>
      <c r="U29" s="19" t="n">
        <f aca="false">IF(AND(15&gt;=E29,OR(F29="",15&lt;=F29)),(D29*(1+assumptions!$G$76)^1/12*(1+assumptions!$G$70+assumptions!$G$71+IF(15&gt;=assumptions!$G$73,assumptions!$G$72,0))+assumptions!$G$74/12)+IF(15=E29,D29*assumptions!$G$75,0),0)</f>
        <v>0</v>
      </c>
      <c r="V29" s="19" t="n">
        <f aca="false">IF(AND(16&gt;=E29,OR(F29="",16&lt;=F29)),(D29*(1+assumptions!$G$76)^1/12*(1+assumptions!$G$70+assumptions!$G$71+IF(16&gt;=assumptions!$G$73,assumptions!$G$72,0))+assumptions!$G$74/12)+IF(16=E29,D29*assumptions!$G$75,0),0)</f>
        <v>0</v>
      </c>
      <c r="W29" s="19" t="n">
        <f aca="false">IF(AND(17&gt;=E29,OR(F29="",17&lt;=F29)),(D29*(1+assumptions!$G$76)^1/12*(1+assumptions!$G$70+assumptions!$G$71+IF(17&gt;=assumptions!$G$73,assumptions!$G$72,0))+assumptions!$G$74/12)+IF(17=E29,D29*assumptions!$G$75,0),0)</f>
        <v>0</v>
      </c>
      <c r="X29" s="19" t="n">
        <f aca="false">IF(AND(18&gt;=E29,OR(F29="",18&lt;=F29)),(D29*(1+assumptions!$G$76)^1/12*(1+assumptions!$G$70+assumptions!$G$71+IF(18&gt;=assumptions!$G$73,assumptions!$G$72,0))+assumptions!$G$74/12)+IF(18=E29,D29*assumptions!$G$75,0),0)</f>
        <v>0</v>
      </c>
      <c r="Y29" s="19" t="n">
        <f aca="false">IF(AND(19&gt;=E29,OR(F29="",19&lt;=F29)),(D29*(1+assumptions!$G$76)^1/12*(1+assumptions!$G$70+assumptions!$G$71+IF(19&gt;=assumptions!$G$73,assumptions!$G$72,0))+assumptions!$G$74/12)+IF(19=E29,D29*assumptions!$G$75,0),0)</f>
        <v>0</v>
      </c>
      <c r="Z29" s="19" t="n">
        <f aca="false">IF(AND(20&gt;=E29,OR(F29="",20&lt;=F29)),(D29*(1+assumptions!$G$76)^1/12*(1+assumptions!$G$70+assumptions!$G$71+IF(20&gt;=assumptions!$G$73,assumptions!$G$72,0))+assumptions!$G$74/12)+IF(20=E29,D29*assumptions!$G$75,0),0)</f>
        <v>0</v>
      </c>
      <c r="AA29" s="19" t="n">
        <f aca="false">IF(AND(21&gt;=E29,OR(F29="",21&lt;=F29)),(D29*(1+assumptions!$G$76)^1/12*(1+assumptions!$G$70+assumptions!$G$71+IF(21&gt;=assumptions!$G$73,assumptions!$G$72,0))+assumptions!$G$74/12)+IF(21=E29,D29*assumptions!$G$75,0),0)</f>
        <v>0</v>
      </c>
      <c r="AB29" s="19" t="n">
        <f aca="false">IF(AND(22&gt;=E29,OR(F29="",22&lt;=F29)),(D29*(1+assumptions!$G$76)^1/12*(1+assumptions!$G$70+assumptions!$G$71+IF(22&gt;=assumptions!$G$73,assumptions!$G$72,0))+assumptions!$G$74/12)+IF(22=E29,D29*assumptions!$G$75,0),0)</f>
        <v>0</v>
      </c>
      <c r="AC29" s="19" t="n">
        <f aca="false">IF(AND(23&gt;=E29,OR(F29="",23&lt;=F29)),(D29*(1+assumptions!$G$76)^1/12*(1+assumptions!$G$70+assumptions!$G$71+IF(23&gt;=assumptions!$G$73,assumptions!$G$72,0))+assumptions!$G$74/12)+IF(23=E29,D29*assumptions!$G$75,0),0)</f>
        <v>0</v>
      </c>
      <c r="AD29" s="19" t="n">
        <f aca="false">IF(AND(24&gt;=E29,OR(F29="",24&lt;=F29)),(D29*(1+assumptions!$G$76)^1/12*(1+assumptions!$G$70+assumptions!$G$71+IF(24&gt;=assumptions!$G$73,assumptions!$G$72,0))+assumptions!$G$74/12)+IF(24=E29,D29*assumptions!$G$75,0),0)</f>
        <v>0</v>
      </c>
      <c r="AE29" s="19" t="n">
        <f aca="false">IF(AND(25&gt;=E29,OR(F29="",25&lt;=F29)),(D29*(1+assumptions!$G$76)^2/12*(1+assumptions!$G$70+assumptions!$G$71+IF(25&gt;=assumptions!$G$73,assumptions!$G$72,0))+assumptions!$G$74/12)+IF(25=E29,D29*assumptions!$G$75,0),0)</f>
        <v>0</v>
      </c>
      <c r="AF29" s="19" t="n">
        <f aca="false">IF(AND(26&gt;=E29,OR(F29="",26&lt;=F29)),(D29*(1+assumptions!$G$76)^2/12*(1+assumptions!$G$70+assumptions!$G$71+IF(26&gt;=assumptions!$G$73,assumptions!$G$72,0))+assumptions!$G$74/12)+IF(26=E29,D29*assumptions!$G$75,0),0)</f>
        <v>0</v>
      </c>
      <c r="AG29" s="19" t="n">
        <f aca="false">IF(AND(27&gt;=E29,OR(F29="",27&lt;=F29)),(D29*(1+assumptions!$G$76)^2/12*(1+assumptions!$G$70+assumptions!$G$71+IF(27&gt;=assumptions!$G$73,assumptions!$G$72,0))+assumptions!$G$74/12)+IF(27=E29,D29*assumptions!$G$75,0),0)</f>
        <v>0</v>
      </c>
      <c r="AH29" s="19" t="n">
        <f aca="false">IF(AND(28&gt;=E29,OR(F29="",28&lt;=F29)),(D29*(1+assumptions!$G$76)^2/12*(1+assumptions!$G$70+assumptions!$G$71+IF(28&gt;=assumptions!$G$73,assumptions!$G$72,0))+assumptions!$G$74/12)+IF(28=E29,D29*assumptions!$G$75,0),0)</f>
        <v>0</v>
      </c>
      <c r="AI29" s="19" t="n">
        <f aca="false">IF(AND(29&gt;=E29,OR(F29="",29&lt;=F29)),(D29*(1+assumptions!$G$76)^2/12*(1+assumptions!$G$70+assumptions!$G$71+IF(29&gt;=assumptions!$G$73,assumptions!$G$72,0))+assumptions!$G$74/12)+IF(29=E29,D29*assumptions!$G$75,0),0)</f>
        <v>0</v>
      </c>
      <c r="AJ29" s="19" t="n">
        <f aca="false">IF(AND(30&gt;=E29,OR(F29="",30&lt;=F29)),(D29*(1+assumptions!$G$76)^2/12*(1+assumptions!$G$70+assumptions!$G$71+IF(30&gt;=assumptions!$G$73,assumptions!$G$72,0))+assumptions!$G$74/12)+IF(30=E29,D29*assumptions!$G$75,0),0)</f>
        <v>0</v>
      </c>
      <c r="AK29" s="19" t="n">
        <f aca="false">IF(AND(31&gt;=E29,OR(F29="",31&lt;=F29)),(D29*(1+assumptions!$G$76)^2/12*(1+assumptions!$G$70+assumptions!$G$71+IF(31&gt;=assumptions!$G$73,assumptions!$G$72,0))+assumptions!$G$74/12)+IF(31=E29,D29*assumptions!$G$75,0),0)</f>
        <v>0</v>
      </c>
      <c r="AL29" s="19" t="n">
        <f aca="false">IF(AND(32&gt;=E29,OR(F29="",32&lt;=F29)),(D29*(1+assumptions!$G$76)^2/12*(1+assumptions!$G$70+assumptions!$G$71+IF(32&gt;=assumptions!$G$73,assumptions!$G$72,0))+assumptions!$G$74/12)+IF(32=E29,D29*assumptions!$G$75,0),0)</f>
        <v>0</v>
      </c>
      <c r="AM29" s="19" t="n">
        <f aca="false">IF(AND(33&gt;=E29,OR(F29="",33&lt;=F29)),(D29*(1+assumptions!$G$76)^2/12*(1+assumptions!$G$70+assumptions!$G$71+IF(33&gt;=assumptions!$G$73,assumptions!$G$72,0))+assumptions!$G$74/12)+IF(33=E29,D29*assumptions!$G$75,0),0)</f>
        <v>0</v>
      </c>
      <c r="AN29" s="19" t="n">
        <f aca="false">IF(AND(34&gt;=E29,OR(F29="",34&lt;=F29)),(D29*(1+assumptions!$G$76)^2/12*(1+assumptions!$G$70+assumptions!$G$71+IF(34&gt;=assumptions!$G$73,assumptions!$G$72,0))+assumptions!$G$74/12)+IF(34=E29,D29*assumptions!$G$75,0),0)</f>
        <v>23315.376</v>
      </c>
      <c r="AO29" s="19" t="n">
        <f aca="false">IF(AND(35&gt;=E29,OR(F29="",35&lt;=F29)),(D29*(1+assumptions!$G$76)^2/12*(1+assumptions!$G$70+assumptions!$G$71+IF(35&gt;=assumptions!$G$73,assumptions!$G$72,0))+assumptions!$G$74/12)+IF(35=E29,D29*assumptions!$G$75,0),0)</f>
        <v>9815.376</v>
      </c>
      <c r="AP29" s="19" t="n">
        <f aca="false">IF(AND(36&gt;=E29,OR(F29="",36&lt;=F29)),(D29*(1+assumptions!$G$76)^2/12*(1+assumptions!$G$70+assumptions!$G$71+IF(36&gt;=assumptions!$G$73,assumptions!$G$72,0))+assumptions!$G$74/12)+IF(36=E29,D29*assumptions!$G$75,0),0)</f>
        <v>9815.376</v>
      </c>
      <c r="AQ29" s="19" t="n">
        <f aca="false">IF(AND(37&gt;=E29,OR(F29="",37&lt;=F29)),(D29*(1+assumptions!$G$76)^3/12*(1+assumptions!$G$70+assumptions!$G$71+IF(37&gt;=assumptions!$G$73,assumptions!$G$72,0))+assumptions!$G$74/12)+IF(37=E29,D29*assumptions!$G$75,0),0)</f>
        <v>10195.99104</v>
      </c>
      <c r="AR29" s="19" t="n">
        <f aca="false">IF(AND(38&gt;=E29,OR(F29="",38&lt;=F29)),(D29*(1+assumptions!$G$76)^3/12*(1+assumptions!$G$70+assumptions!$G$71+IF(38&gt;=assumptions!$G$73,assumptions!$G$72,0))+assumptions!$G$74/12)+IF(38=E29,D29*assumptions!$G$75,0),0)</f>
        <v>10195.99104</v>
      </c>
      <c r="AS29" s="19" t="n">
        <f aca="false">IF(AND(39&gt;=E29,OR(F29="",39&lt;=F29)),(D29*(1+assumptions!$G$76)^3/12*(1+assumptions!$G$70+assumptions!$G$71+IF(39&gt;=assumptions!$G$73,assumptions!$G$72,0))+assumptions!$G$74/12)+IF(39=E29,D29*assumptions!$G$75,0),0)</f>
        <v>10195.99104</v>
      </c>
      <c r="AT29" s="19" t="n">
        <f aca="false">IF(AND(40&gt;=E29,OR(F29="",40&lt;=F29)),(D29*(1+assumptions!$G$76)^3/12*(1+assumptions!$G$70+assumptions!$G$71+IF(40&gt;=assumptions!$G$73,assumptions!$G$72,0))+assumptions!$G$74/12)+IF(40=E29,D29*assumptions!$G$75,0),0)</f>
        <v>10195.99104</v>
      </c>
      <c r="AU29" s="19" t="n">
        <f aca="false">IF(AND(41&gt;=E29,OR(F29="",41&lt;=F29)),(D29*(1+assumptions!$G$76)^3/12*(1+assumptions!$G$70+assumptions!$G$71+IF(41&gt;=assumptions!$G$73,assumptions!$G$72,0))+assumptions!$G$74/12)+IF(41=E29,D29*assumptions!$G$75,0),0)</f>
        <v>10195.99104</v>
      </c>
      <c r="AV29" s="19" t="n">
        <f aca="false">IF(AND(42&gt;=E29,OR(F29="",42&lt;=F29)),(D29*(1+assumptions!$G$76)^3/12*(1+assumptions!$G$70+assumptions!$G$71+IF(42&gt;=assumptions!$G$73,assumptions!$G$72,0))+assumptions!$G$74/12)+IF(42=E29,D29*assumptions!$G$75,0),0)</f>
        <v>10195.99104</v>
      </c>
      <c r="AW29" s="19" t="n">
        <f aca="false">IF(AND(43&gt;=E29,OR(F29="",43&lt;=F29)),(D29*(1+assumptions!$G$76)^3/12*(1+assumptions!$G$70+assumptions!$G$71+IF(43&gt;=assumptions!$G$73,assumptions!$G$72,0))+assumptions!$G$74/12)+IF(43=E29,D29*assumptions!$G$75,0),0)</f>
        <v>10195.99104</v>
      </c>
      <c r="AX29" s="19" t="n">
        <f aca="false">IF(AND(44&gt;=E29,OR(F29="",44&lt;=F29)),(D29*(1+assumptions!$G$76)^3/12*(1+assumptions!$G$70+assumptions!$G$71+IF(44&gt;=assumptions!$G$73,assumptions!$G$72,0))+assumptions!$G$74/12)+IF(44=E29,D29*assumptions!$G$75,0),0)</f>
        <v>10195.99104</v>
      </c>
      <c r="AY29" s="19" t="n">
        <f aca="false">IF(AND(45&gt;=E29,OR(F29="",45&lt;=F29)),(D29*(1+assumptions!$G$76)^3/12*(1+assumptions!$G$70+assumptions!$G$71+IF(45&gt;=assumptions!$G$73,assumptions!$G$72,0))+assumptions!$G$74/12)+IF(45=E29,D29*assumptions!$G$75,0),0)</f>
        <v>10195.99104</v>
      </c>
      <c r="AZ29" s="19" t="n">
        <f aca="false">IF(AND(46&gt;=E29,OR(F29="",46&lt;=F29)),(D29*(1+assumptions!$G$76)^3/12*(1+assumptions!$G$70+assumptions!$G$71+IF(46&gt;=assumptions!$G$73,assumptions!$G$72,0))+assumptions!$G$74/12)+IF(46=E29,D29*assumptions!$G$75,0),0)</f>
        <v>10195.99104</v>
      </c>
      <c r="BA29" s="19" t="n">
        <f aca="false">IF(AND(47&gt;=E29,OR(F29="",47&lt;=F29)),(D29*(1+assumptions!$G$76)^3/12*(1+assumptions!$G$70+assumptions!$G$71+IF(47&gt;=assumptions!$G$73,assumptions!$G$72,0))+assumptions!$G$74/12)+IF(47=E29,D29*assumptions!$G$75,0),0)</f>
        <v>10195.99104</v>
      </c>
      <c r="BB29" s="19" t="n">
        <f aca="false">IF(AND(48&gt;=E29,OR(F29="",48&lt;=F29)),(D29*(1+assumptions!$G$76)^3/12*(1+assumptions!$G$70+assumptions!$G$71+IF(48&gt;=assumptions!$G$73,assumptions!$G$72,0))+assumptions!$G$74/12)+IF(48=E29,D29*assumptions!$G$75,0),0)</f>
        <v>10195.99104</v>
      </c>
      <c r="BC29" s="19" t="n">
        <f aca="false">IF(AND(49&gt;=E29,OR(F29="",49&lt;=F29)),(D29*(1+assumptions!$G$76)^4/12*(1+assumptions!$G$70+assumptions!$G$71+IF(49&gt;=assumptions!$G$73,assumptions!$G$72,0))+assumptions!$G$74/12)+IF(49=E29,D29*assumptions!$G$75,0),0)</f>
        <v>10591.8306816</v>
      </c>
      <c r="BD29" s="19" t="n">
        <f aca="false">IF(AND(50&gt;=E29,OR(F29="",50&lt;=F29)),(D29*(1+assumptions!$G$76)^4/12*(1+assumptions!$G$70+assumptions!$G$71+IF(50&gt;=assumptions!$G$73,assumptions!$G$72,0))+assumptions!$G$74/12)+IF(50=E29,D29*assumptions!$G$75,0),0)</f>
        <v>10591.8306816</v>
      </c>
      <c r="BE29" s="19" t="n">
        <f aca="false">IF(AND(51&gt;=E29,OR(F29="",51&lt;=F29)),(D29*(1+assumptions!$G$76)^4/12*(1+assumptions!$G$70+assumptions!$G$71+IF(51&gt;=assumptions!$G$73,assumptions!$G$72,0))+assumptions!$G$74/12)+IF(51=E29,D29*assumptions!$G$75,0),0)</f>
        <v>10591.8306816</v>
      </c>
      <c r="BF29" s="19" t="n">
        <f aca="false">IF(AND(52&gt;=E29,OR(F29="",52&lt;=F29)),(D29*(1+assumptions!$G$76)^4/12*(1+assumptions!$G$70+assumptions!$G$71+IF(52&gt;=assumptions!$G$73,assumptions!$G$72,0))+assumptions!$G$74/12)+IF(52=E29,D29*assumptions!$G$75,0),0)</f>
        <v>10591.8306816</v>
      </c>
      <c r="BG29" s="19" t="n">
        <f aca="false">IF(AND(53&gt;=E29,OR(F29="",53&lt;=F29)),(D29*(1+assumptions!$G$76)^4/12*(1+assumptions!$G$70+assumptions!$G$71+IF(53&gt;=assumptions!$G$73,assumptions!$G$72,0))+assumptions!$G$74/12)+IF(53=E29,D29*assumptions!$G$75,0),0)</f>
        <v>10591.8306816</v>
      </c>
      <c r="BH29" s="19" t="n">
        <f aca="false">IF(AND(54&gt;=E29,OR(F29="",54&lt;=F29)),(D29*(1+assumptions!$G$76)^4/12*(1+assumptions!$G$70+assumptions!$G$71+IF(54&gt;=assumptions!$G$73,assumptions!$G$72,0))+assumptions!$G$74/12)+IF(54=E29,D29*assumptions!$G$75,0),0)</f>
        <v>10591.8306816</v>
      </c>
      <c r="BI29" s="19" t="n">
        <f aca="false">IF(AND(55&gt;=E29,OR(F29="",55&lt;=F29)),(D29*(1+assumptions!$G$76)^4/12*(1+assumptions!$G$70+assumptions!$G$71+IF(55&gt;=assumptions!$G$73,assumptions!$G$72,0))+assumptions!$G$74/12)+IF(55=E29,D29*assumptions!$G$75,0),0)</f>
        <v>10591.8306816</v>
      </c>
      <c r="BJ29" s="19" t="n">
        <f aca="false">IF(AND(56&gt;=E29,OR(F29="",56&lt;=F29)),(D29*(1+assumptions!$G$76)^4/12*(1+assumptions!$G$70+assumptions!$G$71+IF(56&gt;=assumptions!$G$73,assumptions!$G$72,0))+assumptions!$G$74/12)+IF(56=E29,D29*assumptions!$G$75,0),0)</f>
        <v>10591.8306816</v>
      </c>
      <c r="BK29" s="19" t="n">
        <f aca="false">IF(AND(57&gt;=E29,OR(F29="",57&lt;=F29)),(D29*(1+assumptions!$G$76)^4/12*(1+assumptions!$G$70+assumptions!$G$71+IF(57&gt;=assumptions!$G$73,assumptions!$G$72,0))+assumptions!$G$74/12)+IF(57=E29,D29*assumptions!$G$75,0),0)</f>
        <v>10591.8306816</v>
      </c>
      <c r="BL29" s="19" t="n">
        <f aca="false">IF(AND(58&gt;=E29,OR(F29="",58&lt;=F29)),(D29*(1+assumptions!$G$76)^4/12*(1+assumptions!$G$70+assumptions!$G$71+IF(58&gt;=assumptions!$G$73,assumptions!$G$72,0))+assumptions!$G$74/12)+IF(58=E29,D29*assumptions!$G$75,0),0)</f>
        <v>10591.8306816</v>
      </c>
      <c r="BM29" s="19" t="n">
        <f aca="false">IF(AND(59&gt;=E29,OR(F29="",59&lt;=F29)),(D29*(1+assumptions!$G$76)^4/12*(1+assumptions!$G$70+assumptions!$G$71+IF(59&gt;=assumptions!$G$73,assumptions!$G$72,0))+assumptions!$G$74/12)+IF(59=E29,D29*assumptions!$G$75,0),0)</f>
        <v>10591.8306816</v>
      </c>
      <c r="BN29" s="19" t="n">
        <f aca="false">IF(AND(60&gt;=E29,OR(F29="",60&lt;=F29)),(D29*(1+assumptions!$G$76)^4/12*(1+assumptions!$G$70+assumptions!$G$71+IF(60&gt;=assumptions!$G$73,assumptions!$G$72,0))+assumptions!$G$74/12)+IF(60=E29,D29*assumptions!$G$75,0),0)</f>
        <v>10591.8306816</v>
      </c>
    </row>
    <row r="30" customFormat="false" ht="14.25" hidden="false" customHeight="false" outlineLevel="0" collapsed="false">
      <c r="A30" s="7" t="n">
        <v>27</v>
      </c>
      <c r="B30" s="7" t="s">
        <v>370</v>
      </c>
      <c r="C30" s="7" t="s">
        <v>342</v>
      </c>
      <c r="D30" s="17" t="n">
        <v>90000</v>
      </c>
      <c r="E30" s="49" t="n">
        <v>36</v>
      </c>
      <c r="F30" s="49"/>
      <c r="G30" s="19" t="n">
        <f aca="false">IF(AND(1&gt;=E30,OR(F30="",1&lt;=F30)),(D30*(1+assumptions!$G$76)^0/12*(1+assumptions!$G$70+assumptions!$G$71+IF(1&gt;=assumptions!$G$73,assumptions!$G$72,0))+assumptions!$G$74/12)+IF(1=E30,D30*assumptions!$G$75,0),0)</f>
        <v>0</v>
      </c>
      <c r="H30" s="19" t="n">
        <f aca="false">IF(AND(2&gt;=E30,OR(F30="",2&lt;=F30)),(D30*(1+assumptions!$G$76)^0/12*(1+assumptions!$G$70+assumptions!$G$71+IF(2&gt;=assumptions!$G$73,assumptions!$G$72,0))+assumptions!$G$74/12)+IF(2=E30,D30*assumptions!$G$75,0),0)</f>
        <v>0</v>
      </c>
      <c r="I30" s="19" t="n">
        <f aca="false">IF(AND(3&gt;=E30,OR(F30="",3&lt;=F30)),(D30*(1+assumptions!$G$76)^0/12*(1+assumptions!$G$70+assumptions!$G$71+IF(3&gt;=assumptions!$G$73,assumptions!$G$72,0))+assumptions!$G$74/12)+IF(3=E30,D30*assumptions!$G$75,0),0)</f>
        <v>0</v>
      </c>
      <c r="J30" s="19" t="n">
        <f aca="false">IF(AND(4&gt;=E30,OR(F30="",4&lt;=F30)),(D30*(1+assumptions!$G$76)^0/12*(1+assumptions!$G$70+assumptions!$G$71+IF(4&gt;=assumptions!$G$73,assumptions!$G$72,0))+assumptions!$G$74/12)+IF(4=E30,D30*assumptions!$G$75,0),0)</f>
        <v>0</v>
      </c>
      <c r="K30" s="19" t="n">
        <f aca="false">IF(AND(5&gt;=E30,OR(F30="",5&lt;=F30)),(D30*(1+assumptions!$G$76)^0/12*(1+assumptions!$G$70+assumptions!$G$71+IF(5&gt;=assumptions!$G$73,assumptions!$G$72,0))+assumptions!$G$74/12)+IF(5=E30,D30*assumptions!$G$75,0),0)</f>
        <v>0</v>
      </c>
      <c r="L30" s="19" t="n">
        <f aca="false">IF(AND(6&gt;=E30,OR(F30="",6&lt;=F30)),(D30*(1+assumptions!$G$76)^0/12*(1+assumptions!$G$70+assumptions!$G$71+IF(6&gt;=assumptions!$G$73,assumptions!$G$72,0))+assumptions!$G$74/12)+IF(6=E30,D30*assumptions!$G$75,0),0)</f>
        <v>0</v>
      </c>
      <c r="M30" s="19" t="n">
        <f aca="false">IF(AND(7&gt;=E30,OR(F30="",7&lt;=F30)),(D30*(1+assumptions!$G$76)^0/12*(1+assumptions!$G$70+assumptions!$G$71+IF(7&gt;=assumptions!$G$73,assumptions!$G$72,0))+assumptions!$G$74/12)+IF(7=E30,D30*assumptions!$G$75,0),0)</f>
        <v>0</v>
      </c>
      <c r="N30" s="19" t="n">
        <f aca="false">IF(AND(8&gt;=E30,OR(F30="",8&lt;=F30)),(D30*(1+assumptions!$G$76)^0/12*(1+assumptions!$G$70+assumptions!$G$71+IF(8&gt;=assumptions!$G$73,assumptions!$G$72,0))+assumptions!$G$74/12)+IF(8=E30,D30*assumptions!$G$75,0),0)</f>
        <v>0</v>
      </c>
      <c r="O30" s="19" t="n">
        <f aca="false">IF(AND(9&gt;=E30,OR(F30="",9&lt;=F30)),(D30*(1+assumptions!$G$76)^0/12*(1+assumptions!$G$70+assumptions!$G$71+IF(9&gt;=assumptions!$G$73,assumptions!$G$72,0))+assumptions!$G$74/12)+IF(9=E30,D30*assumptions!$G$75,0),0)</f>
        <v>0</v>
      </c>
      <c r="P30" s="19" t="n">
        <f aca="false">IF(AND(10&gt;=E30,OR(F30="",10&lt;=F30)),(D30*(1+assumptions!$G$76)^0/12*(1+assumptions!$G$70+assumptions!$G$71+IF(10&gt;=assumptions!$G$73,assumptions!$G$72,0))+assumptions!$G$74/12)+IF(10=E30,D30*assumptions!$G$75,0),0)</f>
        <v>0</v>
      </c>
      <c r="Q30" s="19" t="n">
        <f aca="false">IF(AND(11&gt;=E30,OR(F30="",11&lt;=F30)),(D30*(1+assumptions!$G$76)^0/12*(1+assumptions!$G$70+assumptions!$G$71+IF(11&gt;=assumptions!$G$73,assumptions!$G$72,0))+assumptions!$G$74/12)+IF(11=E30,D30*assumptions!$G$75,0),0)</f>
        <v>0</v>
      </c>
      <c r="R30" s="19" t="n">
        <f aca="false">IF(AND(12&gt;=E30,OR(F30="",12&lt;=F30)),(D30*(1+assumptions!$G$76)^0/12*(1+assumptions!$G$70+assumptions!$G$71+IF(12&gt;=assumptions!$G$73,assumptions!$G$72,0))+assumptions!$G$74/12)+IF(12=E30,D30*assumptions!$G$75,0),0)</f>
        <v>0</v>
      </c>
      <c r="S30" s="19" t="n">
        <f aca="false">IF(AND(13&gt;=E30,OR(F30="",13&lt;=F30)),(D30*(1+assumptions!$G$76)^1/12*(1+assumptions!$G$70+assumptions!$G$71+IF(13&gt;=assumptions!$G$73,assumptions!$G$72,0))+assumptions!$G$74/12)+IF(13=E30,D30*assumptions!$G$75,0),0)</f>
        <v>0</v>
      </c>
      <c r="T30" s="19" t="n">
        <f aca="false">IF(AND(14&gt;=E30,OR(F30="",14&lt;=F30)),(D30*(1+assumptions!$G$76)^1/12*(1+assumptions!$G$70+assumptions!$G$71+IF(14&gt;=assumptions!$G$73,assumptions!$G$72,0))+assumptions!$G$74/12)+IF(14=E30,D30*assumptions!$G$75,0),0)</f>
        <v>0</v>
      </c>
      <c r="U30" s="19" t="n">
        <f aca="false">IF(AND(15&gt;=E30,OR(F30="",15&lt;=F30)),(D30*(1+assumptions!$G$76)^1/12*(1+assumptions!$G$70+assumptions!$G$71+IF(15&gt;=assumptions!$G$73,assumptions!$G$72,0))+assumptions!$G$74/12)+IF(15=E30,D30*assumptions!$G$75,0),0)</f>
        <v>0</v>
      </c>
      <c r="V30" s="19" t="n">
        <f aca="false">IF(AND(16&gt;=E30,OR(F30="",16&lt;=F30)),(D30*(1+assumptions!$G$76)^1/12*(1+assumptions!$G$70+assumptions!$G$71+IF(16&gt;=assumptions!$G$73,assumptions!$G$72,0))+assumptions!$G$74/12)+IF(16=E30,D30*assumptions!$G$75,0),0)</f>
        <v>0</v>
      </c>
      <c r="W30" s="19" t="n">
        <f aca="false">IF(AND(17&gt;=E30,OR(F30="",17&lt;=F30)),(D30*(1+assumptions!$G$76)^1/12*(1+assumptions!$G$70+assumptions!$G$71+IF(17&gt;=assumptions!$G$73,assumptions!$G$72,0))+assumptions!$G$74/12)+IF(17=E30,D30*assumptions!$G$75,0),0)</f>
        <v>0</v>
      </c>
      <c r="X30" s="19" t="n">
        <f aca="false">IF(AND(18&gt;=E30,OR(F30="",18&lt;=F30)),(D30*(1+assumptions!$G$76)^1/12*(1+assumptions!$G$70+assumptions!$G$71+IF(18&gt;=assumptions!$G$73,assumptions!$G$72,0))+assumptions!$G$74/12)+IF(18=E30,D30*assumptions!$G$75,0),0)</f>
        <v>0</v>
      </c>
      <c r="Y30" s="19" t="n">
        <f aca="false">IF(AND(19&gt;=E30,OR(F30="",19&lt;=F30)),(D30*(1+assumptions!$G$76)^1/12*(1+assumptions!$G$70+assumptions!$G$71+IF(19&gt;=assumptions!$G$73,assumptions!$G$72,0))+assumptions!$G$74/12)+IF(19=E30,D30*assumptions!$G$75,0),0)</f>
        <v>0</v>
      </c>
      <c r="Z30" s="19" t="n">
        <f aca="false">IF(AND(20&gt;=E30,OR(F30="",20&lt;=F30)),(D30*(1+assumptions!$G$76)^1/12*(1+assumptions!$G$70+assumptions!$G$71+IF(20&gt;=assumptions!$G$73,assumptions!$G$72,0))+assumptions!$G$74/12)+IF(20=E30,D30*assumptions!$G$75,0),0)</f>
        <v>0</v>
      </c>
      <c r="AA30" s="19" t="n">
        <f aca="false">IF(AND(21&gt;=E30,OR(F30="",21&lt;=F30)),(D30*(1+assumptions!$G$76)^1/12*(1+assumptions!$G$70+assumptions!$G$71+IF(21&gt;=assumptions!$G$73,assumptions!$G$72,0))+assumptions!$G$74/12)+IF(21=E30,D30*assumptions!$G$75,0),0)</f>
        <v>0</v>
      </c>
      <c r="AB30" s="19" t="n">
        <f aca="false">IF(AND(22&gt;=E30,OR(F30="",22&lt;=F30)),(D30*(1+assumptions!$G$76)^1/12*(1+assumptions!$G$70+assumptions!$G$71+IF(22&gt;=assumptions!$G$73,assumptions!$G$72,0))+assumptions!$G$74/12)+IF(22=E30,D30*assumptions!$G$75,0),0)</f>
        <v>0</v>
      </c>
      <c r="AC30" s="19" t="n">
        <f aca="false">IF(AND(23&gt;=E30,OR(F30="",23&lt;=F30)),(D30*(1+assumptions!$G$76)^1/12*(1+assumptions!$G$70+assumptions!$G$71+IF(23&gt;=assumptions!$G$73,assumptions!$G$72,0))+assumptions!$G$74/12)+IF(23=E30,D30*assumptions!$G$75,0),0)</f>
        <v>0</v>
      </c>
      <c r="AD30" s="19" t="n">
        <f aca="false">IF(AND(24&gt;=E30,OR(F30="",24&lt;=F30)),(D30*(1+assumptions!$G$76)^1/12*(1+assumptions!$G$70+assumptions!$G$71+IF(24&gt;=assumptions!$G$73,assumptions!$G$72,0))+assumptions!$G$74/12)+IF(24=E30,D30*assumptions!$G$75,0),0)</f>
        <v>0</v>
      </c>
      <c r="AE30" s="19" t="n">
        <f aca="false">IF(AND(25&gt;=E30,OR(F30="",25&lt;=F30)),(D30*(1+assumptions!$G$76)^2/12*(1+assumptions!$G$70+assumptions!$G$71+IF(25&gt;=assumptions!$G$73,assumptions!$G$72,0))+assumptions!$G$74/12)+IF(25=E30,D30*assumptions!$G$75,0),0)</f>
        <v>0</v>
      </c>
      <c r="AF30" s="19" t="n">
        <f aca="false">IF(AND(26&gt;=E30,OR(F30="",26&lt;=F30)),(D30*(1+assumptions!$G$76)^2/12*(1+assumptions!$G$70+assumptions!$G$71+IF(26&gt;=assumptions!$G$73,assumptions!$G$72,0))+assumptions!$G$74/12)+IF(26=E30,D30*assumptions!$G$75,0),0)</f>
        <v>0</v>
      </c>
      <c r="AG30" s="19" t="n">
        <f aca="false">IF(AND(27&gt;=E30,OR(F30="",27&lt;=F30)),(D30*(1+assumptions!$G$76)^2/12*(1+assumptions!$G$70+assumptions!$G$71+IF(27&gt;=assumptions!$G$73,assumptions!$G$72,0))+assumptions!$G$74/12)+IF(27=E30,D30*assumptions!$G$75,0),0)</f>
        <v>0</v>
      </c>
      <c r="AH30" s="19" t="n">
        <f aca="false">IF(AND(28&gt;=E30,OR(F30="",28&lt;=F30)),(D30*(1+assumptions!$G$76)^2/12*(1+assumptions!$G$70+assumptions!$G$71+IF(28&gt;=assumptions!$G$73,assumptions!$G$72,0))+assumptions!$G$74/12)+IF(28=E30,D30*assumptions!$G$75,0),0)</f>
        <v>0</v>
      </c>
      <c r="AI30" s="19" t="n">
        <f aca="false">IF(AND(29&gt;=E30,OR(F30="",29&lt;=F30)),(D30*(1+assumptions!$G$76)^2/12*(1+assumptions!$G$70+assumptions!$G$71+IF(29&gt;=assumptions!$G$73,assumptions!$G$72,0))+assumptions!$G$74/12)+IF(29=E30,D30*assumptions!$G$75,0),0)</f>
        <v>0</v>
      </c>
      <c r="AJ30" s="19" t="n">
        <f aca="false">IF(AND(30&gt;=E30,OR(F30="",30&lt;=F30)),(D30*(1+assumptions!$G$76)^2/12*(1+assumptions!$G$70+assumptions!$G$71+IF(30&gt;=assumptions!$G$73,assumptions!$G$72,0))+assumptions!$G$74/12)+IF(30=E30,D30*assumptions!$G$75,0),0)</f>
        <v>0</v>
      </c>
      <c r="AK30" s="19" t="n">
        <f aca="false">IF(AND(31&gt;=E30,OR(F30="",31&lt;=F30)),(D30*(1+assumptions!$G$76)^2/12*(1+assumptions!$G$70+assumptions!$G$71+IF(31&gt;=assumptions!$G$73,assumptions!$G$72,0))+assumptions!$G$74/12)+IF(31=E30,D30*assumptions!$G$75,0),0)</f>
        <v>0</v>
      </c>
      <c r="AL30" s="19" t="n">
        <f aca="false">IF(AND(32&gt;=E30,OR(F30="",32&lt;=F30)),(D30*(1+assumptions!$G$76)^2/12*(1+assumptions!$G$70+assumptions!$G$71+IF(32&gt;=assumptions!$G$73,assumptions!$G$72,0))+assumptions!$G$74/12)+IF(32=E30,D30*assumptions!$G$75,0),0)</f>
        <v>0</v>
      </c>
      <c r="AM30" s="19" t="n">
        <f aca="false">IF(AND(33&gt;=E30,OR(F30="",33&lt;=F30)),(D30*(1+assumptions!$G$76)^2/12*(1+assumptions!$G$70+assumptions!$G$71+IF(33&gt;=assumptions!$G$73,assumptions!$G$72,0))+assumptions!$G$74/12)+IF(33=E30,D30*assumptions!$G$75,0),0)</f>
        <v>0</v>
      </c>
      <c r="AN30" s="19" t="n">
        <f aca="false">IF(AND(34&gt;=E30,OR(F30="",34&lt;=F30)),(D30*(1+assumptions!$G$76)^2/12*(1+assumptions!$G$70+assumptions!$G$71+IF(34&gt;=assumptions!$G$73,assumptions!$G$72,0))+assumptions!$G$74/12)+IF(34=E30,D30*assumptions!$G$75,0),0)</f>
        <v>0</v>
      </c>
      <c r="AO30" s="19" t="n">
        <f aca="false">IF(AND(35&gt;=E30,OR(F30="",35&lt;=F30)),(D30*(1+assumptions!$G$76)^2/12*(1+assumptions!$G$70+assumptions!$G$71+IF(35&gt;=assumptions!$G$73,assumptions!$G$72,0))+assumptions!$G$74/12)+IF(35=E30,D30*assumptions!$G$75,0),0)</f>
        <v>0</v>
      </c>
      <c r="AP30" s="19" t="n">
        <f aca="false">IF(AND(36&gt;=E30,OR(F30="",36&lt;=F30)),(D30*(1+assumptions!$G$76)^2/12*(1+assumptions!$G$70+assumptions!$G$71+IF(36&gt;=assumptions!$G$73,assumptions!$G$72,0))+assumptions!$G$74/12)+IF(36=E30,D30*assumptions!$G$75,0),0)</f>
        <v>23315.376</v>
      </c>
      <c r="AQ30" s="19" t="n">
        <f aca="false">IF(AND(37&gt;=E30,OR(F30="",37&lt;=F30)),(D30*(1+assumptions!$G$76)^3/12*(1+assumptions!$G$70+assumptions!$G$71+IF(37&gt;=assumptions!$G$73,assumptions!$G$72,0))+assumptions!$G$74/12)+IF(37=E30,D30*assumptions!$G$75,0),0)</f>
        <v>10195.99104</v>
      </c>
      <c r="AR30" s="19" t="n">
        <f aca="false">IF(AND(38&gt;=E30,OR(F30="",38&lt;=F30)),(D30*(1+assumptions!$G$76)^3/12*(1+assumptions!$G$70+assumptions!$G$71+IF(38&gt;=assumptions!$G$73,assumptions!$G$72,0))+assumptions!$G$74/12)+IF(38=E30,D30*assumptions!$G$75,0),0)</f>
        <v>10195.99104</v>
      </c>
      <c r="AS30" s="19" t="n">
        <f aca="false">IF(AND(39&gt;=E30,OR(F30="",39&lt;=F30)),(D30*(1+assumptions!$G$76)^3/12*(1+assumptions!$G$70+assumptions!$G$71+IF(39&gt;=assumptions!$G$73,assumptions!$G$72,0))+assumptions!$G$74/12)+IF(39=E30,D30*assumptions!$G$75,0),0)</f>
        <v>10195.99104</v>
      </c>
      <c r="AT30" s="19" t="n">
        <f aca="false">IF(AND(40&gt;=E30,OR(F30="",40&lt;=F30)),(D30*(1+assumptions!$G$76)^3/12*(1+assumptions!$G$70+assumptions!$G$71+IF(40&gt;=assumptions!$G$73,assumptions!$G$72,0))+assumptions!$G$74/12)+IF(40=E30,D30*assumptions!$G$75,0),0)</f>
        <v>10195.99104</v>
      </c>
      <c r="AU30" s="19" t="n">
        <f aca="false">IF(AND(41&gt;=E30,OR(F30="",41&lt;=F30)),(D30*(1+assumptions!$G$76)^3/12*(1+assumptions!$G$70+assumptions!$G$71+IF(41&gt;=assumptions!$G$73,assumptions!$G$72,0))+assumptions!$G$74/12)+IF(41=E30,D30*assumptions!$G$75,0),0)</f>
        <v>10195.99104</v>
      </c>
      <c r="AV30" s="19" t="n">
        <f aca="false">IF(AND(42&gt;=E30,OR(F30="",42&lt;=F30)),(D30*(1+assumptions!$G$76)^3/12*(1+assumptions!$G$70+assumptions!$G$71+IF(42&gt;=assumptions!$G$73,assumptions!$G$72,0))+assumptions!$G$74/12)+IF(42=E30,D30*assumptions!$G$75,0),0)</f>
        <v>10195.99104</v>
      </c>
      <c r="AW30" s="19" t="n">
        <f aca="false">IF(AND(43&gt;=E30,OR(F30="",43&lt;=F30)),(D30*(1+assumptions!$G$76)^3/12*(1+assumptions!$G$70+assumptions!$G$71+IF(43&gt;=assumptions!$G$73,assumptions!$G$72,0))+assumptions!$G$74/12)+IF(43=E30,D30*assumptions!$G$75,0),0)</f>
        <v>10195.99104</v>
      </c>
      <c r="AX30" s="19" t="n">
        <f aca="false">IF(AND(44&gt;=E30,OR(F30="",44&lt;=F30)),(D30*(1+assumptions!$G$76)^3/12*(1+assumptions!$G$70+assumptions!$G$71+IF(44&gt;=assumptions!$G$73,assumptions!$G$72,0))+assumptions!$G$74/12)+IF(44=E30,D30*assumptions!$G$75,0),0)</f>
        <v>10195.99104</v>
      </c>
      <c r="AY30" s="19" t="n">
        <f aca="false">IF(AND(45&gt;=E30,OR(F30="",45&lt;=F30)),(D30*(1+assumptions!$G$76)^3/12*(1+assumptions!$G$70+assumptions!$G$71+IF(45&gt;=assumptions!$G$73,assumptions!$G$72,0))+assumptions!$G$74/12)+IF(45=E30,D30*assumptions!$G$75,0),0)</f>
        <v>10195.99104</v>
      </c>
      <c r="AZ30" s="19" t="n">
        <f aca="false">IF(AND(46&gt;=E30,OR(F30="",46&lt;=F30)),(D30*(1+assumptions!$G$76)^3/12*(1+assumptions!$G$70+assumptions!$G$71+IF(46&gt;=assumptions!$G$73,assumptions!$G$72,0))+assumptions!$G$74/12)+IF(46=E30,D30*assumptions!$G$75,0),0)</f>
        <v>10195.99104</v>
      </c>
      <c r="BA30" s="19" t="n">
        <f aca="false">IF(AND(47&gt;=E30,OR(F30="",47&lt;=F30)),(D30*(1+assumptions!$G$76)^3/12*(1+assumptions!$G$70+assumptions!$G$71+IF(47&gt;=assumptions!$G$73,assumptions!$G$72,0))+assumptions!$G$74/12)+IF(47=E30,D30*assumptions!$G$75,0),0)</f>
        <v>10195.99104</v>
      </c>
      <c r="BB30" s="19" t="n">
        <f aca="false">IF(AND(48&gt;=E30,OR(F30="",48&lt;=F30)),(D30*(1+assumptions!$G$76)^3/12*(1+assumptions!$G$70+assumptions!$G$71+IF(48&gt;=assumptions!$G$73,assumptions!$G$72,0))+assumptions!$G$74/12)+IF(48=E30,D30*assumptions!$G$75,0),0)</f>
        <v>10195.99104</v>
      </c>
      <c r="BC30" s="19" t="n">
        <f aca="false">IF(AND(49&gt;=E30,OR(F30="",49&lt;=F30)),(D30*(1+assumptions!$G$76)^4/12*(1+assumptions!$G$70+assumptions!$G$71+IF(49&gt;=assumptions!$G$73,assumptions!$G$72,0))+assumptions!$G$74/12)+IF(49=E30,D30*assumptions!$G$75,0),0)</f>
        <v>10591.8306816</v>
      </c>
      <c r="BD30" s="19" t="n">
        <f aca="false">IF(AND(50&gt;=E30,OR(F30="",50&lt;=F30)),(D30*(1+assumptions!$G$76)^4/12*(1+assumptions!$G$70+assumptions!$G$71+IF(50&gt;=assumptions!$G$73,assumptions!$G$72,0))+assumptions!$G$74/12)+IF(50=E30,D30*assumptions!$G$75,0),0)</f>
        <v>10591.8306816</v>
      </c>
      <c r="BE30" s="19" t="n">
        <f aca="false">IF(AND(51&gt;=E30,OR(F30="",51&lt;=F30)),(D30*(1+assumptions!$G$76)^4/12*(1+assumptions!$G$70+assumptions!$G$71+IF(51&gt;=assumptions!$G$73,assumptions!$G$72,0))+assumptions!$G$74/12)+IF(51=E30,D30*assumptions!$G$75,0),0)</f>
        <v>10591.8306816</v>
      </c>
      <c r="BF30" s="19" t="n">
        <f aca="false">IF(AND(52&gt;=E30,OR(F30="",52&lt;=F30)),(D30*(1+assumptions!$G$76)^4/12*(1+assumptions!$G$70+assumptions!$G$71+IF(52&gt;=assumptions!$G$73,assumptions!$G$72,0))+assumptions!$G$74/12)+IF(52=E30,D30*assumptions!$G$75,0),0)</f>
        <v>10591.8306816</v>
      </c>
      <c r="BG30" s="19" t="n">
        <f aca="false">IF(AND(53&gt;=E30,OR(F30="",53&lt;=F30)),(D30*(1+assumptions!$G$76)^4/12*(1+assumptions!$G$70+assumptions!$G$71+IF(53&gt;=assumptions!$G$73,assumptions!$G$72,0))+assumptions!$G$74/12)+IF(53=E30,D30*assumptions!$G$75,0),0)</f>
        <v>10591.8306816</v>
      </c>
      <c r="BH30" s="19" t="n">
        <f aca="false">IF(AND(54&gt;=E30,OR(F30="",54&lt;=F30)),(D30*(1+assumptions!$G$76)^4/12*(1+assumptions!$G$70+assumptions!$G$71+IF(54&gt;=assumptions!$G$73,assumptions!$G$72,0))+assumptions!$G$74/12)+IF(54=E30,D30*assumptions!$G$75,0),0)</f>
        <v>10591.8306816</v>
      </c>
      <c r="BI30" s="19" t="n">
        <f aca="false">IF(AND(55&gt;=E30,OR(F30="",55&lt;=F30)),(D30*(1+assumptions!$G$76)^4/12*(1+assumptions!$G$70+assumptions!$G$71+IF(55&gt;=assumptions!$G$73,assumptions!$G$72,0))+assumptions!$G$74/12)+IF(55=E30,D30*assumptions!$G$75,0),0)</f>
        <v>10591.8306816</v>
      </c>
      <c r="BJ30" s="19" t="n">
        <f aca="false">IF(AND(56&gt;=E30,OR(F30="",56&lt;=F30)),(D30*(1+assumptions!$G$76)^4/12*(1+assumptions!$G$70+assumptions!$G$71+IF(56&gt;=assumptions!$G$73,assumptions!$G$72,0))+assumptions!$G$74/12)+IF(56=E30,D30*assumptions!$G$75,0),0)</f>
        <v>10591.8306816</v>
      </c>
      <c r="BK30" s="19" t="n">
        <f aca="false">IF(AND(57&gt;=E30,OR(F30="",57&lt;=F30)),(D30*(1+assumptions!$G$76)^4/12*(1+assumptions!$G$70+assumptions!$G$71+IF(57&gt;=assumptions!$G$73,assumptions!$G$72,0))+assumptions!$G$74/12)+IF(57=E30,D30*assumptions!$G$75,0),0)</f>
        <v>10591.8306816</v>
      </c>
      <c r="BL30" s="19" t="n">
        <f aca="false">IF(AND(58&gt;=E30,OR(F30="",58&lt;=F30)),(D30*(1+assumptions!$G$76)^4/12*(1+assumptions!$G$70+assumptions!$G$71+IF(58&gt;=assumptions!$G$73,assumptions!$G$72,0))+assumptions!$G$74/12)+IF(58=E30,D30*assumptions!$G$75,0),0)</f>
        <v>10591.8306816</v>
      </c>
      <c r="BM30" s="19" t="n">
        <f aca="false">IF(AND(59&gt;=E30,OR(F30="",59&lt;=F30)),(D30*(1+assumptions!$G$76)^4/12*(1+assumptions!$G$70+assumptions!$G$71+IF(59&gt;=assumptions!$G$73,assumptions!$G$72,0))+assumptions!$G$74/12)+IF(59=E30,D30*assumptions!$G$75,0),0)</f>
        <v>10591.8306816</v>
      </c>
      <c r="BN30" s="19" t="n">
        <f aca="false">IF(AND(60&gt;=E30,OR(F30="",60&lt;=F30)),(D30*(1+assumptions!$G$76)^4/12*(1+assumptions!$G$70+assumptions!$G$71+IF(60&gt;=assumptions!$G$73,assumptions!$G$72,0))+assumptions!$G$74/12)+IF(60=E30,D30*assumptions!$G$75,0),0)</f>
        <v>10591.8306816</v>
      </c>
    </row>
    <row r="31" customFormat="false" ht="14.25" hidden="false" customHeight="false" outlineLevel="0" collapsed="false">
      <c r="A31" s="7" t="n">
        <v>28</v>
      </c>
      <c r="B31" s="7" t="s">
        <v>371</v>
      </c>
      <c r="C31" s="7" t="s">
        <v>345</v>
      </c>
      <c r="D31" s="17" t="n">
        <v>85000</v>
      </c>
      <c r="E31" s="49" t="n">
        <v>38</v>
      </c>
      <c r="F31" s="49"/>
      <c r="G31" s="19" t="n">
        <f aca="false">IF(AND(1&gt;=E31,OR(F31="",1&lt;=F31)),(D31*(1+assumptions!$G$76)^0/12*(1+assumptions!$G$70+assumptions!$G$71+IF(1&gt;=assumptions!$G$73,assumptions!$G$72,0))+assumptions!$G$74/12)+IF(1=E31,D31*assumptions!$G$75,0),0)</f>
        <v>0</v>
      </c>
      <c r="H31" s="19" t="n">
        <f aca="false">IF(AND(2&gt;=E31,OR(F31="",2&lt;=F31)),(D31*(1+assumptions!$G$76)^0/12*(1+assumptions!$G$70+assumptions!$G$71+IF(2&gt;=assumptions!$G$73,assumptions!$G$72,0))+assumptions!$G$74/12)+IF(2=E31,D31*assumptions!$G$75,0),0)</f>
        <v>0</v>
      </c>
      <c r="I31" s="19" t="n">
        <f aca="false">IF(AND(3&gt;=E31,OR(F31="",3&lt;=F31)),(D31*(1+assumptions!$G$76)^0/12*(1+assumptions!$G$70+assumptions!$G$71+IF(3&gt;=assumptions!$G$73,assumptions!$G$72,0))+assumptions!$G$74/12)+IF(3=E31,D31*assumptions!$G$75,0),0)</f>
        <v>0</v>
      </c>
      <c r="J31" s="19" t="n">
        <f aca="false">IF(AND(4&gt;=E31,OR(F31="",4&lt;=F31)),(D31*(1+assumptions!$G$76)^0/12*(1+assumptions!$G$70+assumptions!$G$71+IF(4&gt;=assumptions!$G$73,assumptions!$G$72,0))+assumptions!$G$74/12)+IF(4=E31,D31*assumptions!$G$75,0),0)</f>
        <v>0</v>
      </c>
      <c r="K31" s="19" t="n">
        <f aca="false">IF(AND(5&gt;=E31,OR(F31="",5&lt;=F31)),(D31*(1+assumptions!$G$76)^0/12*(1+assumptions!$G$70+assumptions!$G$71+IF(5&gt;=assumptions!$G$73,assumptions!$G$72,0))+assumptions!$G$74/12)+IF(5=E31,D31*assumptions!$G$75,0),0)</f>
        <v>0</v>
      </c>
      <c r="L31" s="19" t="n">
        <f aca="false">IF(AND(6&gt;=E31,OR(F31="",6&lt;=F31)),(D31*(1+assumptions!$G$76)^0/12*(1+assumptions!$G$70+assumptions!$G$71+IF(6&gt;=assumptions!$G$73,assumptions!$G$72,0))+assumptions!$G$74/12)+IF(6=E31,D31*assumptions!$G$75,0),0)</f>
        <v>0</v>
      </c>
      <c r="M31" s="19" t="n">
        <f aca="false">IF(AND(7&gt;=E31,OR(F31="",7&lt;=F31)),(D31*(1+assumptions!$G$76)^0/12*(1+assumptions!$G$70+assumptions!$G$71+IF(7&gt;=assumptions!$G$73,assumptions!$G$72,0))+assumptions!$G$74/12)+IF(7=E31,D31*assumptions!$G$75,0),0)</f>
        <v>0</v>
      </c>
      <c r="N31" s="19" t="n">
        <f aca="false">IF(AND(8&gt;=E31,OR(F31="",8&lt;=F31)),(D31*(1+assumptions!$G$76)^0/12*(1+assumptions!$G$70+assumptions!$G$71+IF(8&gt;=assumptions!$G$73,assumptions!$G$72,0))+assumptions!$G$74/12)+IF(8=E31,D31*assumptions!$G$75,0),0)</f>
        <v>0</v>
      </c>
      <c r="O31" s="19" t="n">
        <f aca="false">IF(AND(9&gt;=E31,OR(F31="",9&lt;=F31)),(D31*(1+assumptions!$G$76)^0/12*(1+assumptions!$G$70+assumptions!$G$71+IF(9&gt;=assumptions!$G$73,assumptions!$G$72,0))+assumptions!$G$74/12)+IF(9=E31,D31*assumptions!$G$75,0),0)</f>
        <v>0</v>
      </c>
      <c r="P31" s="19" t="n">
        <f aca="false">IF(AND(10&gt;=E31,OR(F31="",10&lt;=F31)),(D31*(1+assumptions!$G$76)^0/12*(1+assumptions!$G$70+assumptions!$G$71+IF(10&gt;=assumptions!$G$73,assumptions!$G$72,0))+assumptions!$G$74/12)+IF(10=E31,D31*assumptions!$G$75,0),0)</f>
        <v>0</v>
      </c>
      <c r="Q31" s="19" t="n">
        <f aca="false">IF(AND(11&gt;=E31,OR(F31="",11&lt;=F31)),(D31*(1+assumptions!$G$76)^0/12*(1+assumptions!$G$70+assumptions!$G$71+IF(11&gt;=assumptions!$G$73,assumptions!$G$72,0))+assumptions!$G$74/12)+IF(11=E31,D31*assumptions!$G$75,0),0)</f>
        <v>0</v>
      </c>
      <c r="R31" s="19" t="n">
        <f aca="false">IF(AND(12&gt;=E31,OR(F31="",12&lt;=F31)),(D31*(1+assumptions!$G$76)^0/12*(1+assumptions!$G$70+assumptions!$G$71+IF(12&gt;=assumptions!$G$73,assumptions!$G$72,0))+assumptions!$G$74/12)+IF(12=E31,D31*assumptions!$G$75,0),0)</f>
        <v>0</v>
      </c>
      <c r="S31" s="19" t="n">
        <f aca="false">IF(AND(13&gt;=E31,OR(F31="",13&lt;=F31)),(D31*(1+assumptions!$G$76)^1/12*(1+assumptions!$G$70+assumptions!$G$71+IF(13&gt;=assumptions!$G$73,assumptions!$G$72,0))+assumptions!$G$74/12)+IF(13=E31,D31*assumptions!$G$75,0),0)</f>
        <v>0</v>
      </c>
      <c r="T31" s="19" t="n">
        <f aca="false">IF(AND(14&gt;=E31,OR(F31="",14&lt;=F31)),(D31*(1+assumptions!$G$76)^1/12*(1+assumptions!$G$70+assumptions!$G$71+IF(14&gt;=assumptions!$G$73,assumptions!$G$72,0))+assumptions!$G$74/12)+IF(14=E31,D31*assumptions!$G$75,0),0)</f>
        <v>0</v>
      </c>
      <c r="U31" s="19" t="n">
        <f aca="false">IF(AND(15&gt;=E31,OR(F31="",15&lt;=F31)),(D31*(1+assumptions!$G$76)^1/12*(1+assumptions!$G$70+assumptions!$G$71+IF(15&gt;=assumptions!$G$73,assumptions!$G$72,0))+assumptions!$G$74/12)+IF(15=E31,D31*assumptions!$G$75,0),0)</f>
        <v>0</v>
      </c>
      <c r="V31" s="19" t="n">
        <f aca="false">IF(AND(16&gt;=E31,OR(F31="",16&lt;=F31)),(D31*(1+assumptions!$G$76)^1/12*(1+assumptions!$G$70+assumptions!$G$71+IF(16&gt;=assumptions!$G$73,assumptions!$G$72,0))+assumptions!$G$74/12)+IF(16=E31,D31*assumptions!$G$75,0),0)</f>
        <v>0</v>
      </c>
      <c r="W31" s="19" t="n">
        <f aca="false">IF(AND(17&gt;=E31,OR(F31="",17&lt;=F31)),(D31*(1+assumptions!$G$76)^1/12*(1+assumptions!$G$70+assumptions!$G$71+IF(17&gt;=assumptions!$G$73,assumptions!$G$72,0))+assumptions!$G$74/12)+IF(17=E31,D31*assumptions!$G$75,0),0)</f>
        <v>0</v>
      </c>
      <c r="X31" s="19" t="n">
        <f aca="false">IF(AND(18&gt;=E31,OR(F31="",18&lt;=F31)),(D31*(1+assumptions!$G$76)^1/12*(1+assumptions!$G$70+assumptions!$G$71+IF(18&gt;=assumptions!$G$73,assumptions!$G$72,0))+assumptions!$G$74/12)+IF(18=E31,D31*assumptions!$G$75,0),0)</f>
        <v>0</v>
      </c>
      <c r="Y31" s="19" t="n">
        <f aca="false">IF(AND(19&gt;=E31,OR(F31="",19&lt;=F31)),(D31*(1+assumptions!$G$76)^1/12*(1+assumptions!$G$70+assumptions!$G$71+IF(19&gt;=assumptions!$G$73,assumptions!$G$72,0))+assumptions!$G$74/12)+IF(19=E31,D31*assumptions!$G$75,0),0)</f>
        <v>0</v>
      </c>
      <c r="Z31" s="19" t="n">
        <f aca="false">IF(AND(20&gt;=E31,OR(F31="",20&lt;=F31)),(D31*(1+assumptions!$G$76)^1/12*(1+assumptions!$G$70+assumptions!$G$71+IF(20&gt;=assumptions!$G$73,assumptions!$G$72,0))+assumptions!$G$74/12)+IF(20=E31,D31*assumptions!$G$75,0),0)</f>
        <v>0</v>
      </c>
      <c r="AA31" s="19" t="n">
        <f aca="false">IF(AND(21&gt;=E31,OR(F31="",21&lt;=F31)),(D31*(1+assumptions!$G$76)^1/12*(1+assumptions!$G$70+assumptions!$G$71+IF(21&gt;=assumptions!$G$73,assumptions!$G$72,0))+assumptions!$G$74/12)+IF(21=E31,D31*assumptions!$G$75,0),0)</f>
        <v>0</v>
      </c>
      <c r="AB31" s="19" t="n">
        <f aca="false">IF(AND(22&gt;=E31,OR(F31="",22&lt;=F31)),(D31*(1+assumptions!$G$76)^1/12*(1+assumptions!$G$70+assumptions!$G$71+IF(22&gt;=assumptions!$G$73,assumptions!$G$72,0))+assumptions!$G$74/12)+IF(22=E31,D31*assumptions!$G$75,0),0)</f>
        <v>0</v>
      </c>
      <c r="AC31" s="19" t="n">
        <f aca="false">IF(AND(23&gt;=E31,OR(F31="",23&lt;=F31)),(D31*(1+assumptions!$G$76)^1/12*(1+assumptions!$G$70+assumptions!$G$71+IF(23&gt;=assumptions!$G$73,assumptions!$G$72,0))+assumptions!$G$74/12)+IF(23=E31,D31*assumptions!$G$75,0),0)</f>
        <v>0</v>
      </c>
      <c r="AD31" s="19" t="n">
        <f aca="false">IF(AND(24&gt;=E31,OR(F31="",24&lt;=F31)),(D31*(1+assumptions!$G$76)^1/12*(1+assumptions!$G$70+assumptions!$G$71+IF(24&gt;=assumptions!$G$73,assumptions!$G$72,0))+assumptions!$G$74/12)+IF(24=E31,D31*assumptions!$G$75,0),0)</f>
        <v>0</v>
      </c>
      <c r="AE31" s="19" t="n">
        <f aca="false">IF(AND(25&gt;=E31,OR(F31="",25&lt;=F31)),(D31*(1+assumptions!$G$76)^2/12*(1+assumptions!$G$70+assumptions!$G$71+IF(25&gt;=assumptions!$G$73,assumptions!$G$72,0))+assumptions!$G$74/12)+IF(25=E31,D31*assumptions!$G$75,0),0)</f>
        <v>0</v>
      </c>
      <c r="AF31" s="19" t="n">
        <f aca="false">IF(AND(26&gt;=E31,OR(F31="",26&lt;=F31)),(D31*(1+assumptions!$G$76)^2/12*(1+assumptions!$G$70+assumptions!$G$71+IF(26&gt;=assumptions!$G$73,assumptions!$G$72,0))+assumptions!$G$74/12)+IF(26=E31,D31*assumptions!$G$75,0),0)</f>
        <v>0</v>
      </c>
      <c r="AG31" s="19" t="n">
        <f aca="false">IF(AND(27&gt;=E31,OR(F31="",27&lt;=F31)),(D31*(1+assumptions!$G$76)^2/12*(1+assumptions!$G$70+assumptions!$G$71+IF(27&gt;=assumptions!$G$73,assumptions!$G$72,0))+assumptions!$G$74/12)+IF(27=E31,D31*assumptions!$G$75,0),0)</f>
        <v>0</v>
      </c>
      <c r="AH31" s="19" t="n">
        <f aca="false">IF(AND(28&gt;=E31,OR(F31="",28&lt;=F31)),(D31*(1+assumptions!$G$76)^2/12*(1+assumptions!$G$70+assumptions!$G$71+IF(28&gt;=assumptions!$G$73,assumptions!$G$72,0))+assumptions!$G$74/12)+IF(28=E31,D31*assumptions!$G$75,0),0)</f>
        <v>0</v>
      </c>
      <c r="AI31" s="19" t="n">
        <f aca="false">IF(AND(29&gt;=E31,OR(F31="",29&lt;=F31)),(D31*(1+assumptions!$G$76)^2/12*(1+assumptions!$G$70+assumptions!$G$71+IF(29&gt;=assumptions!$G$73,assumptions!$G$72,0))+assumptions!$G$74/12)+IF(29=E31,D31*assumptions!$G$75,0),0)</f>
        <v>0</v>
      </c>
      <c r="AJ31" s="19" t="n">
        <f aca="false">IF(AND(30&gt;=E31,OR(F31="",30&lt;=F31)),(D31*(1+assumptions!$G$76)^2/12*(1+assumptions!$G$70+assumptions!$G$71+IF(30&gt;=assumptions!$G$73,assumptions!$G$72,0))+assumptions!$G$74/12)+IF(30=E31,D31*assumptions!$G$75,0),0)</f>
        <v>0</v>
      </c>
      <c r="AK31" s="19" t="n">
        <f aca="false">IF(AND(31&gt;=E31,OR(F31="",31&lt;=F31)),(D31*(1+assumptions!$G$76)^2/12*(1+assumptions!$G$70+assumptions!$G$71+IF(31&gt;=assumptions!$G$73,assumptions!$G$72,0))+assumptions!$G$74/12)+IF(31=E31,D31*assumptions!$G$75,0),0)</f>
        <v>0</v>
      </c>
      <c r="AL31" s="19" t="n">
        <f aca="false">IF(AND(32&gt;=E31,OR(F31="",32&lt;=F31)),(D31*(1+assumptions!$G$76)^2/12*(1+assumptions!$G$70+assumptions!$G$71+IF(32&gt;=assumptions!$G$73,assumptions!$G$72,0))+assumptions!$G$74/12)+IF(32=E31,D31*assumptions!$G$75,0),0)</f>
        <v>0</v>
      </c>
      <c r="AM31" s="19" t="n">
        <f aca="false">IF(AND(33&gt;=E31,OR(F31="",33&lt;=F31)),(D31*(1+assumptions!$G$76)^2/12*(1+assumptions!$G$70+assumptions!$G$71+IF(33&gt;=assumptions!$G$73,assumptions!$G$72,0))+assumptions!$G$74/12)+IF(33=E31,D31*assumptions!$G$75,0),0)</f>
        <v>0</v>
      </c>
      <c r="AN31" s="19" t="n">
        <f aca="false">IF(AND(34&gt;=E31,OR(F31="",34&lt;=F31)),(D31*(1+assumptions!$G$76)^2/12*(1+assumptions!$G$70+assumptions!$G$71+IF(34&gt;=assumptions!$G$73,assumptions!$G$72,0))+assumptions!$G$74/12)+IF(34=E31,D31*assumptions!$G$75,0),0)</f>
        <v>0</v>
      </c>
      <c r="AO31" s="19" t="n">
        <f aca="false">IF(AND(35&gt;=E31,OR(F31="",35&lt;=F31)),(D31*(1+assumptions!$G$76)^2/12*(1+assumptions!$G$70+assumptions!$G$71+IF(35&gt;=assumptions!$G$73,assumptions!$G$72,0))+assumptions!$G$74/12)+IF(35=E31,D31*assumptions!$G$75,0),0)</f>
        <v>0</v>
      </c>
      <c r="AP31" s="19" t="n">
        <f aca="false">IF(AND(36&gt;=E31,OR(F31="",36&lt;=F31)),(D31*(1+assumptions!$G$76)^2/12*(1+assumptions!$G$70+assumptions!$G$71+IF(36&gt;=assumptions!$G$73,assumptions!$G$72,0))+assumptions!$G$74/12)+IF(36=E31,D31*assumptions!$G$75,0),0)</f>
        <v>0</v>
      </c>
      <c r="AQ31" s="19" t="n">
        <f aca="false">IF(AND(37&gt;=E31,OR(F31="",37&lt;=F31)),(D31*(1+assumptions!$G$76)^3/12*(1+assumptions!$G$70+assumptions!$G$71+IF(37&gt;=assumptions!$G$73,assumptions!$G$72,0))+assumptions!$G$74/12)+IF(37=E31,D31*assumptions!$G$75,0),0)</f>
        <v>0</v>
      </c>
      <c r="AR31" s="19" t="n">
        <f aca="false">IF(AND(38&gt;=E31,OR(F31="",38&lt;=F31)),(D31*(1+assumptions!$G$76)^3/12*(1+assumptions!$G$70+assumptions!$G$71+IF(38&gt;=assumptions!$G$73,assumptions!$G$72,0))+assumptions!$G$74/12)+IF(38=E31,D31*assumptions!$G$75,0),0)</f>
        <v>22396.21376</v>
      </c>
      <c r="AS31" s="19" t="n">
        <f aca="false">IF(AND(39&gt;=E31,OR(F31="",39&lt;=F31)),(D31*(1+assumptions!$G$76)^3/12*(1+assumptions!$G$70+assumptions!$G$71+IF(39&gt;=assumptions!$G$73,assumptions!$G$72,0))+assumptions!$G$74/12)+IF(39=E31,D31*assumptions!$G$75,0),0)</f>
        <v>9646.21376</v>
      </c>
      <c r="AT31" s="19" t="n">
        <f aca="false">IF(AND(40&gt;=E31,OR(F31="",40&lt;=F31)),(D31*(1+assumptions!$G$76)^3/12*(1+assumptions!$G$70+assumptions!$G$71+IF(40&gt;=assumptions!$G$73,assumptions!$G$72,0))+assumptions!$G$74/12)+IF(40=E31,D31*assumptions!$G$75,0),0)</f>
        <v>9646.21376</v>
      </c>
      <c r="AU31" s="19" t="n">
        <f aca="false">IF(AND(41&gt;=E31,OR(F31="",41&lt;=F31)),(D31*(1+assumptions!$G$76)^3/12*(1+assumptions!$G$70+assumptions!$G$71+IF(41&gt;=assumptions!$G$73,assumptions!$G$72,0))+assumptions!$G$74/12)+IF(41=E31,D31*assumptions!$G$75,0),0)</f>
        <v>9646.21376</v>
      </c>
      <c r="AV31" s="19" t="n">
        <f aca="false">IF(AND(42&gt;=E31,OR(F31="",42&lt;=F31)),(D31*(1+assumptions!$G$76)^3/12*(1+assumptions!$G$70+assumptions!$G$71+IF(42&gt;=assumptions!$G$73,assumptions!$G$72,0))+assumptions!$G$74/12)+IF(42=E31,D31*assumptions!$G$75,0),0)</f>
        <v>9646.21376</v>
      </c>
      <c r="AW31" s="19" t="n">
        <f aca="false">IF(AND(43&gt;=E31,OR(F31="",43&lt;=F31)),(D31*(1+assumptions!$G$76)^3/12*(1+assumptions!$G$70+assumptions!$G$71+IF(43&gt;=assumptions!$G$73,assumptions!$G$72,0))+assumptions!$G$74/12)+IF(43=E31,D31*assumptions!$G$75,0),0)</f>
        <v>9646.21376</v>
      </c>
      <c r="AX31" s="19" t="n">
        <f aca="false">IF(AND(44&gt;=E31,OR(F31="",44&lt;=F31)),(D31*(1+assumptions!$G$76)^3/12*(1+assumptions!$G$70+assumptions!$G$71+IF(44&gt;=assumptions!$G$73,assumptions!$G$72,0))+assumptions!$G$74/12)+IF(44=E31,D31*assumptions!$G$75,0),0)</f>
        <v>9646.21376</v>
      </c>
      <c r="AY31" s="19" t="n">
        <f aca="false">IF(AND(45&gt;=E31,OR(F31="",45&lt;=F31)),(D31*(1+assumptions!$G$76)^3/12*(1+assumptions!$G$70+assumptions!$G$71+IF(45&gt;=assumptions!$G$73,assumptions!$G$72,0))+assumptions!$G$74/12)+IF(45=E31,D31*assumptions!$G$75,0),0)</f>
        <v>9646.21376</v>
      </c>
      <c r="AZ31" s="19" t="n">
        <f aca="false">IF(AND(46&gt;=E31,OR(F31="",46&lt;=F31)),(D31*(1+assumptions!$G$76)^3/12*(1+assumptions!$G$70+assumptions!$G$71+IF(46&gt;=assumptions!$G$73,assumptions!$G$72,0))+assumptions!$G$74/12)+IF(46=E31,D31*assumptions!$G$75,0),0)</f>
        <v>9646.21376</v>
      </c>
      <c r="BA31" s="19" t="n">
        <f aca="false">IF(AND(47&gt;=E31,OR(F31="",47&lt;=F31)),(D31*(1+assumptions!$G$76)^3/12*(1+assumptions!$G$70+assumptions!$G$71+IF(47&gt;=assumptions!$G$73,assumptions!$G$72,0))+assumptions!$G$74/12)+IF(47=E31,D31*assumptions!$G$75,0),0)</f>
        <v>9646.21376</v>
      </c>
      <c r="BB31" s="19" t="n">
        <f aca="false">IF(AND(48&gt;=E31,OR(F31="",48&lt;=F31)),(D31*(1+assumptions!$G$76)^3/12*(1+assumptions!$G$70+assumptions!$G$71+IF(48&gt;=assumptions!$G$73,assumptions!$G$72,0))+assumptions!$G$74/12)+IF(48=E31,D31*assumptions!$G$75,0),0)</f>
        <v>9646.21376</v>
      </c>
      <c r="BC31" s="19" t="n">
        <f aca="false">IF(AND(49&gt;=E31,OR(F31="",49&lt;=F31)),(D31*(1+assumptions!$G$76)^4/12*(1+assumptions!$G$70+assumptions!$G$71+IF(49&gt;=assumptions!$G$73,assumptions!$G$72,0))+assumptions!$G$74/12)+IF(49=E31,D31*assumptions!$G$75,0),0)</f>
        <v>10020.0623104</v>
      </c>
      <c r="BD31" s="19" t="n">
        <f aca="false">IF(AND(50&gt;=E31,OR(F31="",50&lt;=F31)),(D31*(1+assumptions!$G$76)^4/12*(1+assumptions!$G$70+assumptions!$G$71+IF(50&gt;=assumptions!$G$73,assumptions!$G$72,0))+assumptions!$G$74/12)+IF(50=E31,D31*assumptions!$G$75,0),0)</f>
        <v>10020.0623104</v>
      </c>
      <c r="BE31" s="19" t="n">
        <f aca="false">IF(AND(51&gt;=E31,OR(F31="",51&lt;=F31)),(D31*(1+assumptions!$G$76)^4/12*(1+assumptions!$G$70+assumptions!$G$71+IF(51&gt;=assumptions!$G$73,assumptions!$G$72,0))+assumptions!$G$74/12)+IF(51=E31,D31*assumptions!$G$75,0),0)</f>
        <v>10020.0623104</v>
      </c>
      <c r="BF31" s="19" t="n">
        <f aca="false">IF(AND(52&gt;=E31,OR(F31="",52&lt;=F31)),(D31*(1+assumptions!$G$76)^4/12*(1+assumptions!$G$70+assumptions!$G$71+IF(52&gt;=assumptions!$G$73,assumptions!$G$72,0))+assumptions!$G$74/12)+IF(52=E31,D31*assumptions!$G$75,0),0)</f>
        <v>10020.0623104</v>
      </c>
      <c r="BG31" s="19" t="n">
        <f aca="false">IF(AND(53&gt;=E31,OR(F31="",53&lt;=F31)),(D31*(1+assumptions!$G$76)^4/12*(1+assumptions!$G$70+assumptions!$G$71+IF(53&gt;=assumptions!$G$73,assumptions!$G$72,0))+assumptions!$G$74/12)+IF(53=E31,D31*assumptions!$G$75,0),0)</f>
        <v>10020.0623104</v>
      </c>
      <c r="BH31" s="19" t="n">
        <f aca="false">IF(AND(54&gt;=E31,OR(F31="",54&lt;=F31)),(D31*(1+assumptions!$G$76)^4/12*(1+assumptions!$G$70+assumptions!$G$71+IF(54&gt;=assumptions!$G$73,assumptions!$G$72,0))+assumptions!$G$74/12)+IF(54=E31,D31*assumptions!$G$75,0),0)</f>
        <v>10020.0623104</v>
      </c>
      <c r="BI31" s="19" t="n">
        <f aca="false">IF(AND(55&gt;=E31,OR(F31="",55&lt;=F31)),(D31*(1+assumptions!$G$76)^4/12*(1+assumptions!$G$70+assumptions!$G$71+IF(55&gt;=assumptions!$G$73,assumptions!$G$72,0))+assumptions!$G$74/12)+IF(55=E31,D31*assumptions!$G$75,0),0)</f>
        <v>10020.0623104</v>
      </c>
      <c r="BJ31" s="19" t="n">
        <f aca="false">IF(AND(56&gt;=E31,OR(F31="",56&lt;=F31)),(D31*(1+assumptions!$G$76)^4/12*(1+assumptions!$G$70+assumptions!$G$71+IF(56&gt;=assumptions!$G$73,assumptions!$G$72,0))+assumptions!$G$74/12)+IF(56=E31,D31*assumptions!$G$75,0),0)</f>
        <v>10020.0623104</v>
      </c>
      <c r="BK31" s="19" t="n">
        <f aca="false">IF(AND(57&gt;=E31,OR(F31="",57&lt;=F31)),(D31*(1+assumptions!$G$76)^4/12*(1+assumptions!$G$70+assumptions!$G$71+IF(57&gt;=assumptions!$G$73,assumptions!$G$72,0))+assumptions!$G$74/12)+IF(57=E31,D31*assumptions!$G$75,0),0)</f>
        <v>10020.0623104</v>
      </c>
      <c r="BL31" s="19" t="n">
        <f aca="false">IF(AND(58&gt;=E31,OR(F31="",58&lt;=F31)),(D31*(1+assumptions!$G$76)^4/12*(1+assumptions!$G$70+assumptions!$G$71+IF(58&gt;=assumptions!$G$73,assumptions!$G$72,0))+assumptions!$G$74/12)+IF(58=E31,D31*assumptions!$G$75,0),0)</f>
        <v>10020.0623104</v>
      </c>
      <c r="BM31" s="19" t="n">
        <f aca="false">IF(AND(59&gt;=E31,OR(F31="",59&lt;=F31)),(D31*(1+assumptions!$G$76)^4/12*(1+assumptions!$G$70+assumptions!$G$71+IF(59&gt;=assumptions!$G$73,assumptions!$G$72,0))+assumptions!$G$74/12)+IF(59=E31,D31*assumptions!$G$75,0),0)</f>
        <v>10020.0623104</v>
      </c>
      <c r="BN31" s="19" t="n">
        <f aca="false">IF(AND(60&gt;=E31,OR(F31="",60&lt;=F31)),(D31*(1+assumptions!$G$76)^4/12*(1+assumptions!$G$70+assumptions!$G$71+IF(60&gt;=assumptions!$G$73,assumptions!$G$72,0))+assumptions!$G$74/12)+IF(60=E31,D31*assumptions!$G$75,0),0)</f>
        <v>10020.0623104</v>
      </c>
    </row>
    <row r="32" customFormat="false" ht="14.25" hidden="false" customHeight="false" outlineLevel="0" collapsed="false">
      <c r="A32" s="7" t="n">
        <v>29</v>
      </c>
      <c r="B32" s="7" t="s">
        <v>372</v>
      </c>
      <c r="C32" s="7" t="s">
        <v>340</v>
      </c>
      <c r="D32" s="17" t="n">
        <v>105000</v>
      </c>
      <c r="E32" s="49" t="n">
        <v>40</v>
      </c>
      <c r="F32" s="49"/>
      <c r="G32" s="19" t="n">
        <f aca="false">IF(AND(1&gt;=E32,OR(F32="",1&lt;=F32)),(D32*(1+assumptions!$G$76)^0/12*(1+assumptions!$G$70+assumptions!$G$71+IF(1&gt;=assumptions!$G$73,assumptions!$G$72,0))+assumptions!$G$74/12)+IF(1=E32,D32*assumptions!$G$75,0),0)</f>
        <v>0</v>
      </c>
      <c r="H32" s="19" t="n">
        <f aca="false">IF(AND(2&gt;=E32,OR(F32="",2&lt;=F32)),(D32*(1+assumptions!$G$76)^0/12*(1+assumptions!$G$70+assumptions!$G$71+IF(2&gt;=assumptions!$G$73,assumptions!$G$72,0))+assumptions!$G$74/12)+IF(2=E32,D32*assumptions!$G$75,0),0)</f>
        <v>0</v>
      </c>
      <c r="I32" s="19" t="n">
        <f aca="false">IF(AND(3&gt;=E32,OR(F32="",3&lt;=F32)),(D32*(1+assumptions!$G$76)^0/12*(1+assumptions!$G$70+assumptions!$G$71+IF(3&gt;=assumptions!$G$73,assumptions!$G$72,0))+assumptions!$G$74/12)+IF(3=E32,D32*assumptions!$G$75,0),0)</f>
        <v>0</v>
      </c>
      <c r="J32" s="19" t="n">
        <f aca="false">IF(AND(4&gt;=E32,OR(F32="",4&lt;=F32)),(D32*(1+assumptions!$G$76)^0/12*(1+assumptions!$G$70+assumptions!$G$71+IF(4&gt;=assumptions!$G$73,assumptions!$G$72,0))+assumptions!$G$74/12)+IF(4=E32,D32*assumptions!$G$75,0),0)</f>
        <v>0</v>
      </c>
      <c r="K32" s="19" t="n">
        <f aca="false">IF(AND(5&gt;=E32,OR(F32="",5&lt;=F32)),(D32*(1+assumptions!$G$76)^0/12*(1+assumptions!$G$70+assumptions!$G$71+IF(5&gt;=assumptions!$G$73,assumptions!$G$72,0))+assumptions!$G$74/12)+IF(5=E32,D32*assumptions!$G$75,0),0)</f>
        <v>0</v>
      </c>
      <c r="L32" s="19" t="n">
        <f aca="false">IF(AND(6&gt;=E32,OR(F32="",6&lt;=F32)),(D32*(1+assumptions!$G$76)^0/12*(1+assumptions!$G$70+assumptions!$G$71+IF(6&gt;=assumptions!$G$73,assumptions!$G$72,0))+assumptions!$G$74/12)+IF(6=E32,D32*assumptions!$G$75,0),0)</f>
        <v>0</v>
      </c>
      <c r="M32" s="19" t="n">
        <f aca="false">IF(AND(7&gt;=E32,OR(F32="",7&lt;=F32)),(D32*(1+assumptions!$G$76)^0/12*(1+assumptions!$G$70+assumptions!$G$71+IF(7&gt;=assumptions!$G$73,assumptions!$G$72,0))+assumptions!$G$74/12)+IF(7=E32,D32*assumptions!$G$75,0),0)</f>
        <v>0</v>
      </c>
      <c r="N32" s="19" t="n">
        <f aca="false">IF(AND(8&gt;=E32,OR(F32="",8&lt;=F32)),(D32*(1+assumptions!$G$76)^0/12*(1+assumptions!$G$70+assumptions!$G$71+IF(8&gt;=assumptions!$G$73,assumptions!$G$72,0))+assumptions!$G$74/12)+IF(8=E32,D32*assumptions!$G$75,0),0)</f>
        <v>0</v>
      </c>
      <c r="O32" s="19" t="n">
        <f aca="false">IF(AND(9&gt;=E32,OR(F32="",9&lt;=F32)),(D32*(1+assumptions!$G$76)^0/12*(1+assumptions!$G$70+assumptions!$G$71+IF(9&gt;=assumptions!$G$73,assumptions!$G$72,0))+assumptions!$G$74/12)+IF(9=E32,D32*assumptions!$G$75,0),0)</f>
        <v>0</v>
      </c>
      <c r="P32" s="19" t="n">
        <f aca="false">IF(AND(10&gt;=E32,OR(F32="",10&lt;=F32)),(D32*(1+assumptions!$G$76)^0/12*(1+assumptions!$G$70+assumptions!$G$71+IF(10&gt;=assumptions!$G$73,assumptions!$G$72,0))+assumptions!$G$74/12)+IF(10=E32,D32*assumptions!$G$75,0),0)</f>
        <v>0</v>
      </c>
      <c r="Q32" s="19" t="n">
        <f aca="false">IF(AND(11&gt;=E32,OR(F32="",11&lt;=F32)),(D32*(1+assumptions!$G$76)^0/12*(1+assumptions!$G$70+assumptions!$G$71+IF(11&gt;=assumptions!$G$73,assumptions!$G$72,0))+assumptions!$G$74/12)+IF(11=E32,D32*assumptions!$G$75,0),0)</f>
        <v>0</v>
      </c>
      <c r="R32" s="19" t="n">
        <f aca="false">IF(AND(12&gt;=E32,OR(F32="",12&lt;=F32)),(D32*(1+assumptions!$G$76)^0/12*(1+assumptions!$G$70+assumptions!$G$71+IF(12&gt;=assumptions!$G$73,assumptions!$G$72,0))+assumptions!$G$74/12)+IF(12=E32,D32*assumptions!$G$75,0),0)</f>
        <v>0</v>
      </c>
      <c r="S32" s="19" t="n">
        <f aca="false">IF(AND(13&gt;=E32,OR(F32="",13&lt;=F32)),(D32*(1+assumptions!$G$76)^1/12*(1+assumptions!$G$70+assumptions!$G$71+IF(13&gt;=assumptions!$G$73,assumptions!$G$72,0))+assumptions!$G$74/12)+IF(13=E32,D32*assumptions!$G$75,0),0)</f>
        <v>0</v>
      </c>
      <c r="T32" s="19" t="n">
        <f aca="false">IF(AND(14&gt;=E32,OR(F32="",14&lt;=F32)),(D32*(1+assumptions!$G$76)^1/12*(1+assumptions!$G$70+assumptions!$G$71+IF(14&gt;=assumptions!$G$73,assumptions!$G$72,0))+assumptions!$G$74/12)+IF(14=E32,D32*assumptions!$G$75,0),0)</f>
        <v>0</v>
      </c>
      <c r="U32" s="19" t="n">
        <f aca="false">IF(AND(15&gt;=E32,OR(F32="",15&lt;=F32)),(D32*(1+assumptions!$G$76)^1/12*(1+assumptions!$G$70+assumptions!$G$71+IF(15&gt;=assumptions!$G$73,assumptions!$G$72,0))+assumptions!$G$74/12)+IF(15=E32,D32*assumptions!$G$75,0),0)</f>
        <v>0</v>
      </c>
      <c r="V32" s="19" t="n">
        <f aca="false">IF(AND(16&gt;=E32,OR(F32="",16&lt;=F32)),(D32*(1+assumptions!$G$76)^1/12*(1+assumptions!$G$70+assumptions!$G$71+IF(16&gt;=assumptions!$G$73,assumptions!$G$72,0))+assumptions!$G$74/12)+IF(16=E32,D32*assumptions!$G$75,0),0)</f>
        <v>0</v>
      </c>
      <c r="W32" s="19" t="n">
        <f aca="false">IF(AND(17&gt;=E32,OR(F32="",17&lt;=F32)),(D32*(1+assumptions!$G$76)^1/12*(1+assumptions!$G$70+assumptions!$G$71+IF(17&gt;=assumptions!$G$73,assumptions!$G$72,0))+assumptions!$G$74/12)+IF(17=E32,D32*assumptions!$G$75,0),0)</f>
        <v>0</v>
      </c>
      <c r="X32" s="19" t="n">
        <f aca="false">IF(AND(18&gt;=E32,OR(F32="",18&lt;=F32)),(D32*(1+assumptions!$G$76)^1/12*(1+assumptions!$G$70+assumptions!$G$71+IF(18&gt;=assumptions!$G$73,assumptions!$G$72,0))+assumptions!$G$74/12)+IF(18=E32,D32*assumptions!$G$75,0),0)</f>
        <v>0</v>
      </c>
      <c r="Y32" s="19" t="n">
        <f aca="false">IF(AND(19&gt;=E32,OR(F32="",19&lt;=F32)),(D32*(1+assumptions!$G$76)^1/12*(1+assumptions!$G$70+assumptions!$G$71+IF(19&gt;=assumptions!$G$73,assumptions!$G$72,0))+assumptions!$G$74/12)+IF(19=E32,D32*assumptions!$G$75,0),0)</f>
        <v>0</v>
      </c>
      <c r="Z32" s="19" t="n">
        <f aca="false">IF(AND(20&gt;=E32,OR(F32="",20&lt;=F32)),(D32*(1+assumptions!$G$76)^1/12*(1+assumptions!$G$70+assumptions!$G$71+IF(20&gt;=assumptions!$G$73,assumptions!$G$72,0))+assumptions!$G$74/12)+IF(20=E32,D32*assumptions!$G$75,0),0)</f>
        <v>0</v>
      </c>
      <c r="AA32" s="19" t="n">
        <f aca="false">IF(AND(21&gt;=E32,OR(F32="",21&lt;=F32)),(D32*(1+assumptions!$G$76)^1/12*(1+assumptions!$G$70+assumptions!$G$71+IF(21&gt;=assumptions!$G$73,assumptions!$G$72,0))+assumptions!$G$74/12)+IF(21=E32,D32*assumptions!$G$75,0),0)</f>
        <v>0</v>
      </c>
      <c r="AB32" s="19" t="n">
        <f aca="false">IF(AND(22&gt;=E32,OR(F32="",22&lt;=F32)),(D32*(1+assumptions!$G$76)^1/12*(1+assumptions!$G$70+assumptions!$G$71+IF(22&gt;=assumptions!$G$73,assumptions!$G$72,0))+assumptions!$G$74/12)+IF(22=E32,D32*assumptions!$G$75,0),0)</f>
        <v>0</v>
      </c>
      <c r="AC32" s="19" t="n">
        <f aca="false">IF(AND(23&gt;=E32,OR(F32="",23&lt;=F32)),(D32*(1+assumptions!$G$76)^1/12*(1+assumptions!$G$70+assumptions!$G$71+IF(23&gt;=assumptions!$G$73,assumptions!$G$72,0))+assumptions!$G$74/12)+IF(23=E32,D32*assumptions!$G$75,0),0)</f>
        <v>0</v>
      </c>
      <c r="AD32" s="19" t="n">
        <f aca="false">IF(AND(24&gt;=E32,OR(F32="",24&lt;=F32)),(D32*(1+assumptions!$G$76)^1/12*(1+assumptions!$G$70+assumptions!$G$71+IF(24&gt;=assumptions!$G$73,assumptions!$G$72,0))+assumptions!$G$74/12)+IF(24=E32,D32*assumptions!$G$75,0),0)</f>
        <v>0</v>
      </c>
      <c r="AE32" s="19" t="n">
        <f aca="false">IF(AND(25&gt;=E32,OR(F32="",25&lt;=F32)),(D32*(1+assumptions!$G$76)^2/12*(1+assumptions!$G$70+assumptions!$G$71+IF(25&gt;=assumptions!$G$73,assumptions!$G$72,0))+assumptions!$G$74/12)+IF(25=E32,D32*assumptions!$G$75,0),0)</f>
        <v>0</v>
      </c>
      <c r="AF32" s="19" t="n">
        <f aca="false">IF(AND(26&gt;=E32,OR(F32="",26&lt;=F32)),(D32*(1+assumptions!$G$76)^2/12*(1+assumptions!$G$70+assumptions!$G$71+IF(26&gt;=assumptions!$G$73,assumptions!$G$72,0))+assumptions!$G$74/12)+IF(26=E32,D32*assumptions!$G$75,0),0)</f>
        <v>0</v>
      </c>
      <c r="AG32" s="19" t="n">
        <f aca="false">IF(AND(27&gt;=E32,OR(F32="",27&lt;=F32)),(D32*(1+assumptions!$G$76)^2/12*(1+assumptions!$G$70+assumptions!$G$71+IF(27&gt;=assumptions!$G$73,assumptions!$G$72,0))+assumptions!$G$74/12)+IF(27=E32,D32*assumptions!$G$75,0),0)</f>
        <v>0</v>
      </c>
      <c r="AH32" s="19" t="n">
        <f aca="false">IF(AND(28&gt;=E32,OR(F32="",28&lt;=F32)),(D32*(1+assumptions!$G$76)^2/12*(1+assumptions!$G$70+assumptions!$G$71+IF(28&gt;=assumptions!$G$73,assumptions!$G$72,0))+assumptions!$G$74/12)+IF(28=E32,D32*assumptions!$G$75,0),0)</f>
        <v>0</v>
      </c>
      <c r="AI32" s="19" t="n">
        <f aca="false">IF(AND(29&gt;=E32,OR(F32="",29&lt;=F32)),(D32*(1+assumptions!$G$76)^2/12*(1+assumptions!$G$70+assumptions!$G$71+IF(29&gt;=assumptions!$G$73,assumptions!$G$72,0))+assumptions!$G$74/12)+IF(29=E32,D32*assumptions!$G$75,0),0)</f>
        <v>0</v>
      </c>
      <c r="AJ32" s="19" t="n">
        <f aca="false">IF(AND(30&gt;=E32,OR(F32="",30&lt;=F32)),(D32*(1+assumptions!$G$76)^2/12*(1+assumptions!$G$70+assumptions!$G$71+IF(30&gt;=assumptions!$G$73,assumptions!$G$72,0))+assumptions!$G$74/12)+IF(30=E32,D32*assumptions!$G$75,0),0)</f>
        <v>0</v>
      </c>
      <c r="AK32" s="19" t="n">
        <f aca="false">IF(AND(31&gt;=E32,OR(F32="",31&lt;=F32)),(D32*(1+assumptions!$G$76)^2/12*(1+assumptions!$G$70+assumptions!$G$71+IF(31&gt;=assumptions!$G$73,assumptions!$G$72,0))+assumptions!$G$74/12)+IF(31=E32,D32*assumptions!$G$75,0),0)</f>
        <v>0</v>
      </c>
      <c r="AL32" s="19" t="n">
        <f aca="false">IF(AND(32&gt;=E32,OR(F32="",32&lt;=F32)),(D32*(1+assumptions!$G$76)^2/12*(1+assumptions!$G$70+assumptions!$G$71+IF(32&gt;=assumptions!$G$73,assumptions!$G$72,0))+assumptions!$G$74/12)+IF(32=E32,D32*assumptions!$G$75,0),0)</f>
        <v>0</v>
      </c>
      <c r="AM32" s="19" t="n">
        <f aca="false">IF(AND(33&gt;=E32,OR(F32="",33&lt;=F32)),(D32*(1+assumptions!$G$76)^2/12*(1+assumptions!$G$70+assumptions!$G$71+IF(33&gt;=assumptions!$G$73,assumptions!$G$72,0))+assumptions!$G$74/12)+IF(33=E32,D32*assumptions!$G$75,0),0)</f>
        <v>0</v>
      </c>
      <c r="AN32" s="19" t="n">
        <f aca="false">IF(AND(34&gt;=E32,OR(F32="",34&lt;=F32)),(D32*(1+assumptions!$G$76)^2/12*(1+assumptions!$G$70+assumptions!$G$71+IF(34&gt;=assumptions!$G$73,assumptions!$G$72,0))+assumptions!$G$74/12)+IF(34=E32,D32*assumptions!$G$75,0),0)</f>
        <v>0</v>
      </c>
      <c r="AO32" s="19" t="n">
        <f aca="false">IF(AND(35&gt;=E32,OR(F32="",35&lt;=F32)),(D32*(1+assumptions!$G$76)^2/12*(1+assumptions!$G$70+assumptions!$G$71+IF(35&gt;=assumptions!$G$73,assumptions!$G$72,0))+assumptions!$G$74/12)+IF(35=E32,D32*assumptions!$G$75,0),0)</f>
        <v>0</v>
      </c>
      <c r="AP32" s="19" t="n">
        <f aca="false">IF(AND(36&gt;=E32,OR(F32="",36&lt;=F32)),(D32*(1+assumptions!$G$76)^2/12*(1+assumptions!$G$70+assumptions!$G$71+IF(36&gt;=assumptions!$G$73,assumptions!$G$72,0))+assumptions!$G$74/12)+IF(36=E32,D32*assumptions!$G$75,0),0)</f>
        <v>0</v>
      </c>
      <c r="AQ32" s="19" t="n">
        <f aca="false">IF(AND(37&gt;=E32,OR(F32="",37&lt;=F32)),(D32*(1+assumptions!$G$76)^3/12*(1+assumptions!$G$70+assumptions!$G$71+IF(37&gt;=assumptions!$G$73,assumptions!$G$72,0))+assumptions!$G$74/12)+IF(37=E32,D32*assumptions!$G$75,0),0)</f>
        <v>0</v>
      </c>
      <c r="AR32" s="19" t="n">
        <f aca="false">IF(AND(38&gt;=E32,OR(F32="",38&lt;=F32)),(D32*(1+assumptions!$G$76)^3/12*(1+assumptions!$G$70+assumptions!$G$71+IF(38&gt;=assumptions!$G$73,assumptions!$G$72,0))+assumptions!$G$74/12)+IF(38=E32,D32*assumptions!$G$75,0),0)</f>
        <v>0</v>
      </c>
      <c r="AS32" s="19" t="n">
        <f aca="false">IF(AND(39&gt;=E32,OR(F32="",39&lt;=F32)),(D32*(1+assumptions!$G$76)^3/12*(1+assumptions!$G$70+assumptions!$G$71+IF(39&gt;=assumptions!$G$73,assumptions!$G$72,0))+assumptions!$G$74/12)+IF(39=E32,D32*assumptions!$G$75,0),0)</f>
        <v>0</v>
      </c>
      <c r="AT32" s="19" t="n">
        <f aca="false">IF(AND(40&gt;=E32,OR(F32="",40&lt;=F32)),(D32*(1+assumptions!$G$76)^3/12*(1+assumptions!$G$70+assumptions!$G$71+IF(40&gt;=assumptions!$G$73,assumptions!$G$72,0))+assumptions!$G$74/12)+IF(40=E32,D32*assumptions!$G$75,0),0)</f>
        <v>27595.32288</v>
      </c>
      <c r="AU32" s="19" t="n">
        <f aca="false">IF(AND(41&gt;=E32,OR(F32="",41&lt;=F32)),(D32*(1+assumptions!$G$76)^3/12*(1+assumptions!$G$70+assumptions!$G$71+IF(41&gt;=assumptions!$G$73,assumptions!$G$72,0))+assumptions!$G$74/12)+IF(41=E32,D32*assumptions!$G$75,0),0)</f>
        <v>11845.32288</v>
      </c>
      <c r="AV32" s="19" t="n">
        <f aca="false">IF(AND(42&gt;=E32,OR(F32="",42&lt;=F32)),(D32*(1+assumptions!$G$76)^3/12*(1+assumptions!$G$70+assumptions!$G$71+IF(42&gt;=assumptions!$G$73,assumptions!$G$72,0))+assumptions!$G$74/12)+IF(42=E32,D32*assumptions!$G$75,0),0)</f>
        <v>11845.32288</v>
      </c>
      <c r="AW32" s="19" t="n">
        <f aca="false">IF(AND(43&gt;=E32,OR(F32="",43&lt;=F32)),(D32*(1+assumptions!$G$76)^3/12*(1+assumptions!$G$70+assumptions!$G$71+IF(43&gt;=assumptions!$G$73,assumptions!$G$72,0))+assumptions!$G$74/12)+IF(43=E32,D32*assumptions!$G$75,0),0)</f>
        <v>11845.32288</v>
      </c>
      <c r="AX32" s="19" t="n">
        <f aca="false">IF(AND(44&gt;=E32,OR(F32="",44&lt;=F32)),(D32*(1+assumptions!$G$76)^3/12*(1+assumptions!$G$70+assumptions!$G$71+IF(44&gt;=assumptions!$G$73,assumptions!$G$72,0))+assumptions!$G$74/12)+IF(44=E32,D32*assumptions!$G$75,0),0)</f>
        <v>11845.32288</v>
      </c>
      <c r="AY32" s="19" t="n">
        <f aca="false">IF(AND(45&gt;=E32,OR(F32="",45&lt;=F32)),(D32*(1+assumptions!$G$76)^3/12*(1+assumptions!$G$70+assumptions!$G$71+IF(45&gt;=assumptions!$G$73,assumptions!$G$72,0))+assumptions!$G$74/12)+IF(45=E32,D32*assumptions!$G$75,0),0)</f>
        <v>11845.32288</v>
      </c>
      <c r="AZ32" s="19" t="n">
        <f aca="false">IF(AND(46&gt;=E32,OR(F32="",46&lt;=F32)),(D32*(1+assumptions!$G$76)^3/12*(1+assumptions!$G$70+assumptions!$G$71+IF(46&gt;=assumptions!$G$73,assumptions!$G$72,0))+assumptions!$G$74/12)+IF(46=E32,D32*assumptions!$G$75,0),0)</f>
        <v>11845.32288</v>
      </c>
      <c r="BA32" s="19" t="n">
        <f aca="false">IF(AND(47&gt;=E32,OR(F32="",47&lt;=F32)),(D32*(1+assumptions!$G$76)^3/12*(1+assumptions!$G$70+assumptions!$G$71+IF(47&gt;=assumptions!$G$73,assumptions!$G$72,0))+assumptions!$G$74/12)+IF(47=E32,D32*assumptions!$G$75,0),0)</f>
        <v>11845.32288</v>
      </c>
      <c r="BB32" s="19" t="n">
        <f aca="false">IF(AND(48&gt;=E32,OR(F32="",48&lt;=F32)),(D32*(1+assumptions!$G$76)^3/12*(1+assumptions!$G$70+assumptions!$G$71+IF(48&gt;=assumptions!$G$73,assumptions!$G$72,0))+assumptions!$G$74/12)+IF(48=E32,D32*assumptions!$G$75,0),0)</f>
        <v>11845.32288</v>
      </c>
      <c r="BC32" s="19" t="n">
        <f aca="false">IF(AND(49&gt;=E32,OR(F32="",49&lt;=F32)),(D32*(1+assumptions!$G$76)^4/12*(1+assumptions!$G$70+assumptions!$G$71+IF(49&gt;=assumptions!$G$73,assumptions!$G$72,0))+assumptions!$G$74/12)+IF(49=E32,D32*assumptions!$G$75,0),0)</f>
        <v>12307.1357952</v>
      </c>
      <c r="BD32" s="19" t="n">
        <f aca="false">IF(AND(50&gt;=E32,OR(F32="",50&lt;=F32)),(D32*(1+assumptions!$G$76)^4/12*(1+assumptions!$G$70+assumptions!$G$71+IF(50&gt;=assumptions!$G$73,assumptions!$G$72,0))+assumptions!$G$74/12)+IF(50=E32,D32*assumptions!$G$75,0),0)</f>
        <v>12307.1357952</v>
      </c>
      <c r="BE32" s="19" t="n">
        <f aca="false">IF(AND(51&gt;=E32,OR(F32="",51&lt;=F32)),(D32*(1+assumptions!$G$76)^4/12*(1+assumptions!$G$70+assumptions!$G$71+IF(51&gt;=assumptions!$G$73,assumptions!$G$72,0))+assumptions!$G$74/12)+IF(51=E32,D32*assumptions!$G$75,0),0)</f>
        <v>12307.1357952</v>
      </c>
      <c r="BF32" s="19" t="n">
        <f aca="false">IF(AND(52&gt;=E32,OR(F32="",52&lt;=F32)),(D32*(1+assumptions!$G$76)^4/12*(1+assumptions!$G$70+assumptions!$G$71+IF(52&gt;=assumptions!$G$73,assumptions!$G$72,0))+assumptions!$G$74/12)+IF(52=E32,D32*assumptions!$G$75,0),0)</f>
        <v>12307.1357952</v>
      </c>
      <c r="BG32" s="19" t="n">
        <f aca="false">IF(AND(53&gt;=E32,OR(F32="",53&lt;=F32)),(D32*(1+assumptions!$G$76)^4/12*(1+assumptions!$G$70+assumptions!$G$71+IF(53&gt;=assumptions!$G$73,assumptions!$G$72,0))+assumptions!$G$74/12)+IF(53=E32,D32*assumptions!$G$75,0),0)</f>
        <v>12307.1357952</v>
      </c>
      <c r="BH32" s="19" t="n">
        <f aca="false">IF(AND(54&gt;=E32,OR(F32="",54&lt;=F32)),(D32*(1+assumptions!$G$76)^4/12*(1+assumptions!$G$70+assumptions!$G$71+IF(54&gt;=assumptions!$G$73,assumptions!$G$72,0))+assumptions!$G$74/12)+IF(54=E32,D32*assumptions!$G$75,0),0)</f>
        <v>12307.1357952</v>
      </c>
      <c r="BI32" s="19" t="n">
        <f aca="false">IF(AND(55&gt;=E32,OR(F32="",55&lt;=F32)),(D32*(1+assumptions!$G$76)^4/12*(1+assumptions!$G$70+assumptions!$G$71+IF(55&gt;=assumptions!$G$73,assumptions!$G$72,0))+assumptions!$G$74/12)+IF(55=E32,D32*assumptions!$G$75,0),0)</f>
        <v>12307.1357952</v>
      </c>
      <c r="BJ32" s="19" t="n">
        <f aca="false">IF(AND(56&gt;=E32,OR(F32="",56&lt;=F32)),(D32*(1+assumptions!$G$76)^4/12*(1+assumptions!$G$70+assumptions!$G$71+IF(56&gt;=assumptions!$G$73,assumptions!$G$72,0))+assumptions!$G$74/12)+IF(56=E32,D32*assumptions!$G$75,0),0)</f>
        <v>12307.1357952</v>
      </c>
      <c r="BK32" s="19" t="n">
        <f aca="false">IF(AND(57&gt;=E32,OR(F32="",57&lt;=F32)),(D32*(1+assumptions!$G$76)^4/12*(1+assumptions!$G$70+assumptions!$G$71+IF(57&gt;=assumptions!$G$73,assumptions!$G$72,0))+assumptions!$G$74/12)+IF(57=E32,D32*assumptions!$G$75,0),0)</f>
        <v>12307.1357952</v>
      </c>
      <c r="BL32" s="19" t="n">
        <f aca="false">IF(AND(58&gt;=E32,OR(F32="",58&lt;=F32)),(D32*(1+assumptions!$G$76)^4/12*(1+assumptions!$G$70+assumptions!$G$71+IF(58&gt;=assumptions!$G$73,assumptions!$G$72,0))+assumptions!$G$74/12)+IF(58=E32,D32*assumptions!$G$75,0),0)</f>
        <v>12307.1357952</v>
      </c>
      <c r="BM32" s="19" t="n">
        <f aca="false">IF(AND(59&gt;=E32,OR(F32="",59&lt;=F32)),(D32*(1+assumptions!$G$76)^4/12*(1+assumptions!$G$70+assumptions!$G$71+IF(59&gt;=assumptions!$G$73,assumptions!$G$72,0))+assumptions!$G$74/12)+IF(59=E32,D32*assumptions!$G$75,0),0)</f>
        <v>12307.1357952</v>
      </c>
      <c r="BN32" s="19" t="n">
        <f aca="false">IF(AND(60&gt;=E32,OR(F32="",60&lt;=F32)),(D32*(1+assumptions!$G$76)^4/12*(1+assumptions!$G$70+assumptions!$G$71+IF(60&gt;=assumptions!$G$73,assumptions!$G$72,0))+assumptions!$G$74/12)+IF(60=E32,D32*assumptions!$G$75,0),0)</f>
        <v>12307.1357952</v>
      </c>
    </row>
    <row r="33" customFormat="false" ht="14.25" hidden="false" customHeight="false" outlineLevel="0" collapsed="false">
      <c r="A33" s="7" t="n">
        <v>30</v>
      </c>
      <c r="B33" s="7" t="s">
        <v>373</v>
      </c>
      <c r="C33" s="7" t="s">
        <v>337</v>
      </c>
      <c r="D33" s="17" t="n">
        <v>140000</v>
      </c>
      <c r="E33" s="49" t="n">
        <v>42</v>
      </c>
      <c r="F33" s="49"/>
      <c r="G33" s="19" t="n">
        <f aca="false">IF(AND(1&gt;=E33,OR(F33="",1&lt;=F33)),(D33*(1+assumptions!$G$76)^0/12*(1+assumptions!$G$70+assumptions!$G$71+IF(1&gt;=assumptions!$G$73,assumptions!$G$72,0))+assumptions!$G$74/12)+IF(1=E33,D33*assumptions!$G$75,0),0)</f>
        <v>0</v>
      </c>
      <c r="H33" s="19" t="n">
        <f aca="false">IF(AND(2&gt;=E33,OR(F33="",2&lt;=F33)),(D33*(1+assumptions!$G$76)^0/12*(1+assumptions!$G$70+assumptions!$G$71+IF(2&gt;=assumptions!$G$73,assumptions!$G$72,0))+assumptions!$G$74/12)+IF(2=E33,D33*assumptions!$G$75,0),0)</f>
        <v>0</v>
      </c>
      <c r="I33" s="19" t="n">
        <f aca="false">IF(AND(3&gt;=E33,OR(F33="",3&lt;=F33)),(D33*(1+assumptions!$G$76)^0/12*(1+assumptions!$G$70+assumptions!$G$71+IF(3&gt;=assumptions!$G$73,assumptions!$G$72,0))+assumptions!$G$74/12)+IF(3=E33,D33*assumptions!$G$75,0),0)</f>
        <v>0</v>
      </c>
      <c r="J33" s="19" t="n">
        <f aca="false">IF(AND(4&gt;=E33,OR(F33="",4&lt;=F33)),(D33*(1+assumptions!$G$76)^0/12*(1+assumptions!$G$70+assumptions!$G$71+IF(4&gt;=assumptions!$G$73,assumptions!$G$72,0))+assumptions!$G$74/12)+IF(4=E33,D33*assumptions!$G$75,0),0)</f>
        <v>0</v>
      </c>
      <c r="K33" s="19" t="n">
        <f aca="false">IF(AND(5&gt;=E33,OR(F33="",5&lt;=F33)),(D33*(1+assumptions!$G$76)^0/12*(1+assumptions!$G$70+assumptions!$G$71+IF(5&gt;=assumptions!$G$73,assumptions!$G$72,0))+assumptions!$G$74/12)+IF(5=E33,D33*assumptions!$G$75,0),0)</f>
        <v>0</v>
      </c>
      <c r="L33" s="19" t="n">
        <f aca="false">IF(AND(6&gt;=E33,OR(F33="",6&lt;=F33)),(D33*(1+assumptions!$G$76)^0/12*(1+assumptions!$G$70+assumptions!$G$71+IF(6&gt;=assumptions!$G$73,assumptions!$G$72,0))+assumptions!$G$74/12)+IF(6=E33,D33*assumptions!$G$75,0),0)</f>
        <v>0</v>
      </c>
      <c r="M33" s="19" t="n">
        <f aca="false">IF(AND(7&gt;=E33,OR(F33="",7&lt;=F33)),(D33*(1+assumptions!$G$76)^0/12*(1+assumptions!$G$70+assumptions!$G$71+IF(7&gt;=assumptions!$G$73,assumptions!$G$72,0))+assumptions!$G$74/12)+IF(7=E33,D33*assumptions!$G$75,0),0)</f>
        <v>0</v>
      </c>
      <c r="N33" s="19" t="n">
        <f aca="false">IF(AND(8&gt;=E33,OR(F33="",8&lt;=F33)),(D33*(1+assumptions!$G$76)^0/12*(1+assumptions!$G$70+assumptions!$G$71+IF(8&gt;=assumptions!$G$73,assumptions!$G$72,0))+assumptions!$G$74/12)+IF(8=E33,D33*assumptions!$G$75,0),0)</f>
        <v>0</v>
      </c>
      <c r="O33" s="19" t="n">
        <f aca="false">IF(AND(9&gt;=E33,OR(F33="",9&lt;=F33)),(D33*(1+assumptions!$G$76)^0/12*(1+assumptions!$G$70+assumptions!$G$71+IF(9&gt;=assumptions!$G$73,assumptions!$G$72,0))+assumptions!$G$74/12)+IF(9=E33,D33*assumptions!$G$75,0),0)</f>
        <v>0</v>
      </c>
      <c r="P33" s="19" t="n">
        <f aca="false">IF(AND(10&gt;=E33,OR(F33="",10&lt;=F33)),(D33*(1+assumptions!$G$76)^0/12*(1+assumptions!$G$70+assumptions!$G$71+IF(10&gt;=assumptions!$G$73,assumptions!$G$72,0))+assumptions!$G$74/12)+IF(10=E33,D33*assumptions!$G$75,0),0)</f>
        <v>0</v>
      </c>
      <c r="Q33" s="19" t="n">
        <f aca="false">IF(AND(11&gt;=E33,OR(F33="",11&lt;=F33)),(D33*(1+assumptions!$G$76)^0/12*(1+assumptions!$G$70+assumptions!$G$71+IF(11&gt;=assumptions!$G$73,assumptions!$G$72,0))+assumptions!$G$74/12)+IF(11=E33,D33*assumptions!$G$75,0),0)</f>
        <v>0</v>
      </c>
      <c r="R33" s="19" t="n">
        <f aca="false">IF(AND(12&gt;=E33,OR(F33="",12&lt;=F33)),(D33*(1+assumptions!$G$76)^0/12*(1+assumptions!$G$70+assumptions!$G$71+IF(12&gt;=assumptions!$G$73,assumptions!$G$72,0))+assumptions!$G$74/12)+IF(12=E33,D33*assumptions!$G$75,0),0)</f>
        <v>0</v>
      </c>
      <c r="S33" s="19" t="n">
        <f aca="false">IF(AND(13&gt;=E33,OR(F33="",13&lt;=F33)),(D33*(1+assumptions!$G$76)^1/12*(1+assumptions!$G$70+assumptions!$G$71+IF(13&gt;=assumptions!$G$73,assumptions!$G$72,0))+assumptions!$G$74/12)+IF(13=E33,D33*assumptions!$G$75,0),0)</f>
        <v>0</v>
      </c>
      <c r="T33" s="19" t="n">
        <f aca="false">IF(AND(14&gt;=E33,OR(F33="",14&lt;=F33)),(D33*(1+assumptions!$G$76)^1/12*(1+assumptions!$G$70+assumptions!$G$71+IF(14&gt;=assumptions!$G$73,assumptions!$G$72,0))+assumptions!$G$74/12)+IF(14=E33,D33*assumptions!$G$75,0),0)</f>
        <v>0</v>
      </c>
      <c r="U33" s="19" t="n">
        <f aca="false">IF(AND(15&gt;=E33,OR(F33="",15&lt;=F33)),(D33*(1+assumptions!$G$76)^1/12*(1+assumptions!$G$70+assumptions!$G$71+IF(15&gt;=assumptions!$G$73,assumptions!$G$72,0))+assumptions!$G$74/12)+IF(15=E33,D33*assumptions!$G$75,0),0)</f>
        <v>0</v>
      </c>
      <c r="V33" s="19" t="n">
        <f aca="false">IF(AND(16&gt;=E33,OR(F33="",16&lt;=F33)),(D33*(1+assumptions!$G$76)^1/12*(1+assumptions!$G$70+assumptions!$G$71+IF(16&gt;=assumptions!$G$73,assumptions!$G$72,0))+assumptions!$G$74/12)+IF(16=E33,D33*assumptions!$G$75,0),0)</f>
        <v>0</v>
      </c>
      <c r="W33" s="19" t="n">
        <f aca="false">IF(AND(17&gt;=E33,OR(F33="",17&lt;=F33)),(D33*(1+assumptions!$G$76)^1/12*(1+assumptions!$G$70+assumptions!$G$71+IF(17&gt;=assumptions!$G$73,assumptions!$G$72,0))+assumptions!$G$74/12)+IF(17=E33,D33*assumptions!$G$75,0),0)</f>
        <v>0</v>
      </c>
      <c r="X33" s="19" t="n">
        <f aca="false">IF(AND(18&gt;=E33,OR(F33="",18&lt;=F33)),(D33*(1+assumptions!$G$76)^1/12*(1+assumptions!$G$70+assumptions!$G$71+IF(18&gt;=assumptions!$G$73,assumptions!$G$72,0))+assumptions!$G$74/12)+IF(18=E33,D33*assumptions!$G$75,0),0)</f>
        <v>0</v>
      </c>
      <c r="Y33" s="19" t="n">
        <f aca="false">IF(AND(19&gt;=E33,OR(F33="",19&lt;=F33)),(D33*(1+assumptions!$G$76)^1/12*(1+assumptions!$G$70+assumptions!$G$71+IF(19&gt;=assumptions!$G$73,assumptions!$G$72,0))+assumptions!$G$74/12)+IF(19=E33,D33*assumptions!$G$75,0),0)</f>
        <v>0</v>
      </c>
      <c r="Z33" s="19" t="n">
        <f aca="false">IF(AND(20&gt;=E33,OR(F33="",20&lt;=F33)),(D33*(1+assumptions!$G$76)^1/12*(1+assumptions!$G$70+assumptions!$G$71+IF(20&gt;=assumptions!$G$73,assumptions!$G$72,0))+assumptions!$G$74/12)+IF(20=E33,D33*assumptions!$G$75,0),0)</f>
        <v>0</v>
      </c>
      <c r="AA33" s="19" t="n">
        <f aca="false">IF(AND(21&gt;=E33,OR(F33="",21&lt;=F33)),(D33*(1+assumptions!$G$76)^1/12*(1+assumptions!$G$70+assumptions!$G$71+IF(21&gt;=assumptions!$G$73,assumptions!$G$72,0))+assumptions!$G$74/12)+IF(21=E33,D33*assumptions!$G$75,0),0)</f>
        <v>0</v>
      </c>
      <c r="AB33" s="19" t="n">
        <f aca="false">IF(AND(22&gt;=E33,OR(F33="",22&lt;=F33)),(D33*(1+assumptions!$G$76)^1/12*(1+assumptions!$G$70+assumptions!$G$71+IF(22&gt;=assumptions!$G$73,assumptions!$G$72,0))+assumptions!$G$74/12)+IF(22=E33,D33*assumptions!$G$75,0),0)</f>
        <v>0</v>
      </c>
      <c r="AC33" s="19" t="n">
        <f aca="false">IF(AND(23&gt;=E33,OR(F33="",23&lt;=F33)),(D33*(1+assumptions!$G$76)^1/12*(1+assumptions!$G$70+assumptions!$G$71+IF(23&gt;=assumptions!$G$73,assumptions!$G$72,0))+assumptions!$G$74/12)+IF(23=E33,D33*assumptions!$G$75,0),0)</f>
        <v>0</v>
      </c>
      <c r="AD33" s="19" t="n">
        <f aca="false">IF(AND(24&gt;=E33,OR(F33="",24&lt;=F33)),(D33*(1+assumptions!$G$76)^1/12*(1+assumptions!$G$70+assumptions!$G$71+IF(24&gt;=assumptions!$G$73,assumptions!$G$72,0))+assumptions!$G$74/12)+IF(24=E33,D33*assumptions!$G$75,0),0)</f>
        <v>0</v>
      </c>
      <c r="AE33" s="19" t="n">
        <f aca="false">IF(AND(25&gt;=E33,OR(F33="",25&lt;=F33)),(D33*(1+assumptions!$G$76)^2/12*(1+assumptions!$G$70+assumptions!$G$71+IF(25&gt;=assumptions!$G$73,assumptions!$G$72,0))+assumptions!$G$74/12)+IF(25=E33,D33*assumptions!$G$75,0),0)</f>
        <v>0</v>
      </c>
      <c r="AF33" s="19" t="n">
        <f aca="false">IF(AND(26&gt;=E33,OR(F33="",26&lt;=F33)),(D33*(1+assumptions!$G$76)^2/12*(1+assumptions!$G$70+assumptions!$G$71+IF(26&gt;=assumptions!$G$73,assumptions!$G$72,0))+assumptions!$G$74/12)+IF(26=E33,D33*assumptions!$G$75,0),0)</f>
        <v>0</v>
      </c>
      <c r="AG33" s="19" t="n">
        <f aca="false">IF(AND(27&gt;=E33,OR(F33="",27&lt;=F33)),(D33*(1+assumptions!$G$76)^2/12*(1+assumptions!$G$70+assumptions!$G$71+IF(27&gt;=assumptions!$G$73,assumptions!$G$72,0))+assumptions!$G$74/12)+IF(27=E33,D33*assumptions!$G$75,0),0)</f>
        <v>0</v>
      </c>
      <c r="AH33" s="19" t="n">
        <f aca="false">IF(AND(28&gt;=E33,OR(F33="",28&lt;=F33)),(D33*(1+assumptions!$G$76)^2/12*(1+assumptions!$G$70+assumptions!$G$71+IF(28&gt;=assumptions!$G$73,assumptions!$G$72,0))+assumptions!$G$74/12)+IF(28=E33,D33*assumptions!$G$75,0),0)</f>
        <v>0</v>
      </c>
      <c r="AI33" s="19" t="n">
        <f aca="false">IF(AND(29&gt;=E33,OR(F33="",29&lt;=F33)),(D33*(1+assumptions!$G$76)^2/12*(1+assumptions!$G$70+assumptions!$G$71+IF(29&gt;=assumptions!$G$73,assumptions!$G$72,0))+assumptions!$G$74/12)+IF(29=E33,D33*assumptions!$G$75,0),0)</f>
        <v>0</v>
      </c>
      <c r="AJ33" s="19" t="n">
        <f aca="false">IF(AND(30&gt;=E33,OR(F33="",30&lt;=F33)),(D33*(1+assumptions!$G$76)^2/12*(1+assumptions!$G$70+assumptions!$G$71+IF(30&gt;=assumptions!$G$73,assumptions!$G$72,0))+assumptions!$G$74/12)+IF(30=E33,D33*assumptions!$G$75,0),0)</f>
        <v>0</v>
      </c>
      <c r="AK33" s="19" t="n">
        <f aca="false">IF(AND(31&gt;=E33,OR(F33="",31&lt;=F33)),(D33*(1+assumptions!$G$76)^2/12*(1+assumptions!$G$70+assumptions!$G$71+IF(31&gt;=assumptions!$G$73,assumptions!$G$72,0))+assumptions!$G$74/12)+IF(31=E33,D33*assumptions!$G$75,0),0)</f>
        <v>0</v>
      </c>
      <c r="AL33" s="19" t="n">
        <f aca="false">IF(AND(32&gt;=E33,OR(F33="",32&lt;=F33)),(D33*(1+assumptions!$G$76)^2/12*(1+assumptions!$G$70+assumptions!$G$71+IF(32&gt;=assumptions!$G$73,assumptions!$G$72,0))+assumptions!$G$74/12)+IF(32=E33,D33*assumptions!$G$75,0),0)</f>
        <v>0</v>
      </c>
      <c r="AM33" s="19" t="n">
        <f aca="false">IF(AND(33&gt;=E33,OR(F33="",33&lt;=F33)),(D33*(1+assumptions!$G$76)^2/12*(1+assumptions!$G$70+assumptions!$G$71+IF(33&gt;=assumptions!$G$73,assumptions!$G$72,0))+assumptions!$G$74/12)+IF(33=E33,D33*assumptions!$G$75,0),0)</f>
        <v>0</v>
      </c>
      <c r="AN33" s="19" t="n">
        <f aca="false">IF(AND(34&gt;=E33,OR(F33="",34&lt;=F33)),(D33*(1+assumptions!$G$76)^2/12*(1+assumptions!$G$70+assumptions!$G$71+IF(34&gt;=assumptions!$G$73,assumptions!$G$72,0))+assumptions!$G$74/12)+IF(34=E33,D33*assumptions!$G$75,0),0)</f>
        <v>0</v>
      </c>
      <c r="AO33" s="19" t="n">
        <f aca="false">IF(AND(35&gt;=E33,OR(F33="",35&lt;=F33)),(D33*(1+assumptions!$G$76)^2/12*(1+assumptions!$G$70+assumptions!$G$71+IF(35&gt;=assumptions!$G$73,assumptions!$G$72,0))+assumptions!$G$74/12)+IF(35=E33,D33*assumptions!$G$75,0),0)</f>
        <v>0</v>
      </c>
      <c r="AP33" s="19" t="n">
        <f aca="false">IF(AND(36&gt;=E33,OR(F33="",36&lt;=F33)),(D33*(1+assumptions!$G$76)^2/12*(1+assumptions!$G$70+assumptions!$G$71+IF(36&gt;=assumptions!$G$73,assumptions!$G$72,0))+assumptions!$G$74/12)+IF(36=E33,D33*assumptions!$G$75,0),0)</f>
        <v>0</v>
      </c>
      <c r="AQ33" s="19" t="n">
        <f aca="false">IF(AND(37&gt;=E33,OR(F33="",37&lt;=F33)),(D33*(1+assumptions!$G$76)^3/12*(1+assumptions!$G$70+assumptions!$G$71+IF(37&gt;=assumptions!$G$73,assumptions!$G$72,0))+assumptions!$G$74/12)+IF(37=E33,D33*assumptions!$G$75,0),0)</f>
        <v>0</v>
      </c>
      <c r="AR33" s="19" t="n">
        <f aca="false">IF(AND(38&gt;=E33,OR(F33="",38&lt;=F33)),(D33*(1+assumptions!$G$76)^3/12*(1+assumptions!$G$70+assumptions!$G$71+IF(38&gt;=assumptions!$G$73,assumptions!$G$72,0))+assumptions!$G$74/12)+IF(38=E33,D33*assumptions!$G$75,0),0)</f>
        <v>0</v>
      </c>
      <c r="AS33" s="19" t="n">
        <f aca="false">IF(AND(39&gt;=E33,OR(F33="",39&lt;=F33)),(D33*(1+assumptions!$G$76)^3/12*(1+assumptions!$G$70+assumptions!$G$71+IF(39&gt;=assumptions!$G$73,assumptions!$G$72,0))+assumptions!$G$74/12)+IF(39=E33,D33*assumptions!$G$75,0),0)</f>
        <v>0</v>
      </c>
      <c r="AT33" s="19" t="n">
        <f aca="false">IF(AND(40&gt;=E33,OR(F33="",40&lt;=F33)),(D33*(1+assumptions!$G$76)^3/12*(1+assumptions!$G$70+assumptions!$G$71+IF(40&gt;=assumptions!$G$73,assumptions!$G$72,0))+assumptions!$G$74/12)+IF(40=E33,D33*assumptions!$G$75,0),0)</f>
        <v>0</v>
      </c>
      <c r="AU33" s="19" t="n">
        <f aca="false">IF(AND(41&gt;=E33,OR(F33="",41&lt;=F33)),(D33*(1+assumptions!$G$76)^3/12*(1+assumptions!$G$70+assumptions!$G$71+IF(41&gt;=assumptions!$G$73,assumptions!$G$72,0))+assumptions!$G$74/12)+IF(41=E33,D33*assumptions!$G$75,0),0)</f>
        <v>0</v>
      </c>
      <c r="AV33" s="19" t="n">
        <f aca="false">IF(AND(42&gt;=E33,OR(F33="",42&lt;=F33)),(D33*(1+assumptions!$G$76)^3/12*(1+assumptions!$G$70+assumptions!$G$71+IF(42&gt;=assumptions!$G$73,assumptions!$G$72,0))+assumptions!$G$74/12)+IF(42=E33,D33*assumptions!$G$75,0),0)</f>
        <v>36693.76384</v>
      </c>
      <c r="AW33" s="19" t="n">
        <f aca="false">IF(AND(43&gt;=E33,OR(F33="",43&lt;=F33)),(D33*(1+assumptions!$G$76)^3/12*(1+assumptions!$G$70+assumptions!$G$71+IF(43&gt;=assumptions!$G$73,assumptions!$G$72,0))+assumptions!$G$74/12)+IF(43=E33,D33*assumptions!$G$75,0),0)</f>
        <v>15693.76384</v>
      </c>
      <c r="AX33" s="19" t="n">
        <f aca="false">IF(AND(44&gt;=E33,OR(F33="",44&lt;=F33)),(D33*(1+assumptions!$G$76)^3/12*(1+assumptions!$G$70+assumptions!$G$71+IF(44&gt;=assumptions!$G$73,assumptions!$G$72,0))+assumptions!$G$74/12)+IF(44=E33,D33*assumptions!$G$75,0),0)</f>
        <v>15693.76384</v>
      </c>
      <c r="AY33" s="19" t="n">
        <f aca="false">IF(AND(45&gt;=E33,OR(F33="",45&lt;=F33)),(D33*(1+assumptions!$G$76)^3/12*(1+assumptions!$G$70+assumptions!$G$71+IF(45&gt;=assumptions!$G$73,assumptions!$G$72,0))+assumptions!$G$74/12)+IF(45=E33,D33*assumptions!$G$75,0),0)</f>
        <v>15693.76384</v>
      </c>
      <c r="AZ33" s="19" t="n">
        <f aca="false">IF(AND(46&gt;=E33,OR(F33="",46&lt;=F33)),(D33*(1+assumptions!$G$76)^3/12*(1+assumptions!$G$70+assumptions!$G$71+IF(46&gt;=assumptions!$G$73,assumptions!$G$72,0))+assumptions!$G$74/12)+IF(46=E33,D33*assumptions!$G$75,0),0)</f>
        <v>15693.76384</v>
      </c>
      <c r="BA33" s="19" t="n">
        <f aca="false">IF(AND(47&gt;=E33,OR(F33="",47&lt;=F33)),(D33*(1+assumptions!$G$76)^3/12*(1+assumptions!$G$70+assumptions!$G$71+IF(47&gt;=assumptions!$G$73,assumptions!$G$72,0))+assumptions!$G$74/12)+IF(47=E33,D33*assumptions!$G$75,0),0)</f>
        <v>15693.76384</v>
      </c>
      <c r="BB33" s="19" t="n">
        <f aca="false">IF(AND(48&gt;=E33,OR(F33="",48&lt;=F33)),(D33*(1+assumptions!$G$76)^3/12*(1+assumptions!$G$70+assumptions!$G$71+IF(48&gt;=assumptions!$G$73,assumptions!$G$72,0))+assumptions!$G$74/12)+IF(48=E33,D33*assumptions!$G$75,0),0)</f>
        <v>15693.76384</v>
      </c>
      <c r="BC33" s="19" t="n">
        <f aca="false">IF(AND(49&gt;=E33,OR(F33="",49&lt;=F33)),(D33*(1+assumptions!$G$76)^4/12*(1+assumptions!$G$70+assumptions!$G$71+IF(49&gt;=assumptions!$G$73,assumptions!$G$72,0))+assumptions!$G$74/12)+IF(49=E33,D33*assumptions!$G$75,0),0)</f>
        <v>16309.5143936</v>
      </c>
      <c r="BD33" s="19" t="n">
        <f aca="false">IF(AND(50&gt;=E33,OR(F33="",50&lt;=F33)),(D33*(1+assumptions!$G$76)^4/12*(1+assumptions!$G$70+assumptions!$G$71+IF(50&gt;=assumptions!$G$73,assumptions!$G$72,0))+assumptions!$G$74/12)+IF(50=E33,D33*assumptions!$G$75,0),0)</f>
        <v>16309.5143936</v>
      </c>
      <c r="BE33" s="19" t="n">
        <f aca="false">IF(AND(51&gt;=E33,OR(F33="",51&lt;=F33)),(D33*(1+assumptions!$G$76)^4/12*(1+assumptions!$G$70+assumptions!$G$71+IF(51&gt;=assumptions!$G$73,assumptions!$G$72,0))+assumptions!$G$74/12)+IF(51=E33,D33*assumptions!$G$75,0),0)</f>
        <v>16309.5143936</v>
      </c>
      <c r="BF33" s="19" t="n">
        <f aca="false">IF(AND(52&gt;=E33,OR(F33="",52&lt;=F33)),(D33*(1+assumptions!$G$76)^4/12*(1+assumptions!$G$70+assumptions!$G$71+IF(52&gt;=assumptions!$G$73,assumptions!$G$72,0))+assumptions!$G$74/12)+IF(52=E33,D33*assumptions!$G$75,0),0)</f>
        <v>16309.5143936</v>
      </c>
      <c r="BG33" s="19" t="n">
        <f aca="false">IF(AND(53&gt;=E33,OR(F33="",53&lt;=F33)),(D33*(1+assumptions!$G$76)^4/12*(1+assumptions!$G$70+assumptions!$G$71+IF(53&gt;=assumptions!$G$73,assumptions!$G$72,0))+assumptions!$G$74/12)+IF(53=E33,D33*assumptions!$G$75,0),0)</f>
        <v>16309.5143936</v>
      </c>
      <c r="BH33" s="19" t="n">
        <f aca="false">IF(AND(54&gt;=E33,OR(F33="",54&lt;=F33)),(D33*(1+assumptions!$G$76)^4/12*(1+assumptions!$G$70+assumptions!$G$71+IF(54&gt;=assumptions!$G$73,assumptions!$G$72,0))+assumptions!$G$74/12)+IF(54=E33,D33*assumptions!$G$75,0),0)</f>
        <v>16309.5143936</v>
      </c>
      <c r="BI33" s="19" t="n">
        <f aca="false">IF(AND(55&gt;=E33,OR(F33="",55&lt;=F33)),(D33*(1+assumptions!$G$76)^4/12*(1+assumptions!$G$70+assumptions!$G$71+IF(55&gt;=assumptions!$G$73,assumptions!$G$72,0))+assumptions!$G$74/12)+IF(55=E33,D33*assumptions!$G$75,0),0)</f>
        <v>16309.5143936</v>
      </c>
      <c r="BJ33" s="19" t="n">
        <f aca="false">IF(AND(56&gt;=E33,OR(F33="",56&lt;=F33)),(D33*(1+assumptions!$G$76)^4/12*(1+assumptions!$G$70+assumptions!$G$71+IF(56&gt;=assumptions!$G$73,assumptions!$G$72,0))+assumptions!$G$74/12)+IF(56=E33,D33*assumptions!$G$75,0),0)</f>
        <v>16309.5143936</v>
      </c>
      <c r="BK33" s="19" t="n">
        <f aca="false">IF(AND(57&gt;=E33,OR(F33="",57&lt;=F33)),(D33*(1+assumptions!$G$76)^4/12*(1+assumptions!$G$70+assumptions!$G$71+IF(57&gt;=assumptions!$G$73,assumptions!$G$72,0))+assumptions!$G$74/12)+IF(57=E33,D33*assumptions!$G$75,0),0)</f>
        <v>16309.5143936</v>
      </c>
      <c r="BL33" s="19" t="n">
        <f aca="false">IF(AND(58&gt;=E33,OR(F33="",58&lt;=F33)),(D33*(1+assumptions!$G$76)^4/12*(1+assumptions!$G$70+assumptions!$G$71+IF(58&gt;=assumptions!$G$73,assumptions!$G$72,0))+assumptions!$G$74/12)+IF(58=E33,D33*assumptions!$G$75,0),0)</f>
        <v>16309.5143936</v>
      </c>
      <c r="BM33" s="19" t="n">
        <f aca="false">IF(AND(59&gt;=E33,OR(F33="",59&lt;=F33)),(D33*(1+assumptions!$G$76)^4/12*(1+assumptions!$G$70+assumptions!$G$71+IF(59&gt;=assumptions!$G$73,assumptions!$G$72,0))+assumptions!$G$74/12)+IF(59=E33,D33*assumptions!$G$75,0),0)</f>
        <v>16309.5143936</v>
      </c>
      <c r="BN33" s="19" t="n">
        <f aca="false">IF(AND(60&gt;=E33,OR(F33="",60&lt;=F33)),(D33*(1+assumptions!$G$76)^4/12*(1+assumptions!$G$70+assumptions!$G$71+IF(60&gt;=assumptions!$G$73,assumptions!$G$72,0))+assumptions!$G$74/12)+IF(60=E33,D33*assumptions!$G$75,0),0)</f>
        <v>16309.5143936</v>
      </c>
    </row>
    <row r="34" customFormat="false" ht="14.25" hidden="false" customHeight="false" outlineLevel="0" collapsed="false">
      <c r="A34" s="7" t="n">
        <v>31</v>
      </c>
      <c r="B34" s="7" t="s">
        <v>374</v>
      </c>
      <c r="C34" s="7" t="s">
        <v>337</v>
      </c>
      <c r="D34" s="17" t="n">
        <v>120000</v>
      </c>
      <c r="E34" s="49" t="n">
        <v>44</v>
      </c>
      <c r="F34" s="49"/>
      <c r="G34" s="19" t="n">
        <f aca="false">IF(AND(1&gt;=E34,OR(F34="",1&lt;=F34)),(D34*(1+assumptions!$G$76)^0/12*(1+assumptions!$G$70+assumptions!$G$71+IF(1&gt;=assumptions!$G$73,assumptions!$G$72,0))+assumptions!$G$74/12)+IF(1=E34,D34*assumptions!$G$75,0),0)</f>
        <v>0</v>
      </c>
      <c r="H34" s="19" t="n">
        <f aca="false">IF(AND(2&gt;=E34,OR(F34="",2&lt;=F34)),(D34*(1+assumptions!$G$76)^0/12*(1+assumptions!$G$70+assumptions!$G$71+IF(2&gt;=assumptions!$G$73,assumptions!$G$72,0))+assumptions!$G$74/12)+IF(2=E34,D34*assumptions!$G$75,0),0)</f>
        <v>0</v>
      </c>
      <c r="I34" s="19" t="n">
        <f aca="false">IF(AND(3&gt;=E34,OR(F34="",3&lt;=F34)),(D34*(1+assumptions!$G$76)^0/12*(1+assumptions!$G$70+assumptions!$G$71+IF(3&gt;=assumptions!$G$73,assumptions!$G$72,0))+assumptions!$G$74/12)+IF(3=E34,D34*assumptions!$G$75,0),0)</f>
        <v>0</v>
      </c>
      <c r="J34" s="19" t="n">
        <f aca="false">IF(AND(4&gt;=E34,OR(F34="",4&lt;=F34)),(D34*(1+assumptions!$G$76)^0/12*(1+assumptions!$G$70+assumptions!$G$71+IF(4&gt;=assumptions!$G$73,assumptions!$G$72,0))+assumptions!$G$74/12)+IF(4=E34,D34*assumptions!$G$75,0),0)</f>
        <v>0</v>
      </c>
      <c r="K34" s="19" t="n">
        <f aca="false">IF(AND(5&gt;=E34,OR(F34="",5&lt;=F34)),(D34*(1+assumptions!$G$76)^0/12*(1+assumptions!$G$70+assumptions!$G$71+IF(5&gt;=assumptions!$G$73,assumptions!$G$72,0))+assumptions!$G$74/12)+IF(5=E34,D34*assumptions!$G$75,0),0)</f>
        <v>0</v>
      </c>
      <c r="L34" s="19" t="n">
        <f aca="false">IF(AND(6&gt;=E34,OR(F34="",6&lt;=F34)),(D34*(1+assumptions!$G$76)^0/12*(1+assumptions!$G$70+assumptions!$G$71+IF(6&gt;=assumptions!$G$73,assumptions!$G$72,0))+assumptions!$G$74/12)+IF(6=E34,D34*assumptions!$G$75,0),0)</f>
        <v>0</v>
      </c>
      <c r="M34" s="19" t="n">
        <f aca="false">IF(AND(7&gt;=E34,OR(F34="",7&lt;=F34)),(D34*(1+assumptions!$G$76)^0/12*(1+assumptions!$G$70+assumptions!$G$71+IF(7&gt;=assumptions!$G$73,assumptions!$G$72,0))+assumptions!$G$74/12)+IF(7=E34,D34*assumptions!$G$75,0),0)</f>
        <v>0</v>
      </c>
      <c r="N34" s="19" t="n">
        <f aca="false">IF(AND(8&gt;=E34,OR(F34="",8&lt;=F34)),(D34*(1+assumptions!$G$76)^0/12*(1+assumptions!$G$70+assumptions!$G$71+IF(8&gt;=assumptions!$G$73,assumptions!$G$72,0))+assumptions!$G$74/12)+IF(8=E34,D34*assumptions!$G$75,0),0)</f>
        <v>0</v>
      </c>
      <c r="O34" s="19" t="n">
        <f aca="false">IF(AND(9&gt;=E34,OR(F34="",9&lt;=F34)),(D34*(1+assumptions!$G$76)^0/12*(1+assumptions!$G$70+assumptions!$G$71+IF(9&gt;=assumptions!$G$73,assumptions!$G$72,0))+assumptions!$G$74/12)+IF(9=E34,D34*assumptions!$G$75,0),0)</f>
        <v>0</v>
      </c>
      <c r="P34" s="19" t="n">
        <f aca="false">IF(AND(10&gt;=E34,OR(F34="",10&lt;=F34)),(D34*(1+assumptions!$G$76)^0/12*(1+assumptions!$G$70+assumptions!$G$71+IF(10&gt;=assumptions!$G$73,assumptions!$G$72,0))+assumptions!$G$74/12)+IF(10=E34,D34*assumptions!$G$75,0),0)</f>
        <v>0</v>
      </c>
      <c r="Q34" s="19" t="n">
        <f aca="false">IF(AND(11&gt;=E34,OR(F34="",11&lt;=F34)),(D34*(1+assumptions!$G$76)^0/12*(1+assumptions!$G$70+assumptions!$G$71+IF(11&gt;=assumptions!$G$73,assumptions!$G$72,0))+assumptions!$G$74/12)+IF(11=E34,D34*assumptions!$G$75,0),0)</f>
        <v>0</v>
      </c>
      <c r="R34" s="19" t="n">
        <f aca="false">IF(AND(12&gt;=E34,OR(F34="",12&lt;=F34)),(D34*(1+assumptions!$G$76)^0/12*(1+assumptions!$G$70+assumptions!$G$71+IF(12&gt;=assumptions!$G$73,assumptions!$G$72,0))+assumptions!$G$74/12)+IF(12=E34,D34*assumptions!$G$75,0),0)</f>
        <v>0</v>
      </c>
      <c r="S34" s="19" t="n">
        <f aca="false">IF(AND(13&gt;=E34,OR(F34="",13&lt;=F34)),(D34*(1+assumptions!$G$76)^1/12*(1+assumptions!$G$70+assumptions!$G$71+IF(13&gt;=assumptions!$G$73,assumptions!$G$72,0))+assumptions!$G$74/12)+IF(13=E34,D34*assumptions!$G$75,0),0)</f>
        <v>0</v>
      </c>
      <c r="T34" s="19" t="n">
        <f aca="false">IF(AND(14&gt;=E34,OR(F34="",14&lt;=F34)),(D34*(1+assumptions!$G$76)^1/12*(1+assumptions!$G$70+assumptions!$G$71+IF(14&gt;=assumptions!$G$73,assumptions!$G$72,0))+assumptions!$G$74/12)+IF(14=E34,D34*assumptions!$G$75,0),0)</f>
        <v>0</v>
      </c>
      <c r="U34" s="19" t="n">
        <f aca="false">IF(AND(15&gt;=E34,OR(F34="",15&lt;=F34)),(D34*(1+assumptions!$G$76)^1/12*(1+assumptions!$G$70+assumptions!$G$71+IF(15&gt;=assumptions!$G$73,assumptions!$G$72,0))+assumptions!$G$74/12)+IF(15=E34,D34*assumptions!$G$75,0),0)</f>
        <v>0</v>
      </c>
      <c r="V34" s="19" t="n">
        <f aca="false">IF(AND(16&gt;=E34,OR(F34="",16&lt;=F34)),(D34*(1+assumptions!$G$76)^1/12*(1+assumptions!$G$70+assumptions!$G$71+IF(16&gt;=assumptions!$G$73,assumptions!$G$72,0))+assumptions!$G$74/12)+IF(16=E34,D34*assumptions!$G$75,0),0)</f>
        <v>0</v>
      </c>
      <c r="W34" s="19" t="n">
        <f aca="false">IF(AND(17&gt;=E34,OR(F34="",17&lt;=F34)),(D34*(1+assumptions!$G$76)^1/12*(1+assumptions!$G$70+assumptions!$G$71+IF(17&gt;=assumptions!$G$73,assumptions!$G$72,0))+assumptions!$G$74/12)+IF(17=E34,D34*assumptions!$G$75,0),0)</f>
        <v>0</v>
      </c>
      <c r="X34" s="19" t="n">
        <f aca="false">IF(AND(18&gt;=E34,OR(F34="",18&lt;=F34)),(D34*(1+assumptions!$G$76)^1/12*(1+assumptions!$G$70+assumptions!$G$71+IF(18&gt;=assumptions!$G$73,assumptions!$G$72,0))+assumptions!$G$74/12)+IF(18=E34,D34*assumptions!$G$75,0),0)</f>
        <v>0</v>
      </c>
      <c r="Y34" s="19" t="n">
        <f aca="false">IF(AND(19&gt;=E34,OR(F34="",19&lt;=F34)),(D34*(1+assumptions!$G$76)^1/12*(1+assumptions!$G$70+assumptions!$G$71+IF(19&gt;=assumptions!$G$73,assumptions!$G$72,0))+assumptions!$G$74/12)+IF(19=E34,D34*assumptions!$G$75,0),0)</f>
        <v>0</v>
      </c>
      <c r="Z34" s="19" t="n">
        <f aca="false">IF(AND(20&gt;=E34,OR(F34="",20&lt;=F34)),(D34*(1+assumptions!$G$76)^1/12*(1+assumptions!$G$70+assumptions!$G$71+IF(20&gt;=assumptions!$G$73,assumptions!$G$72,0))+assumptions!$G$74/12)+IF(20=E34,D34*assumptions!$G$75,0),0)</f>
        <v>0</v>
      </c>
      <c r="AA34" s="19" t="n">
        <f aca="false">IF(AND(21&gt;=E34,OR(F34="",21&lt;=F34)),(D34*(1+assumptions!$G$76)^1/12*(1+assumptions!$G$70+assumptions!$G$71+IF(21&gt;=assumptions!$G$73,assumptions!$G$72,0))+assumptions!$G$74/12)+IF(21=E34,D34*assumptions!$G$75,0),0)</f>
        <v>0</v>
      </c>
      <c r="AB34" s="19" t="n">
        <f aca="false">IF(AND(22&gt;=E34,OR(F34="",22&lt;=F34)),(D34*(1+assumptions!$G$76)^1/12*(1+assumptions!$G$70+assumptions!$G$71+IF(22&gt;=assumptions!$G$73,assumptions!$G$72,0))+assumptions!$G$74/12)+IF(22=E34,D34*assumptions!$G$75,0),0)</f>
        <v>0</v>
      </c>
      <c r="AC34" s="19" t="n">
        <f aca="false">IF(AND(23&gt;=E34,OR(F34="",23&lt;=F34)),(D34*(1+assumptions!$G$76)^1/12*(1+assumptions!$G$70+assumptions!$G$71+IF(23&gt;=assumptions!$G$73,assumptions!$G$72,0))+assumptions!$G$74/12)+IF(23=E34,D34*assumptions!$G$75,0),0)</f>
        <v>0</v>
      </c>
      <c r="AD34" s="19" t="n">
        <f aca="false">IF(AND(24&gt;=E34,OR(F34="",24&lt;=F34)),(D34*(1+assumptions!$G$76)^1/12*(1+assumptions!$G$70+assumptions!$G$71+IF(24&gt;=assumptions!$G$73,assumptions!$G$72,0))+assumptions!$G$74/12)+IF(24=E34,D34*assumptions!$G$75,0),0)</f>
        <v>0</v>
      </c>
      <c r="AE34" s="19" t="n">
        <f aca="false">IF(AND(25&gt;=E34,OR(F34="",25&lt;=F34)),(D34*(1+assumptions!$G$76)^2/12*(1+assumptions!$G$70+assumptions!$G$71+IF(25&gt;=assumptions!$G$73,assumptions!$G$72,0))+assumptions!$G$74/12)+IF(25=E34,D34*assumptions!$G$75,0),0)</f>
        <v>0</v>
      </c>
      <c r="AF34" s="19" t="n">
        <f aca="false">IF(AND(26&gt;=E34,OR(F34="",26&lt;=F34)),(D34*(1+assumptions!$G$76)^2/12*(1+assumptions!$G$70+assumptions!$G$71+IF(26&gt;=assumptions!$G$73,assumptions!$G$72,0))+assumptions!$G$74/12)+IF(26=E34,D34*assumptions!$G$75,0),0)</f>
        <v>0</v>
      </c>
      <c r="AG34" s="19" t="n">
        <f aca="false">IF(AND(27&gt;=E34,OR(F34="",27&lt;=F34)),(D34*(1+assumptions!$G$76)^2/12*(1+assumptions!$G$70+assumptions!$G$71+IF(27&gt;=assumptions!$G$73,assumptions!$G$72,0))+assumptions!$G$74/12)+IF(27=E34,D34*assumptions!$G$75,0),0)</f>
        <v>0</v>
      </c>
      <c r="AH34" s="19" t="n">
        <f aca="false">IF(AND(28&gt;=E34,OR(F34="",28&lt;=F34)),(D34*(1+assumptions!$G$76)^2/12*(1+assumptions!$G$70+assumptions!$G$71+IF(28&gt;=assumptions!$G$73,assumptions!$G$72,0))+assumptions!$G$74/12)+IF(28=E34,D34*assumptions!$G$75,0),0)</f>
        <v>0</v>
      </c>
      <c r="AI34" s="19" t="n">
        <f aca="false">IF(AND(29&gt;=E34,OR(F34="",29&lt;=F34)),(D34*(1+assumptions!$G$76)^2/12*(1+assumptions!$G$70+assumptions!$G$71+IF(29&gt;=assumptions!$G$73,assumptions!$G$72,0))+assumptions!$G$74/12)+IF(29=E34,D34*assumptions!$G$75,0),0)</f>
        <v>0</v>
      </c>
      <c r="AJ34" s="19" t="n">
        <f aca="false">IF(AND(30&gt;=E34,OR(F34="",30&lt;=F34)),(D34*(1+assumptions!$G$76)^2/12*(1+assumptions!$G$70+assumptions!$G$71+IF(30&gt;=assumptions!$G$73,assumptions!$G$72,0))+assumptions!$G$74/12)+IF(30=E34,D34*assumptions!$G$75,0),0)</f>
        <v>0</v>
      </c>
      <c r="AK34" s="19" t="n">
        <f aca="false">IF(AND(31&gt;=E34,OR(F34="",31&lt;=F34)),(D34*(1+assumptions!$G$76)^2/12*(1+assumptions!$G$70+assumptions!$G$71+IF(31&gt;=assumptions!$G$73,assumptions!$G$72,0))+assumptions!$G$74/12)+IF(31=E34,D34*assumptions!$G$75,0),0)</f>
        <v>0</v>
      </c>
      <c r="AL34" s="19" t="n">
        <f aca="false">IF(AND(32&gt;=E34,OR(F34="",32&lt;=F34)),(D34*(1+assumptions!$G$76)^2/12*(1+assumptions!$G$70+assumptions!$G$71+IF(32&gt;=assumptions!$G$73,assumptions!$G$72,0))+assumptions!$G$74/12)+IF(32=E34,D34*assumptions!$G$75,0),0)</f>
        <v>0</v>
      </c>
      <c r="AM34" s="19" t="n">
        <f aca="false">IF(AND(33&gt;=E34,OR(F34="",33&lt;=F34)),(D34*(1+assumptions!$G$76)^2/12*(1+assumptions!$G$70+assumptions!$G$71+IF(33&gt;=assumptions!$G$73,assumptions!$G$72,0))+assumptions!$G$74/12)+IF(33=E34,D34*assumptions!$G$75,0),0)</f>
        <v>0</v>
      </c>
      <c r="AN34" s="19" t="n">
        <f aca="false">IF(AND(34&gt;=E34,OR(F34="",34&lt;=F34)),(D34*(1+assumptions!$G$76)^2/12*(1+assumptions!$G$70+assumptions!$G$71+IF(34&gt;=assumptions!$G$73,assumptions!$G$72,0))+assumptions!$G$74/12)+IF(34=E34,D34*assumptions!$G$75,0),0)</f>
        <v>0</v>
      </c>
      <c r="AO34" s="19" t="n">
        <f aca="false">IF(AND(35&gt;=E34,OR(F34="",35&lt;=F34)),(D34*(1+assumptions!$G$76)^2/12*(1+assumptions!$G$70+assumptions!$G$71+IF(35&gt;=assumptions!$G$73,assumptions!$G$72,0))+assumptions!$G$74/12)+IF(35=E34,D34*assumptions!$G$75,0),0)</f>
        <v>0</v>
      </c>
      <c r="AP34" s="19" t="n">
        <f aca="false">IF(AND(36&gt;=E34,OR(F34="",36&lt;=F34)),(D34*(1+assumptions!$G$76)^2/12*(1+assumptions!$G$70+assumptions!$G$71+IF(36&gt;=assumptions!$G$73,assumptions!$G$72,0))+assumptions!$G$74/12)+IF(36=E34,D34*assumptions!$G$75,0),0)</f>
        <v>0</v>
      </c>
      <c r="AQ34" s="19" t="n">
        <f aca="false">IF(AND(37&gt;=E34,OR(F34="",37&lt;=F34)),(D34*(1+assumptions!$G$76)^3/12*(1+assumptions!$G$70+assumptions!$G$71+IF(37&gt;=assumptions!$G$73,assumptions!$G$72,0))+assumptions!$G$74/12)+IF(37=E34,D34*assumptions!$G$75,0),0)</f>
        <v>0</v>
      </c>
      <c r="AR34" s="19" t="n">
        <f aca="false">IF(AND(38&gt;=E34,OR(F34="",38&lt;=F34)),(D34*(1+assumptions!$G$76)^3/12*(1+assumptions!$G$70+assumptions!$G$71+IF(38&gt;=assumptions!$G$73,assumptions!$G$72,0))+assumptions!$G$74/12)+IF(38=E34,D34*assumptions!$G$75,0),0)</f>
        <v>0</v>
      </c>
      <c r="AS34" s="19" t="n">
        <f aca="false">IF(AND(39&gt;=E34,OR(F34="",39&lt;=F34)),(D34*(1+assumptions!$G$76)^3/12*(1+assumptions!$G$70+assumptions!$G$71+IF(39&gt;=assumptions!$G$73,assumptions!$G$72,0))+assumptions!$G$74/12)+IF(39=E34,D34*assumptions!$G$75,0),0)</f>
        <v>0</v>
      </c>
      <c r="AT34" s="19" t="n">
        <f aca="false">IF(AND(40&gt;=E34,OR(F34="",40&lt;=F34)),(D34*(1+assumptions!$G$76)^3/12*(1+assumptions!$G$70+assumptions!$G$71+IF(40&gt;=assumptions!$G$73,assumptions!$G$72,0))+assumptions!$G$74/12)+IF(40=E34,D34*assumptions!$G$75,0),0)</f>
        <v>0</v>
      </c>
      <c r="AU34" s="19" t="n">
        <f aca="false">IF(AND(41&gt;=E34,OR(F34="",41&lt;=F34)),(D34*(1+assumptions!$G$76)^3/12*(1+assumptions!$G$70+assumptions!$G$71+IF(41&gt;=assumptions!$G$73,assumptions!$G$72,0))+assumptions!$G$74/12)+IF(41=E34,D34*assumptions!$G$75,0),0)</f>
        <v>0</v>
      </c>
      <c r="AV34" s="19" t="n">
        <f aca="false">IF(AND(42&gt;=E34,OR(F34="",42&lt;=F34)),(D34*(1+assumptions!$G$76)^3/12*(1+assumptions!$G$70+assumptions!$G$71+IF(42&gt;=assumptions!$G$73,assumptions!$G$72,0))+assumptions!$G$74/12)+IF(42=E34,D34*assumptions!$G$75,0),0)</f>
        <v>0</v>
      </c>
      <c r="AW34" s="19" t="n">
        <f aca="false">IF(AND(43&gt;=E34,OR(F34="",43&lt;=F34)),(D34*(1+assumptions!$G$76)^3/12*(1+assumptions!$G$70+assumptions!$G$71+IF(43&gt;=assumptions!$G$73,assumptions!$G$72,0))+assumptions!$G$74/12)+IF(43=E34,D34*assumptions!$G$75,0),0)</f>
        <v>0</v>
      </c>
      <c r="AX34" s="19" t="n">
        <f aca="false">IF(AND(44&gt;=E34,OR(F34="",44&lt;=F34)),(D34*(1+assumptions!$G$76)^3/12*(1+assumptions!$G$70+assumptions!$G$71+IF(44&gt;=assumptions!$G$73,assumptions!$G$72,0))+assumptions!$G$74/12)+IF(44=E34,D34*assumptions!$G$75,0),0)</f>
        <v>31494.65472</v>
      </c>
      <c r="AY34" s="19" t="n">
        <f aca="false">IF(AND(45&gt;=E34,OR(F34="",45&lt;=F34)),(D34*(1+assumptions!$G$76)^3/12*(1+assumptions!$G$70+assumptions!$G$71+IF(45&gt;=assumptions!$G$73,assumptions!$G$72,0))+assumptions!$G$74/12)+IF(45=E34,D34*assumptions!$G$75,0),0)</f>
        <v>13494.65472</v>
      </c>
      <c r="AZ34" s="19" t="n">
        <f aca="false">IF(AND(46&gt;=E34,OR(F34="",46&lt;=F34)),(D34*(1+assumptions!$G$76)^3/12*(1+assumptions!$G$70+assumptions!$G$71+IF(46&gt;=assumptions!$G$73,assumptions!$G$72,0))+assumptions!$G$74/12)+IF(46=E34,D34*assumptions!$G$75,0),0)</f>
        <v>13494.65472</v>
      </c>
      <c r="BA34" s="19" t="n">
        <f aca="false">IF(AND(47&gt;=E34,OR(F34="",47&lt;=F34)),(D34*(1+assumptions!$G$76)^3/12*(1+assumptions!$G$70+assumptions!$G$71+IF(47&gt;=assumptions!$G$73,assumptions!$G$72,0))+assumptions!$G$74/12)+IF(47=E34,D34*assumptions!$G$75,0),0)</f>
        <v>13494.65472</v>
      </c>
      <c r="BB34" s="19" t="n">
        <f aca="false">IF(AND(48&gt;=E34,OR(F34="",48&lt;=F34)),(D34*(1+assumptions!$G$76)^3/12*(1+assumptions!$G$70+assumptions!$G$71+IF(48&gt;=assumptions!$G$73,assumptions!$G$72,0))+assumptions!$G$74/12)+IF(48=E34,D34*assumptions!$G$75,0),0)</f>
        <v>13494.65472</v>
      </c>
      <c r="BC34" s="19" t="n">
        <f aca="false">IF(AND(49&gt;=E34,OR(F34="",49&lt;=F34)),(D34*(1+assumptions!$G$76)^4/12*(1+assumptions!$G$70+assumptions!$G$71+IF(49&gt;=assumptions!$G$73,assumptions!$G$72,0))+assumptions!$G$74/12)+IF(49=E34,D34*assumptions!$G$75,0),0)</f>
        <v>14022.4409088</v>
      </c>
      <c r="BD34" s="19" t="n">
        <f aca="false">IF(AND(50&gt;=E34,OR(F34="",50&lt;=F34)),(D34*(1+assumptions!$G$76)^4/12*(1+assumptions!$G$70+assumptions!$G$71+IF(50&gt;=assumptions!$G$73,assumptions!$G$72,0))+assumptions!$G$74/12)+IF(50=E34,D34*assumptions!$G$75,0),0)</f>
        <v>14022.4409088</v>
      </c>
      <c r="BE34" s="19" t="n">
        <f aca="false">IF(AND(51&gt;=E34,OR(F34="",51&lt;=F34)),(D34*(1+assumptions!$G$76)^4/12*(1+assumptions!$G$70+assumptions!$G$71+IF(51&gt;=assumptions!$G$73,assumptions!$G$72,0))+assumptions!$G$74/12)+IF(51=E34,D34*assumptions!$G$75,0),0)</f>
        <v>14022.4409088</v>
      </c>
      <c r="BF34" s="19" t="n">
        <f aca="false">IF(AND(52&gt;=E34,OR(F34="",52&lt;=F34)),(D34*(1+assumptions!$G$76)^4/12*(1+assumptions!$G$70+assumptions!$G$71+IF(52&gt;=assumptions!$G$73,assumptions!$G$72,0))+assumptions!$G$74/12)+IF(52=E34,D34*assumptions!$G$75,0),0)</f>
        <v>14022.4409088</v>
      </c>
      <c r="BG34" s="19" t="n">
        <f aca="false">IF(AND(53&gt;=E34,OR(F34="",53&lt;=F34)),(D34*(1+assumptions!$G$76)^4/12*(1+assumptions!$G$70+assumptions!$G$71+IF(53&gt;=assumptions!$G$73,assumptions!$G$72,0))+assumptions!$G$74/12)+IF(53=E34,D34*assumptions!$G$75,0),0)</f>
        <v>14022.4409088</v>
      </c>
      <c r="BH34" s="19" t="n">
        <f aca="false">IF(AND(54&gt;=E34,OR(F34="",54&lt;=F34)),(D34*(1+assumptions!$G$76)^4/12*(1+assumptions!$G$70+assumptions!$G$71+IF(54&gt;=assumptions!$G$73,assumptions!$G$72,0))+assumptions!$G$74/12)+IF(54=E34,D34*assumptions!$G$75,0),0)</f>
        <v>14022.4409088</v>
      </c>
      <c r="BI34" s="19" t="n">
        <f aca="false">IF(AND(55&gt;=E34,OR(F34="",55&lt;=F34)),(D34*(1+assumptions!$G$76)^4/12*(1+assumptions!$G$70+assumptions!$G$71+IF(55&gt;=assumptions!$G$73,assumptions!$G$72,0))+assumptions!$G$74/12)+IF(55=E34,D34*assumptions!$G$75,0),0)</f>
        <v>14022.4409088</v>
      </c>
      <c r="BJ34" s="19" t="n">
        <f aca="false">IF(AND(56&gt;=E34,OR(F34="",56&lt;=F34)),(D34*(1+assumptions!$G$76)^4/12*(1+assumptions!$G$70+assumptions!$G$71+IF(56&gt;=assumptions!$G$73,assumptions!$G$72,0))+assumptions!$G$74/12)+IF(56=E34,D34*assumptions!$G$75,0),0)</f>
        <v>14022.4409088</v>
      </c>
      <c r="BK34" s="19" t="n">
        <f aca="false">IF(AND(57&gt;=E34,OR(F34="",57&lt;=F34)),(D34*(1+assumptions!$G$76)^4/12*(1+assumptions!$G$70+assumptions!$G$71+IF(57&gt;=assumptions!$G$73,assumptions!$G$72,0))+assumptions!$G$74/12)+IF(57=E34,D34*assumptions!$G$75,0),0)</f>
        <v>14022.4409088</v>
      </c>
      <c r="BL34" s="19" t="n">
        <f aca="false">IF(AND(58&gt;=E34,OR(F34="",58&lt;=F34)),(D34*(1+assumptions!$G$76)^4/12*(1+assumptions!$G$70+assumptions!$G$71+IF(58&gt;=assumptions!$G$73,assumptions!$G$72,0))+assumptions!$G$74/12)+IF(58=E34,D34*assumptions!$G$75,0),0)</f>
        <v>14022.4409088</v>
      </c>
      <c r="BM34" s="19" t="n">
        <f aca="false">IF(AND(59&gt;=E34,OR(F34="",59&lt;=F34)),(D34*(1+assumptions!$G$76)^4/12*(1+assumptions!$G$70+assumptions!$G$71+IF(59&gt;=assumptions!$G$73,assumptions!$G$72,0))+assumptions!$G$74/12)+IF(59=E34,D34*assumptions!$G$75,0),0)</f>
        <v>14022.4409088</v>
      </c>
      <c r="BN34" s="19" t="n">
        <f aca="false">IF(AND(60&gt;=E34,OR(F34="",60&lt;=F34)),(D34*(1+assumptions!$G$76)^4/12*(1+assumptions!$G$70+assumptions!$G$71+IF(60&gt;=assumptions!$G$73,assumptions!$G$72,0))+assumptions!$G$74/12)+IF(60=E34,D34*assumptions!$G$75,0),0)</f>
        <v>14022.4409088</v>
      </c>
    </row>
    <row r="35" customFormat="false" ht="14.25" hidden="false" customHeight="false" outlineLevel="0" collapsed="false">
      <c r="A35" s="7" t="n">
        <v>32</v>
      </c>
      <c r="B35" s="7" t="s">
        <v>375</v>
      </c>
      <c r="C35" s="7" t="s">
        <v>360</v>
      </c>
      <c r="D35" s="17" t="n">
        <v>90000</v>
      </c>
      <c r="E35" s="49" t="n">
        <v>46</v>
      </c>
      <c r="F35" s="49"/>
      <c r="G35" s="19" t="n">
        <f aca="false">IF(AND(1&gt;=E35,OR(F35="",1&lt;=F35)),(D35*(1+assumptions!$G$76)^0/12*(1+assumptions!$G$70+assumptions!$G$71+IF(1&gt;=assumptions!$G$73,assumptions!$G$72,0))+assumptions!$G$74/12)+IF(1=E35,D35*assumptions!$G$75,0),0)</f>
        <v>0</v>
      </c>
      <c r="H35" s="19" t="n">
        <f aca="false">IF(AND(2&gt;=E35,OR(F35="",2&lt;=F35)),(D35*(1+assumptions!$G$76)^0/12*(1+assumptions!$G$70+assumptions!$G$71+IF(2&gt;=assumptions!$G$73,assumptions!$G$72,0))+assumptions!$G$74/12)+IF(2=E35,D35*assumptions!$G$75,0),0)</f>
        <v>0</v>
      </c>
      <c r="I35" s="19" t="n">
        <f aca="false">IF(AND(3&gt;=E35,OR(F35="",3&lt;=F35)),(D35*(1+assumptions!$G$76)^0/12*(1+assumptions!$G$70+assumptions!$G$71+IF(3&gt;=assumptions!$G$73,assumptions!$G$72,0))+assumptions!$G$74/12)+IF(3=E35,D35*assumptions!$G$75,0),0)</f>
        <v>0</v>
      </c>
      <c r="J35" s="19" t="n">
        <f aca="false">IF(AND(4&gt;=E35,OR(F35="",4&lt;=F35)),(D35*(1+assumptions!$G$76)^0/12*(1+assumptions!$G$70+assumptions!$G$71+IF(4&gt;=assumptions!$G$73,assumptions!$G$72,0))+assumptions!$G$74/12)+IF(4=E35,D35*assumptions!$G$75,0),0)</f>
        <v>0</v>
      </c>
      <c r="K35" s="19" t="n">
        <f aca="false">IF(AND(5&gt;=E35,OR(F35="",5&lt;=F35)),(D35*(1+assumptions!$G$76)^0/12*(1+assumptions!$G$70+assumptions!$G$71+IF(5&gt;=assumptions!$G$73,assumptions!$G$72,0))+assumptions!$G$74/12)+IF(5=E35,D35*assumptions!$G$75,0),0)</f>
        <v>0</v>
      </c>
      <c r="L35" s="19" t="n">
        <f aca="false">IF(AND(6&gt;=E35,OR(F35="",6&lt;=F35)),(D35*(1+assumptions!$G$76)^0/12*(1+assumptions!$G$70+assumptions!$G$71+IF(6&gt;=assumptions!$G$73,assumptions!$G$72,0))+assumptions!$G$74/12)+IF(6=E35,D35*assumptions!$G$75,0),0)</f>
        <v>0</v>
      </c>
      <c r="M35" s="19" t="n">
        <f aca="false">IF(AND(7&gt;=E35,OR(F35="",7&lt;=F35)),(D35*(1+assumptions!$G$76)^0/12*(1+assumptions!$G$70+assumptions!$G$71+IF(7&gt;=assumptions!$G$73,assumptions!$G$72,0))+assumptions!$G$74/12)+IF(7=E35,D35*assumptions!$G$75,0),0)</f>
        <v>0</v>
      </c>
      <c r="N35" s="19" t="n">
        <f aca="false">IF(AND(8&gt;=E35,OR(F35="",8&lt;=F35)),(D35*(1+assumptions!$G$76)^0/12*(1+assumptions!$G$70+assumptions!$G$71+IF(8&gt;=assumptions!$G$73,assumptions!$G$72,0))+assumptions!$G$74/12)+IF(8=E35,D35*assumptions!$G$75,0),0)</f>
        <v>0</v>
      </c>
      <c r="O35" s="19" t="n">
        <f aca="false">IF(AND(9&gt;=E35,OR(F35="",9&lt;=F35)),(D35*(1+assumptions!$G$76)^0/12*(1+assumptions!$G$70+assumptions!$G$71+IF(9&gt;=assumptions!$G$73,assumptions!$G$72,0))+assumptions!$G$74/12)+IF(9=E35,D35*assumptions!$G$75,0),0)</f>
        <v>0</v>
      </c>
      <c r="P35" s="19" t="n">
        <f aca="false">IF(AND(10&gt;=E35,OR(F35="",10&lt;=F35)),(D35*(1+assumptions!$G$76)^0/12*(1+assumptions!$G$70+assumptions!$G$71+IF(10&gt;=assumptions!$G$73,assumptions!$G$72,0))+assumptions!$G$74/12)+IF(10=E35,D35*assumptions!$G$75,0),0)</f>
        <v>0</v>
      </c>
      <c r="Q35" s="19" t="n">
        <f aca="false">IF(AND(11&gt;=E35,OR(F35="",11&lt;=F35)),(D35*(1+assumptions!$G$76)^0/12*(1+assumptions!$G$70+assumptions!$G$71+IF(11&gt;=assumptions!$G$73,assumptions!$G$72,0))+assumptions!$G$74/12)+IF(11=E35,D35*assumptions!$G$75,0),0)</f>
        <v>0</v>
      </c>
      <c r="R35" s="19" t="n">
        <f aca="false">IF(AND(12&gt;=E35,OR(F35="",12&lt;=F35)),(D35*(1+assumptions!$G$76)^0/12*(1+assumptions!$G$70+assumptions!$G$71+IF(12&gt;=assumptions!$G$73,assumptions!$G$72,0))+assumptions!$G$74/12)+IF(12=E35,D35*assumptions!$G$75,0),0)</f>
        <v>0</v>
      </c>
      <c r="S35" s="19" t="n">
        <f aca="false">IF(AND(13&gt;=E35,OR(F35="",13&lt;=F35)),(D35*(1+assumptions!$G$76)^1/12*(1+assumptions!$G$70+assumptions!$G$71+IF(13&gt;=assumptions!$G$73,assumptions!$G$72,0))+assumptions!$G$74/12)+IF(13=E35,D35*assumptions!$G$75,0),0)</f>
        <v>0</v>
      </c>
      <c r="T35" s="19" t="n">
        <f aca="false">IF(AND(14&gt;=E35,OR(F35="",14&lt;=F35)),(D35*(1+assumptions!$G$76)^1/12*(1+assumptions!$G$70+assumptions!$G$71+IF(14&gt;=assumptions!$G$73,assumptions!$G$72,0))+assumptions!$G$74/12)+IF(14=E35,D35*assumptions!$G$75,0),0)</f>
        <v>0</v>
      </c>
      <c r="U35" s="19" t="n">
        <f aca="false">IF(AND(15&gt;=E35,OR(F35="",15&lt;=F35)),(D35*(1+assumptions!$G$76)^1/12*(1+assumptions!$G$70+assumptions!$G$71+IF(15&gt;=assumptions!$G$73,assumptions!$G$72,0))+assumptions!$G$74/12)+IF(15=E35,D35*assumptions!$G$75,0),0)</f>
        <v>0</v>
      </c>
      <c r="V35" s="19" t="n">
        <f aca="false">IF(AND(16&gt;=E35,OR(F35="",16&lt;=F35)),(D35*(1+assumptions!$G$76)^1/12*(1+assumptions!$G$70+assumptions!$G$71+IF(16&gt;=assumptions!$G$73,assumptions!$G$72,0))+assumptions!$G$74/12)+IF(16=E35,D35*assumptions!$G$75,0),0)</f>
        <v>0</v>
      </c>
      <c r="W35" s="19" t="n">
        <f aca="false">IF(AND(17&gt;=E35,OR(F35="",17&lt;=F35)),(D35*(1+assumptions!$G$76)^1/12*(1+assumptions!$G$70+assumptions!$G$71+IF(17&gt;=assumptions!$G$73,assumptions!$G$72,0))+assumptions!$G$74/12)+IF(17=E35,D35*assumptions!$G$75,0),0)</f>
        <v>0</v>
      </c>
      <c r="X35" s="19" t="n">
        <f aca="false">IF(AND(18&gt;=E35,OR(F35="",18&lt;=F35)),(D35*(1+assumptions!$G$76)^1/12*(1+assumptions!$G$70+assumptions!$G$71+IF(18&gt;=assumptions!$G$73,assumptions!$G$72,0))+assumptions!$G$74/12)+IF(18=E35,D35*assumptions!$G$75,0),0)</f>
        <v>0</v>
      </c>
      <c r="Y35" s="19" t="n">
        <f aca="false">IF(AND(19&gt;=E35,OR(F35="",19&lt;=F35)),(D35*(1+assumptions!$G$76)^1/12*(1+assumptions!$G$70+assumptions!$G$71+IF(19&gt;=assumptions!$G$73,assumptions!$G$72,0))+assumptions!$G$74/12)+IF(19=E35,D35*assumptions!$G$75,0),0)</f>
        <v>0</v>
      </c>
      <c r="Z35" s="19" t="n">
        <f aca="false">IF(AND(20&gt;=E35,OR(F35="",20&lt;=F35)),(D35*(1+assumptions!$G$76)^1/12*(1+assumptions!$G$70+assumptions!$G$71+IF(20&gt;=assumptions!$G$73,assumptions!$G$72,0))+assumptions!$G$74/12)+IF(20=E35,D35*assumptions!$G$75,0),0)</f>
        <v>0</v>
      </c>
      <c r="AA35" s="19" t="n">
        <f aca="false">IF(AND(21&gt;=E35,OR(F35="",21&lt;=F35)),(D35*(1+assumptions!$G$76)^1/12*(1+assumptions!$G$70+assumptions!$G$71+IF(21&gt;=assumptions!$G$73,assumptions!$G$72,0))+assumptions!$G$74/12)+IF(21=E35,D35*assumptions!$G$75,0),0)</f>
        <v>0</v>
      </c>
      <c r="AB35" s="19" t="n">
        <f aca="false">IF(AND(22&gt;=E35,OR(F35="",22&lt;=F35)),(D35*(1+assumptions!$G$76)^1/12*(1+assumptions!$G$70+assumptions!$G$71+IF(22&gt;=assumptions!$G$73,assumptions!$G$72,0))+assumptions!$G$74/12)+IF(22=E35,D35*assumptions!$G$75,0),0)</f>
        <v>0</v>
      </c>
      <c r="AC35" s="19" t="n">
        <f aca="false">IF(AND(23&gt;=E35,OR(F35="",23&lt;=F35)),(D35*(1+assumptions!$G$76)^1/12*(1+assumptions!$G$70+assumptions!$G$71+IF(23&gt;=assumptions!$G$73,assumptions!$G$72,0))+assumptions!$G$74/12)+IF(23=E35,D35*assumptions!$G$75,0),0)</f>
        <v>0</v>
      </c>
      <c r="AD35" s="19" t="n">
        <f aca="false">IF(AND(24&gt;=E35,OR(F35="",24&lt;=F35)),(D35*(1+assumptions!$G$76)^1/12*(1+assumptions!$G$70+assumptions!$G$71+IF(24&gt;=assumptions!$G$73,assumptions!$G$72,0))+assumptions!$G$74/12)+IF(24=E35,D35*assumptions!$G$75,0),0)</f>
        <v>0</v>
      </c>
      <c r="AE35" s="19" t="n">
        <f aca="false">IF(AND(25&gt;=E35,OR(F35="",25&lt;=F35)),(D35*(1+assumptions!$G$76)^2/12*(1+assumptions!$G$70+assumptions!$G$71+IF(25&gt;=assumptions!$G$73,assumptions!$G$72,0))+assumptions!$G$74/12)+IF(25=E35,D35*assumptions!$G$75,0),0)</f>
        <v>0</v>
      </c>
      <c r="AF35" s="19" t="n">
        <f aca="false">IF(AND(26&gt;=E35,OR(F35="",26&lt;=F35)),(D35*(1+assumptions!$G$76)^2/12*(1+assumptions!$G$70+assumptions!$G$71+IF(26&gt;=assumptions!$G$73,assumptions!$G$72,0))+assumptions!$G$74/12)+IF(26=E35,D35*assumptions!$G$75,0),0)</f>
        <v>0</v>
      </c>
      <c r="AG35" s="19" t="n">
        <f aca="false">IF(AND(27&gt;=E35,OR(F35="",27&lt;=F35)),(D35*(1+assumptions!$G$76)^2/12*(1+assumptions!$G$70+assumptions!$G$71+IF(27&gt;=assumptions!$G$73,assumptions!$G$72,0))+assumptions!$G$74/12)+IF(27=E35,D35*assumptions!$G$75,0),0)</f>
        <v>0</v>
      </c>
      <c r="AH35" s="19" t="n">
        <f aca="false">IF(AND(28&gt;=E35,OR(F35="",28&lt;=F35)),(D35*(1+assumptions!$G$76)^2/12*(1+assumptions!$G$70+assumptions!$G$71+IF(28&gt;=assumptions!$G$73,assumptions!$G$72,0))+assumptions!$G$74/12)+IF(28=E35,D35*assumptions!$G$75,0),0)</f>
        <v>0</v>
      </c>
      <c r="AI35" s="19" t="n">
        <f aca="false">IF(AND(29&gt;=E35,OR(F35="",29&lt;=F35)),(D35*(1+assumptions!$G$76)^2/12*(1+assumptions!$G$70+assumptions!$G$71+IF(29&gt;=assumptions!$G$73,assumptions!$G$72,0))+assumptions!$G$74/12)+IF(29=E35,D35*assumptions!$G$75,0),0)</f>
        <v>0</v>
      </c>
      <c r="AJ35" s="19" t="n">
        <f aca="false">IF(AND(30&gt;=E35,OR(F35="",30&lt;=F35)),(D35*(1+assumptions!$G$76)^2/12*(1+assumptions!$G$70+assumptions!$G$71+IF(30&gt;=assumptions!$G$73,assumptions!$G$72,0))+assumptions!$G$74/12)+IF(30=E35,D35*assumptions!$G$75,0),0)</f>
        <v>0</v>
      </c>
      <c r="AK35" s="19" t="n">
        <f aca="false">IF(AND(31&gt;=E35,OR(F35="",31&lt;=F35)),(D35*(1+assumptions!$G$76)^2/12*(1+assumptions!$G$70+assumptions!$G$71+IF(31&gt;=assumptions!$G$73,assumptions!$G$72,0))+assumptions!$G$74/12)+IF(31=E35,D35*assumptions!$G$75,0),0)</f>
        <v>0</v>
      </c>
      <c r="AL35" s="19" t="n">
        <f aca="false">IF(AND(32&gt;=E35,OR(F35="",32&lt;=F35)),(D35*(1+assumptions!$G$76)^2/12*(1+assumptions!$G$70+assumptions!$G$71+IF(32&gt;=assumptions!$G$73,assumptions!$G$72,0))+assumptions!$G$74/12)+IF(32=E35,D35*assumptions!$G$75,0),0)</f>
        <v>0</v>
      </c>
      <c r="AM35" s="19" t="n">
        <f aca="false">IF(AND(33&gt;=E35,OR(F35="",33&lt;=F35)),(D35*(1+assumptions!$G$76)^2/12*(1+assumptions!$G$70+assumptions!$G$71+IF(33&gt;=assumptions!$G$73,assumptions!$G$72,0))+assumptions!$G$74/12)+IF(33=E35,D35*assumptions!$G$75,0),0)</f>
        <v>0</v>
      </c>
      <c r="AN35" s="19" t="n">
        <f aca="false">IF(AND(34&gt;=E35,OR(F35="",34&lt;=F35)),(D35*(1+assumptions!$G$76)^2/12*(1+assumptions!$G$70+assumptions!$G$71+IF(34&gt;=assumptions!$G$73,assumptions!$G$72,0))+assumptions!$G$74/12)+IF(34=E35,D35*assumptions!$G$75,0),0)</f>
        <v>0</v>
      </c>
      <c r="AO35" s="19" t="n">
        <f aca="false">IF(AND(35&gt;=E35,OR(F35="",35&lt;=F35)),(D35*(1+assumptions!$G$76)^2/12*(1+assumptions!$G$70+assumptions!$G$71+IF(35&gt;=assumptions!$G$73,assumptions!$G$72,0))+assumptions!$G$74/12)+IF(35=E35,D35*assumptions!$G$75,0),0)</f>
        <v>0</v>
      </c>
      <c r="AP35" s="19" t="n">
        <f aca="false">IF(AND(36&gt;=E35,OR(F35="",36&lt;=F35)),(D35*(1+assumptions!$G$76)^2/12*(1+assumptions!$G$70+assumptions!$G$71+IF(36&gt;=assumptions!$G$73,assumptions!$G$72,0))+assumptions!$G$74/12)+IF(36=E35,D35*assumptions!$G$75,0),0)</f>
        <v>0</v>
      </c>
      <c r="AQ35" s="19" t="n">
        <f aca="false">IF(AND(37&gt;=E35,OR(F35="",37&lt;=F35)),(D35*(1+assumptions!$G$76)^3/12*(1+assumptions!$G$70+assumptions!$G$71+IF(37&gt;=assumptions!$G$73,assumptions!$G$72,0))+assumptions!$G$74/12)+IF(37=E35,D35*assumptions!$G$75,0),0)</f>
        <v>0</v>
      </c>
      <c r="AR35" s="19" t="n">
        <f aca="false">IF(AND(38&gt;=E35,OR(F35="",38&lt;=F35)),(D35*(1+assumptions!$G$76)^3/12*(1+assumptions!$G$70+assumptions!$G$71+IF(38&gt;=assumptions!$G$73,assumptions!$G$72,0))+assumptions!$G$74/12)+IF(38=E35,D35*assumptions!$G$75,0),0)</f>
        <v>0</v>
      </c>
      <c r="AS35" s="19" t="n">
        <f aca="false">IF(AND(39&gt;=E35,OR(F35="",39&lt;=F35)),(D35*(1+assumptions!$G$76)^3/12*(1+assumptions!$G$70+assumptions!$G$71+IF(39&gt;=assumptions!$G$73,assumptions!$G$72,0))+assumptions!$G$74/12)+IF(39=E35,D35*assumptions!$G$75,0),0)</f>
        <v>0</v>
      </c>
      <c r="AT35" s="19" t="n">
        <f aca="false">IF(AND(40&gt;=E35,OR(F35="",40&lt;=F35)),(D35*(1+assumptions!$G$76)^3/12*(1+assumptions!$G$70+assumptions!$G$71+IF(40&gt;=assumptions!$G$73,assumptions!$G$72,0))+assumptions!$G$74/12)+IF(40=E35,D35*assumptions!$G$75,0),0)</f>
        <v>0</v>
      </c>
      <c r="AU35" s="19" t="n">
        <f aca="false">IF(AND(41&gt;=E35,OR(F35="",41&lt;=F35)),(D35*(1+assumptions!$G$76)^3/12*(1+assumptions!$G$70+assumptions!$G$71+IF(41&gt;=assumptions!$G$73,assumptions!$G$72,0))+assumptions!$G$74/12)+IF(41=E35,D35*assumptions!$G$75,0),0)</f>
        <v>0</v>
      </c>
      <c r="AV35" s="19" t="n">
        <f aca="false">IF(AND(42&gt;=E35,OR(F35="",42&lt;=F35)),(D35*(1+assumptions!$G$76)^3/12*(1+assumptions!$G$70+assumptions!$G$71+IF(42&gt;=assumptions!$G$73,assumptions!$G$72,0))+assumptions!$G$74/12)+IF(42=E35,D35*assumptions!$G$75,0),0)</f>
        <v>0</v>
      </c>
      <c r="AW35" s="19" t="n">
        <f aca="false">IF(AND(43&gt;=E35,OR(F35="",43&lt;=F35)),(D35*(1+assumptions!$G$76)^3/12*(1+assumptions!$G$70+assumptions!$G$71+IF(43&gt;=assumptions!$G$73,assumptions!$G$72,0))+assumptions!$G$74/12)+IF(43=E35,D35*assumptions!$G$75,0),0)</f>
        <v>0</v>
      </c>
      <c r="AX35" s="19" t="n">
        <f aca="false">IF(AND(44&gt;=E35,OR(F35="",44&lt;=F35)),(D35*(1+assumptions!$G$76)^3/12*(1+assumptions!$G$70+assumptions!$G$71+IF(44&gt;=assumptions!$G$73,assumptions!$G$72,0))+assumptions!$G$74/12)+IF(44=E35,D35*assumptions!$G$75,0),0)</f>
        <v>0</v>
      </c>
      <c r="AY35" s="19" t="n">
        <f aca="false">IF(AND(45&gt;=E35,OR(F35="",45&lt;=F35)),(D35*(1+assumptions!$G$76)^3/12*(1+assumptions!$G$70+assumptions!$G$71+IF(45&gt;=assumptions!$G$73,assumptions!$G$72,0))+assumptions!$G$74/12)+IF(45=E35,D35*assumptions!$G$75,0),0)</f>
        <v>0</v>
      </c>
      <c r="AZ35" s="19" t="n">
        <f aca="false">IF(AND(46&gt;=E35,OR(F35="",46&lt;=F35)),(D35*(1+assumptions!$G$76)^3/12*(1+assumptions!$G$70+assumptions!$G$71+IF(46&gt;=assumptions!$G$73,assumptions!$G$72,0))+assumptions!$G$74/12)+IF(46=E35,D35*assumptions!$G$75,0),0)</f>
        <v>23695.99104</v>
      </c>
      <c r="BA35" s="19" t="n">
        <f aca="false">IF(AND(47&gt;=E35,OR(F35="",47&lt;=F35)),(D35*(1+assumptions!$G$76)^3/12*(1+assumptions!$G$70+assumptions!$G$71+IF(47&gt;=assumptions!$G$73,assumptions!$G$72,0))+assumptions!$G$74/12)+IF(47=E35,D35*assumptions!$G$75,0),0)</f>
        <v>10195.99104</v>
      </c>
      <c r="BB35" s="19" t="n">
        <f aca="false">IF(AND(48&gt;=E35,OR(F35="",48&lt;=F35)),(D35*(1+assumptions!$G$76)^3/12*(1+assumptions!$G$70+assumptions!$G$71+IF(48&gt;=assumptions!$G$73,assumptions!$G$72,0))+assumptions!$G$74/12)+IF(48=E35,D35*assumptions!$G$75,0),0)</f>
        <v>10195.99104</v>
      </c>
      <c r="BC35" s="19" t="n">
        <f aca="false">IF(AND(49&gt;=E35,OR(F35="",49&lt;=F35)),(D35*(1+assumptions!$G$76)^4/12*(1+assumptions!$G$70+assumptions!$G$71+IF(49&gt;=assumptions!$G$73,assumptions!$G$72,0))+assumptions!$G$74/12)+IF(49=E35,D35*assumptions!$G$75,0),0)</f>
        <v>10591.8306816</v>
      </c>
      <c r="BD35" s="19" t="n">
        <f aca="false">IF(AND(50&gt;=E35,OR(F35="",50&lt;=F35)),(D35*(1+assumptions!$G$76)^4/12*(1+assumptions!$G$70+assumptions!$G$71+IF(50&gt;=assumptions!$G$73,assumptions!$G$72,0))+assumptions!$G$74/12)+IF(50=E35,D35*assumptions!$G$75,0),0)</f>
        <v>10591.8306816</v>
      </c>
      <c r="BE35" s="19" t="n">
        <f aca="false">IF(AND(51&gt;=E35,OR(F35="",51&lt;=F35)),(D35*(1+assumptions!$G$76)^4/12*(1+assumptions!$G$70+assumptions!$G$71+IF(51&gt;=assumptions!$G$73,assumptions!$G$72,0))+assumptions!$G$74/12)+IF(51=E35,D35*assumptions!$G$75,0),0)</f>
        <v>10591.8306816</v>
      </c>
      <c r="BF35" s="19" t="n">
        <f aca="false">IF(AND(52&gt;=E35,OR(F35="",52&lt;=F35)),(D35*(1+assumptions!$G$76)^4/12*(1+assumptions!$G$70+assumptions!$G$71+IF(52&gt;=assumptions!$G$73,assumptions!$G$72,0))+assumptions!$G$74/12)+IF(52=E35,D35*assumptions!$G$75,0),0)</f>
        <v>10591.8306816</v>
      </c>
      <c r="BG35" s="19" t="n">
        <f aca="false">IF(AND(53&gt;=E35,OR(F35="",53&lt;=F35)),(D35*(1+assumptions!$G$76)^4/12*(1+assumptions!$G$70+assumptions!$G$71+IF(53&gt;=assumptions!$G$73,assumptions!$G$72,0))+assumptions!$G$74/12)+IF(53=E35,D35*assumptions!$G$75,0),0)</f>
        <v>10591.8306816</v>
      </c>
      <c r="BH35" s="19" t="n">
        <f aca="false">IF(AND(54&gt;=E35,OR(F35="",54&lt;=F35)),(D35*(1+assumptions!$G$76)^4/12*(1+assumptions!$G$70+assumptions!$G$71+IF(54&gt;=assumptions!$G$73,assumptions!$G$72,0))+assumptions!$G$74/12)+IF(54=E35,D35*assumptions!$G$75,0),0)</f>
        <v>10591.8306816</v>
      </c>
      <c r="BI35" s="19" t="n">
        <f aca="false">IF(AND(55&gt;=E35,OR(F35="",55&lt;=F35)),(D35*(1+assumptions!$G$76)^4/12*(1+assumptions!$G$70+assumptions!$G$71+IF(55&gt;=assumptions!$G$73,assumptions!$G$72,0))+assumptions!$G$74/12)+IF(55=E35,D35*assumptions!$G$75,0),0)</f>
        <v>10591.8306816</v>
      </c>
      <c r="BJ35" s="19" t="n">
        <f aca="false">IF(AND(56&gt;=E35,OR(F35="",56&lt;=F35)),(D35*(1+assumptions!$G$76)^4/12*(1+assumptions!$G$70+assumptions!$G$71+IF(56&gt;=assumptions!$G$73,assumptions!$G$72,0))+assumptions!$G$74/12)+IF(56=E35,D35*assumptions!$G$75,0),0)</f>
        <v>10591.8306816</v>
      </c>
      <c r="BK35" s="19" t="n">
        <f aca="false">IF(AND(57&gt;=E35,OR(F35="",57&lt;=F35)),(D35*(1+assumptions!$G$76)^4/12*(1+assumptions!$G$70+assumptions!$G$71+IF(57&gt;=assumptions!$G$73,assumptions!$G$72,0))+assumptions!$G$74/12)+IF(57=E35,D35*assumptions!$G$75,0),0)</f>
        <v>10591.8306816</v>
      </c>
      <c r="BL35" s="19" t="n">
        <f aca="false">IF(AND(58&gt;=E35,OR(F35="",58&lt;=F35)),(D35*(1+assumptions!$G$76)^4/12*(1+assumptions!$G$70+assumptions!$G$71+IF(58&gt;=assumptions!$G$73,assumptions!$G$72,0))+assumptions!$G$74/12)+IF(58=E35,D35*assumptions!$G$75,0),0)</f>
        <v>10591.8306816</v>
      </c>
      <c r="BM35" s="19" t="n">
        <f aca="false">IF(AND(59&gt;=E35,OR(F35="",59&lt;=F35)),(D35*(1+assumptions!$G$76)^4/12*(1+assumptions!$G$70+assumptions!$G$71+IF(59&gt;=assumptions!$G$73,assumptions!$G$72,0))+assumptions!$G$74/12)+IF(59=E35,D35*assumptions!$G$75,0),0)</f>
        <v>10591.8306816</v>
      </c>
      <c r="BN35" s="19" t="n">
        <f aca="false">IF(AND(60&gt;=E35,OR(F35="",60&lt;=F35)),(D35*(1+assumptions!$G$76)^4/12*(1+assumptions!$G$70+assumptions!$G$71+IF(60&gt;=assumptions!$G$73,assumptions!$G$72,0))+assumptions!$G$74/12)+IF(60=E35,D35*assumptions!$G$75,0),0)</f>
        <v>10591.8306816</v>
      </c>
    </row>
    <row r="36" customFormat="false" ht="14.25" hidden="false" customHeight="false" outlineLevel="0" collapsed="false">
      <c r="A36" s="7" t="n">
        <v>33</v>
      </c>
      <c r="B36" s="7" t="s">
        <v>376</v>
      </c>
      <c r="C36" s="7" t="s">
        <v>342</v>
      </c>
      <c r="D36" s="17" t="n">
        <v>55000</v>
      </c>
      <c r="E36" s="49" t="n">
        <v>48</v>
      </c>
      <c r="F36" s="49"/>
      <c r="G36" s="19" t="n">
        <f aca="false">IF(AND(1&gt;=E36,OR(F36="",1&lt;=F36)),(D36*(1+assumptions!$G$76)^0/12*(1+assumptions!$G$70+assumptions!$G$71+IF(1&gt;=assumptions!$G$73,assumptions!$G$72,0))+assumptions!$G$74/12)+IF(1=E36,D36*assumptions!$G$75,0),0)</f>
        <v>0</v>
      </c>
      <c r="H36" s="19" t="n">
        <f aca="false">IF(AND(2&gt;=E36,OR(F36="",2&lt;=F36)),(D36*(1+assumptions!$G$76)^0/12*(1+assumptions!$G$70+assumptions!$G$71+IF(2&gt;=assumptions!$G$73,assumptions!$G$72,0))+assumptions!$G$74/12)+IF(2=E36,D36*assumptions!$G$75,0),0)</f>
        <v>0</v>
      </c>
      <c r="I36" s="19" t="n">
        <f aca="false">IF(AND(3&gt;=E36,OR(F36="",3&lt;=F36)),(D36*(1+assumptions!$G$76)^0/12*(1+assumptions!$G$70+assumptions!$G$71+IF(3&gt;=assumptions!$G$73,assumptions!$G$72,0))+assumptions!$G$74/12)+IF(3=E36,D36*assumptions!$G$75,0),0)</f>
        <v>0</v>
      </c>
      <c r="J36" s="19" t="n">
        <f aca="false">IF(AND(4&gt;=E36,OR(F36="",4&lt;=F36)),(D36*(1+assumptions!$G$76)^0/12*(1+assumptions!$G$70+assumptions!$G$71+IF(4&gt;=assumptions!$G$73,assumptions!$G$72,0))+assumptions!$G$74/12)+IF(4=E36,D36*assumptions!$G$75,0),0)</f>
        <v>0</v>
      </c>
      <c r="K36" s="19" t="n">
        <f aca="false">IF(AND(5&gt;=E36,OR(F36="",5&lt;=F36)),(D36*(1+assumptions!$G$76)^0/12*(1+assumptions!$G$70+assumptions!$G$71+IF(5&gt;=assumptions!$G$73,assumptions!$G$72,0))+assumptions!$G$74/12)+IF(5=E36,D36*assumptions!$G$75,0),0)</f>
        <v>0</v>
      </c>
      <c r="L36" s="19" t="n">
        <f aca="false">IF(AND(6&gt;=E36,OR(F36="",6&lt;=F36)),(D36*(1+assumptions!$G$76)^0/12*(1+assumptions!$G$70+assumptions!$G$71+IF(6&gt;=assumptions!$G$73,assumptions!$G$72,0))+assumptions!$G$74/12)+IF(6=E36,D36*assumptions!$G$75,0),0)</f>
        <v>0</v>
      </c>
      <c r="M36" s="19" t="n">
        <f aca="false">IF(AND(7&gt;=E36,OR(F36="",7&lt;=F36)),(D36*(1+assumptions!$G$76)^0/12*(1+assumptions!$G$70+assumptions!$G$71+IF(7&gt;=assumptions!$G$73,assumptions!$G$72,0))+assumptions!$G$74/12)+IF(7=E36,D36*assumptions!$G$75,0),0)</f>
        <v>0</v>
      </c>
      <c r="N36" s="19" t="n">
        <f aca="false">IF(AND(8&gt;=E36,OR(F36="",8&lt;=F36)),(D36*(1+assumptions!$G$76)^0/12*(1+assumptions!$G$70+assumptions!$G$71+IF(8&gt;=assumptions!$G$73,assumptions!$G$72,0))+assumptions!$G$74/12)+IF(8=E36,D36*assumptions!$G$75,0),0)</f>
        <v>0</v>
      </c>
      <c r="O36" s="19" t="n">
        <f aca="false">IF(AND(9&gt;=E36,OR(F36="",9&lt;=F36)),(D36*(1+assumptions!$G$76)^0/12*(1+assumptions!$G$70+assumptions!$G$71+IF(9&gt;=assumptions!$G$73,assumptions!$G$72,0))+assumptions!$G$74/12)+IF(9=E36,D36*assumptions!$G$75,0),0)</f>
        <v>0</v>
      </c>
      <c r="P36" s="19" t="n">
        <f aca="false">IF(AND(10&gt;=E36,OR(F36="",10&lt;=F36)),(D36*(1+assumptions!$G$76)^0/12*(1+assumptions!$G$70+assumptions!$G$71+IF(10&gt;=assumptions!$G$73,assumptions!$G$72,0))+assumptions!$G$74/12)+IF(10=E36,D36*assumptions!$G$75,0),0)</f>
        <v>0</v>
      </c>
      <c r="Q36" s="19" t="n">
        <f aca="false">IF(AND(11&gt;=E36,OR(F36="",11&lt;=F36)),(D36*(1+assumptions!$G$76)^0/12*(1+assumptions!$G$70+assumptions!$G$71+IF(11&gt;=assumptions!$G$73,assumptions!$G$72,0))+assumptions!$G$74/12)+IF(11=E36,D36*assumptions!$G$75,0),0)</f>
        <v>0</v>
      </c>
      <c r="R36" s="19" t="n">
        <f aca="false">IF(AND(12&gt;=E36,OR(F36="",12&lt;=F36)),(D36*(1+assumptions!$G$76)^0/12*(1+assumptions!$G$70+assumptions!$G$71+IF(12&gt;=assumptions!$G$73,assumptions!$G$72,0))+assumptions!$G$74/12)+IF(12=E36,D36*assumptions!$G$75,0),0)</f>
        <v>0</v>
      </c>
      <c r="S36" s="19" t="n">
        <f aca="false">IF(AND(13&gt;=E36,OR(F36="",13&lt;=F36)),(D36*(1+assumptions!$G$76)^1/12*(1+assumptions!$G$70+assumptions!$G$71+IF(13&gt;=assumptions!$G$73,assumptions!$G$72,0))+assumptions!$G$74/12)+IF(13=E36,D36*assumptions!$G$75,0),0)</f>
        <v>0</v>
      </c>
      <c r="T36" s="19" t="n">
        <f aca="false">IF(AND(14&gt;=E36,OR(F36="",14&lt;=F36)),(D36*(1+assumptions!$G$76)^1/12*(1+assumptions!$G$70+assumptions!$G$71+IF(14&gt;=assumptions!$G$73,assumptions!$G$72,0))+assumptions!$G$74/12)+IF(14=E36,D36*assumptions!$G$75,0),0)</f>
        <v>0</v>
      </c>
      <c r="U36" s="19" t="n">
        <f aca="false">IF(AND(15&gt;=E36,OR(F36="",15&lt;=F36)),(D36*(1+assumptions!$G$76)^1/12*(1+assumptions!$G$70+assumptions!$G$71+IF(15&gt;=assumptions!$G$73,assumptions!$G$72,0))+assumptions!$G$74/12)+IF(15=E36,D36*assumptions!$G$75,0),0)</f>
        <v>0</v>
      </c>
      <c r="V36" s="19" t="n">
        <f aca="false">IF(AND(16&gt;=E36,OR(F36="",16&lt;=F36)),(D36*(1+assumptions!$G$76)^1/12*(1+assumptions!$G$70+assumptions!$G$71+IF(16&gt;=assumptions!$G$73,assumptions!$G$72,0))+assumptions!$G$74/12)+IF(16=E36,D36*assumptions!$G$75,0),0)</f>
        <v>0</v>
      </c>
      <c r="W36" s="19" t="n">
        <f aca="false">IF(AND(17&gt;=E36,OR(F36="",17&lt;=F36)),(D36*(1+assumptions!$G$76)^1/12*(1+assumptions!$G$70+assumptions!$G$71+IF(17&gt;=assumptions!$G$73,assumptions!$G$72,0))+assumptions!$G$74/12)+IF(17=E36,D36*assumptions!$G$75,0),0)</f>
        <v>0</v>
      </c>
      <c r="X36" s="19" t="n">
        <f aca="false">IF(AND(18&gt;=E36,OR(F36="",18&lt;=F36)),(D36*(1+assumptions!$G$76)^1/12*(1+assumptions!$G$70+assumptions!$G$71+IF(18&gt;=assumptions!$G$73,assumptions!$G$72,0))+assumptions!$G$74/12)+IF(18=E36,D36*assumptions!$G$75,0),0)</f>
        <v>0</v>
      </c>
      <c r="Y36" s="19" t="n">
        <f aca="false">IF(AND(19&gt;=E36,OR(F36="",19&lt;=F36)),(D36*(1+assumptions!$G$76)^1/12*(1+assumptions!$G$70+assumptions!$G$71+IF(19&gt;=assumptions!$G$73,assumptions!$G$72,0))+assumptions!$G$74/12)+IF(19=E36,D36*assumptions!$G$75,0),0)</f>
        <v>0</v>
      </c>
      <c r="Z36" s="19" t="n">
        <f aca="false">IF(AND(20&gt;=E36,OR(F36="",20&lt;=F36)),(D36*(1+assumptions!$G$76)^1/12*(1+assumptions!$G$70+assumptions!$G$71+IF(20&gt;=assumptions!$G$73,assumptions!$G$72,0))+assumptions!$G$74/12)+IF(20=E36,D36*assumptions!$G$75,0),0)</f>
        <v>0</v>
      </c>
      <c r="AA36" s="19" t="n">
        <f aca="false">IF(AND(21&gt;=E36,OR(F36="",21&lt;=F36)),(D36*(1+assumptions!$G$76)^1/12*(1+assumptions!$G$70+assumptions!$G$71+IF(21&gt;=assumptions!$G$73,assumptions!$G$72,0))+assumptions!$G$74/12)+IF(21=E36,D36*assumptions!$G$75,0),0)</f>
        <v>0</v>
      </c>
      <c r="AB36" s="19" t="n">
        <f aca="false">IF(AND(22&gt;=E36,OR(F36="",22&lt;=F36)),(D36*(1+assumptions!$G$76)^1/12*(1+assumptions!$G$70+assumptions!$G$71+IF(22&gt;=assumptions!$G$73,assumptions!$G$72,0))+assumptions!$G$74/12)+IF(22=E36,D36*assumptions!$G$75,0),0)</f>
        <v>0</v>
      </c>
      <c r="AC36" s="19" t="n">
        <f aca="false">IF(AND(23&gt;=E36,OR(F36="",23&lt;=F36)),(D36*(1+assumptions!$G$76)^1/12*(1+assumptions!$G$70+assumptions!$G$71+IF(23&gt;=assumptions!$G$73,assumptions!$G$72,0))+assumptions!$G$74/12)+IF(23=E36,D36*assumptions!$G$75,0),0)</f>
        <v>0</v>
      </c>
      <c r="AD36" s="19" t="n">
        <f aca="false">IF(AND(24&gt;=E36,OR(F36="",24&lt;=F36)),(D36*(1+assumptions!$G$76)^1/12*(1+assumptions!$G$70+assumptions!$G$71+IF(24&gt;=assumptions!$G$73,assumptions!$G$72,0))+assumptions!$G$74/12)+IF(24=E36,D36*assumptions!$G$75,0),0)</f>
        <v>0</v>
      </c>
      <c r="AE36" s="19" t="n">
        <f aca="false">IF(AND(25&gt;=E36,OR(F36="",25&lt;=F36)),(D36*(1+assumptions!$G$76)^2/12*(1+assumptions!$G$70+assumptions!$G$71+IF(25&gt;=assumptions!$G$73,assumptions!$G$72,0))+assumptions!$G$74/12)+IF(25=E36,D36*assumptions!$G$75,0),0)</f>
        <v>0</v>
      </c>
      <c r="AF36" s="19" t="n">
        <f aca="false">IF(AND(26&gt;=E36,OR(F36="",26&lt;=F36)),(D36*(1+assumptions!$G$76)^2/12*(1+assumptions!$G$70+assumptions!$G$71+IF(26&gt;=assumptions!$G$73,assumptions!$G$72,0))+assumptions!$G$74/12)+IF(26=E36,D36*assumptions!$G$75,0),0)</f>
        <v>0</v>
      </c>
      <c r="AG36" s="19" t="n">
        <f aca="false">IF(AND(27&gt;=E36,OR(F36="",27&lt;=F36)),(D36*(1+assumptions!$G$76)^2/12*(1+assumptions!$G$70+assumptions!$G$71+IF(27&gt;=assumptions!$G$73,assumptions!$G$72,0))+assumptions!$G$74/12)+IF(27=E36,D36*assumptions!$G$75,0),0)</f>
        <v>0</v>
      </c>
      <c r="AH36" s="19" t="n">
        <f aca="false">IF(AND(28&gt;=E36,OR(F36="",28&lt;=F36)),(D36*(1+assumptions!$G$76)^2/12*(1+assumptions!$G$70+assumptions!$G$71+IF(28&gt;=assumptions!$G$73,assumptions!$G$72,0))+assumptions!$G$74/12)+IF(28=E36,D36*assumptions!$G$75,0),0)</f>
        <v>0</v>
      </c>
      <c r="AI36" s="19" t="n">
        <f aca="false">IF(AND(29&gt;=E36,OR(F36="",29&lt;=F36)),(D36*(1+assumptions!$G$76)^2/12*(1+assumptions!$G$70+assumptions!$G$71+IF(29&gt;=assumptions!$G$73,assumptions!$G$72,0))+assumptions!$G$74/12)+IF(29=E36,D36*assumptions!$G$75,0),0)</f>
        <v>0</v>
      </c>
      <c r="AJ36" s="19" t="n">
        <f aca="false">IF(AND(30&gt;=E36,OR(F36="",30&lt;=F36)),(D36*(1+assumptions!$G$76)^2/12*(1+assumptions!$G$70+assumptions!$G$71+IF(30&gt;=assumptions!$G$73,assumptions!$G$72,0))+assumptions!$G$74/12)+IF(30=E36,D36*assumptions!$G$75,0),0)</f>
        <v>0</v>
      </c>
      <c r="AK36" s="19" t="n">
        <f aca="false">IF(AND(31&gt;=E36,OR(F36="",31&lt;=F36)),(D36*(1+assumptions!$G$76)^2/12*(1+assumptions!$G$70+assumptions!$G$71+IF(31&gt;=assumptions!$G$73,assumptions!$G$72,0))+assumptions!$G$74/12)+IF(31=E36,D36*assumptions!$G$75,0),0)</f>
        <v>0</v>
      </c>
      <c r="AL36" s="19" t="n">
        <f aca="false">IF(AND(32&gt;=E36,OR(F36="",32&lt;=F36)),(D36*(1+assumptions!$G$76)^2/12*(1+assumptions!$G$70+assumptions!$G$71+IF(32&gt;=assumptions!$G$73,assumptions!$G$72,0))+assumptions!$G$74/12)+IF(32=E36,D36*assumptions!$G$75,0),0)</f>
        <v>0</v>
      </c>
      <c r="AM36" s="19" t="n">
        <f aca="false">IF(AND(33&gt;=E36,OR(F36="",33&lt;=F36)),(D36*(1+assumptions!$G$76)^2/12*(1+assumptions!$G$70+assumptions!$G$71+IF(33&gt;=assumptions!$G$73,assumptions!$G$72,0))+assumptions!$G$74/12)+IF(33=E36,D36*assumptions!$G$75,0),0)</f>
        <v>0</v>
      </c>
      <c r="AN36" s="19" t="n">
        <f aca="false">IF(AND(34&gt;=E36,OR(F36="",34&lt;=F36)),(D36*(1+assumptions!$G$76)^2/12*(1+assumptions!$G$70+assumptions!$G$71+IF(34&gt;=assumptions!$G$73,assumptions!$G$72,0))+assumptions!$G$74/12)+IF(34=E36,D36*assumptions!$G$75,0),0)</f>
        <v>0</v>
      </c>
      <c r="AO36" s="19" t="n">
        <f aca="false">IF(AND(35&gt;=E36,OR(F36="",35&lt;=F36)),(D36*(1+assumptions!$G$76)^2/12*(1+assumptions!$G$70+assumptions!$G$71+IF(35&gt;=assumptions!$G$73,assumptions!$G$72,0))+assumptions!$G$74/12)+IF(35=E36,D36*assumptions!$G$75,0),0)</f>
        <v>0</v>
      </c>
      <c r="AP36" s="19" t="n">
        <f aca="false">IF(AND(36&gt;=E36,OR(F36="",36&lt;=F36)),(D36*(1+assumptions!$G$76)^2/12*(1+assumptions!$G$70+assumptions!$G$71+IF(36&gt;=assumptions!$G$73,assumptions!$G$72,0))+assumptions!$G$74/12)+IF(36=E36,D36*assumptions!$G$75,0),0)</f>
        <v>0</v>
      </c>
      <c r="AQ36" s="19" t="n">
        <f aca="false">IF(AND(37&gt;=E36,OR(F36="",37&lt;=F36)),(D36*(1+assumptions!$G$76)^3/12*(1+assumptions!$G$70+assumptions!$G$71+IF(37&gt;=assumptions!$G$73,assumptions!$G$72,0))+assumptions!$G$74/12)+IF(37=E36,D36*assumptions!$G$75,0),0)</f>
        <v>0</v>
      </c>
      <c r="AR36" s="19" t="n">
        <f aca="false">IF(AND(38&gt;=E36,OR(F36="",38&lt;=F36)),(D36*(1+assumptions!$G$76)^3/12*(1+assumptions!$G$70+assumptions!$G$71+IF(38&gt;=assumptions!$G$73,assumptions!$G$72,0))+assumptions!$G$74/12)+IF(38=E36,D36*assumptions!$G$75,0),0)</f>
        <v>0</v>
      </c>
      <c r="AS36" s="19" t="n">
        <f aca="false">IF(AND(39&gt;=E36,OR(F36="",39&lt;=F36)),(D36*(1+assumptions!$G$76)^3/12*(1+assumptions!$G$70+assumptions!$G$71+IF(39&gt;=assumptions!$G$73,assumptions!$G$72,0))+assumptions!$G$74/12)+IF(39=E36,D36*assumptions!$G$75,0),0)</f>
        <v>0</v>
      </c>
      <c r="AT36" s="19" t="n">
        <f aca="false">IF(AND(40&gt;=E36,OR(F36="",40&lt;=F36)),(D36*(1+assumptions!$G$76)^3/12*(1+assumptions!$G$70+assumptions!$G$71+IF(40&gt;=assumptions!$G$73,assumptions!$G$72,0))+assumptions!$G$74/12)+IF(40=E36,D36*assumptions!$G$75,0),0)</f>
        <v>0</v>
      </c>
      <c r="AU36" s="19" t="n">
        <f aca="false">IF(AND(41&gt;=E36,OR(F36="",41&lt;=F36)),(D36*(1+assumptions!$G$76)^3/12*(1+assumptions!$G$70+assumptions!$G$71+IF(41&gt;=assumptions!$G$73,assumptions!$G$72,0))+assumptions!$G$74/12)+IF(41=E36,D36*assumptions!$G$75,0),0)</f>
        <v>0</v>
      </c>
      <c r="AV36" s="19" t="n">
        <f aca="false">IF(AND(42&gt;=E36,OR(F36="",42&lt;=F36)),(D36*(1+assumptions!$G$76)^3/12*(1+assumptions!$G$70+assumptions!$G$71+IF(42&gt;=assumptions!$G$73,assumptions!$G$72,0))+assumptions!$G$74/12)+IF(42=E36,D36*assumptions!$G$75,0),0)</f>
        <v>0</v>
      </c>
      <c r="AW36" s="19" t="n">
        <f aca="false">IF(AND(43&gt;=E36,OR(F36="",43&lt;=F36)),(D36*(1+assumptions!$G$76)^3/12*(1+assumptions!$G$70+assumptions!$G$71+IF(43&gt;=assumptions!$G$73,assumptions!$G$72,0))+assumptions!$G$74/12)+IF(43=E36,D36*assumptions!$G$75,0),0)</f>
        <v>0</v>
      </c>
      <c r="AX36" s="19" t="n">
        <f aca="false">IF(AND(44&gt;=E36,OR(F36="",44&lt;=F36)),(D36*(1+assumptions!$G$76)^3/12*(1+assumptions!$G$70+assumptions!$G$71+IF(44&gt;=assumptions!$G$73,assumptions!$G$72,0))+assumptions!$G$74/12)+IF(44=E36,D36*assumptions!$G$75,0),0)</f>
        <v>0</v>
      </c>
      <c r="AY36" s="19" t="n">
        <f aca="false">IF(AND(45&gt;=E36,OR(F36="",45&lt;=F36)),(D36*(1+assumptions!$G$76)^3/12*(1+assumptions!$G$70+assumptions!$G$71+IF(45&gt;=assumptions!$G$73,assumptions!$G$72,0))+assumptions!$G$74/12)+IF(45=E36,D36*assumptions!$G$75,0),0)</f>
        <v>0</v>
      </c>
      <c r="AZ36" s="19" t="n">
        <f aca="false">IF(AND(46&gt;=E36,OR(F36="",46&lt;=F36)),(D36*(1+assumptions!$G$76)^3/12*(1+assumptions!$G$70+assumptions!$G$71+IF(46&gt;=assumptions!$G$73,assumptions!$G$72,0))+assumptions!$G$74/12)+IF(46=E36,D36*assumptions!$G$75,0),0)</f>
        <v>0</v>
      </c>
      <c r="BA36" s="19" t="n">
        <f aca="false">IF(AND(47&gt;=E36,OR(F36="",47&lt;=F36)),(D36*(1+assumptions!$G$76)^3/12*(1+assumptions!$G$70+assumptions!$G$71+IF(47&gt;=assumptions!$G$73,assumptions!$G$72,0))+assumptions!$G$74/12)+IF(47=E36,D36*assumptions!$G$75,0),0)</f>
        <v>0</v>
      </c>
      <c r="BB36" s="19" t="n">
        <f aca="false">IF(AND(48&gt;=E36,OR(F36="",48&lt;=F36)),(D36*(1+assumptions!$G$76)^3/12*(1+assumptions!$G$70+assumptions!$G$71+IF(48&gt;=assumptions!$G$73,assumptions!$G$72,0))+assumptions!$G$74/12)+IF(48=E36,D36*assumptions!$G$75,0),0)</f>
        <v>14597.55008</v>
      </c>
      <c r="BC36" s="19" t="n">
        <f aca="false">IF(AND(49&gt;=E36,OR(F36="",49&lt;=F36)),(D36*(1+assumptions!$G$76)^4/12*(1+assumptions!$G$70+assumptions!$G$71+IF(49&gt;=assumptions!$G$73,assumptions!$G$72,0))+assumptions!$G$74/12)+IF(49=E36,D36*assumptions!$G$75,0),0)</f>
        <v>6589.4520832</v>
      </c>
      <c r="BD36" s="19" t="n">
        <f aca="false">IF(AND(50&gt;=E36,OR(F36="",50&lt;=F36)),(D36*(1+assumptions!$G$76)^4/12*(1+assumptions!$G$70+assumptions!$G$71+IF(50&gt;=assumptions!$G$73,assumptions!$G$72,0))+assumptions!$G$74/12)+IF(50=E36,D36*assumptions!$G$75,0),0)</f>
        <v>6589.4520832</v>
      </c>
      <c r="BE36" s="19" t="n">
        <f aca="false">IF(AND(51&gt;=E36,OR(F36="",51&lt;=F36)),(D36*(1+assumptions!$G$76)^4/12*(1+assumptions!$G$70+assumptions!$G$71+IF(51&gt;=assumptions!$G$73,assumptions!$G$72,0))+assumptions!$G$74/12)+IF(51=E36,D36*assumptions!$G$75,0),0)</f>
        <v>6589.4520832</v>
      </c>
      <c r="BF36" s="19" t="n">
        <f aca="false">IF(AND(52&gt;=E36,OR(F36="",52&lt;=F36)),(D36*(1+assumptions!$G$76)^4/12*(1+assumptions!$G$70+assumptions!$G$71+IF(52&gt;=assumptions!$G$73,assumptions!$G$72,0))+assumptions!$G$74/12)+IF(52=E36,D36*assumptions!$G$75,0),0)</f>
        <v>6589.4520832</v>
      </c>
      <c r="BG36" s="19" t="n">
        <f aca="false">IF(AND(53&gt;=E36,OR(F36="",53&lt;=F36)),(D36*(1+assumptions!$G$76)^4/12*(1+assumptions!$G$70+assumptions!$G$71+IF(53&gt;=assumptions!$G$73,assumptions!$G$72,0))+assumptions!$G$74/12)+IF(53=E36,D36*assumptions!$G$75,0),0)</f>
        <v>6589.4520832</v>
      </c>
      <c r="BH36" s="19" t="n">
        <f aca="false">IF(AND(54&gt;=E36,OR(F36="",54&lt;=F36)),(D36*(1+assumptions!$G$76)^4/12*(1+assumptions!$G$70+assumptions!$G$71+IF(54&gt;=assumptions!$G$73,assumptions!$G$72,0))+assumptions!$G$74/12)+IF(54=E36,D36*assumptions!$G$75,0),0)</f>
        <v>6589.4520832</v>
      </c>
      <c r="BI36" s="19" t="n">
        <f aca="false">IF(AND(55&gt;=E36,OR(F36="",55&lt;=F36)),(D36*(1+assumptions!$G$76)^4/12*(1+assumptions!$G$70+assumptions!$G$71+IF(55&gt;=assumptions!$G$73,assumptions!$G$72,0))+assumptions!$G$74/12)+IF(55=E36,D36*assumptions!$G$75,0),0)</f>
        <v>6589.4520832</v>
      </c>
      <c r="BJ36" s="19" t="n">
        <f aca="false">IF(AND(56&gt;=E36,OR(F36="",56&lt;=F36)),(D36*(1+assumptions!$G$76)^4/12*(1+assumptions!$G$70+assumptions!$G$71+IF(56&gt;=assumptions!$G$73,assumptions!$G$72,0))+assumptions!$G$74/12)+IF(56=E36,D36*assumptions!$G$75,0),0)</f>
        <v>6589.4520832</v>
      </c>
      <c r="BK36" s="19" t="n">
        <f aca="false">IF(AND(57&gt;=E36,OR(F36="",57&lt;=F36)),(D36*(1+assumptions!$G$76)^4/12*(1+assumptions!$G$70+assumptions!$G$71+IF(57&gt;=assumptions!$G$73,assumptions!$G$72,0))+assumptions!$G$74/12)+IF(57=E36,D36*assumptions!$G$75,0),0)</f>
        <v>6589.4520832</v>
      </c>
      <c r="BL36" s="19" t="n">
        <f aca="false">IF(AND(58&gt;=E36,OR(F36="",58&lt;=F36)),(D36*(1+assumptions!$G$76)^4/12*(1+assumptions!$G$70+assumptions!$G$71+IF(58&gt;=assumptions!$G$73,assumptions!$G$72,0))+assumptions!$G$74/12)+IF(58=E36,D36*assumptions!$G$75,0),0)</f>
        <v>6589.4520832</v>
      </c>
      <c r="BM36" s="19" t="n">
        <f aca="false">IF(AND(59&gt;=E36,OR(F36="",59&lt;=F36)),(D36*(1+assumptions!$G$76)^4/12*(1+assumptions!$G$70+assumptions!$G$71+IF(59&gt;=assumptions!$G$73,assumptions!$G$72,0))+assumptions!$G$74/12)+IF(59=E36,D36*assumptions!$G$75,0),0)</f>
        <v>6589.4520832</v>
      </c>
      <c r="BN36" s="19" t="n">
        <f aca="false">IF(AND(60&gt;=E36,OR(F36="",60&lt;=F36)),(D36*(1+assumptions!$G$76)^4/12*(1+assumptions!$G$70+assumptions!$G$71+IF(60&gt;=assumptions!$G$73,assumptions!$G$72,0))+assumptions!$G$74/12)+IF(60=E36,D36*assumptions!$G$75,0),0)</f>
        <v>6589.4520832</v>
      </c>
    </row>
    <row r="37" customFormat="false" ht="14.25" hidden="false" customHeight="false" outlineLevel="0" collapsed="false">
      <c r="A37" s="7" t="n">
        <v>34</v>
      </c>
      <c r="B37" s="7" t="s">
        <v>377</v>
      </c>
      <c r="C37" s="7" t="s">
        <v>340</v>
      </c>
      <c r="D37" s="17" t="n">
        <v>95000</v>
      </c>
      <c r="E37" s="49" t="n">
        <v>50</v>
      </c>
      <c r="F37" s="49"/>
      <c r="G37" s="19" t="n">
        <f aca="false">IF(AND(1&gt;=E37,OR(F37="",1&lt;=F37)),(D37*(1+assumptions!$G$76)^0/12*(1+assumptions!$G$70+assumptions!$G$71+IF(1&gt;=assumptions!$G$73,assumptions!$G$72,0))+assumptions!$G$74/12)+IF(1=E37,D37*assumptions!$G$75,0),0)</f>
        <v>0</v>
      </c>
      <c r="H37" s="19" t="n">
        <f aca="false">IF(AND(2&gt;=E37,OR(F37="",2&lt;=F37)),(D37*(1+assumptions!$G$76)^0/12*(1+assumptions!$G$70+assumptions!$G$71+IF(2&gt;=assumptions!$G$73,assumptions!$G$72,0))+assumptions!$G$74/12)+IF(2=E37,D37*assumptions!$G$75,0),0)</f>
        <v>0</v>
      </c>
      <c r="I37" s="19" t="n">
        <f aca="false">IF(AND(3&gt;=E37,OR(F37="",3&lt;=F37)),(D37*(1+assumptions!$G$76)^0/12*(1+assumptions!$G$70+assumptions!$G$71+IF(3&gt;=assumptions!$G$73,assumptions!$G$72,0))+assumptions!$G$74/12)+IF(3=E37,D37*assumptions!$G$75,0),0)</f>
        <v>0</v>
      </c>
      <c r="J37" s="19" t="n">
        <f aca="false">IF(AND(4&gt;=E37,OR(F37="",4&lt;=F37)),(D37*(1+assumptions!$G$76)^0/12*(1+assumptions!$G$70+assumptions!$G$71+IF(4&gt;=assumptions!$G$73,assumptions!$G$72,0))+assumptions!$G$74/12)+IF(4=E37,D37*assumptions!$G$75,0),0)</f>
        <v>0</v>
      </c>
      <c r="K37" s="19" t="n">
        <f aca="false">IF(AND(5&gt;=E37,OR(F37="",5&lt;=F37)),(D37*(1+assumptions!$G$76)^0/12*(1+assumptions!$G$70+assumptions!$G$71+IF(5&gt;=assumptions!$G$73,assumptions!$G$72,0))+assumptions!$G$74/12)+IF(5=E37,D37*assumptions!$G$75,0),0)</f>
        <v>0</v>
      </c>
      <c r="L37" s="19" t="n">
        <f aca="false">IF(AND(6&gt;=E37,OR(F37="",6&lt;=F37)),(D37*(1+assumptions!$G$76)^0/12*(1+assumptions!$G$70+assumptions!$G$71+IF(6&gt;=assumptions!$G$73,assumptions!$G$72,0))+assumptions!$G$74/12)+IF(6=E37,D37*assumptions!$G$75,0),0)</f>
        <v>0</v>
      </c>
      <c r="M37" s="19" t="n">
        <f aca="false">IF(AND(7&gt;=E37,OR(F37="",7&lt;=F37)),(D37*(1+assumptions!$G$76)^0/12*(1+assumptions!$G$70+assumptions!$G$71+IF(7&gt;=assumptions!$G$73,assumptions!$G$72,0))+assumptions!$G$74/12)+IF(7=E37,D37*assumptions!$G$75,0),0)</f>
        <v>0</v>
      </c>
      <c r="N37" s="19" t="n">
        <f aca="false">IF(AND(8&gt;=E37,OR(F37="",8&lt;=F37)),(D37*(1+assumptions!$G$76)^0/12*(1+assumptions!$G$70+assumptions!$G$71+IF(8&gt;=assumptions!$G$73,assumptions!$G$72,0))+assumptions!$G$74/12)+IF(8=E37,D37*assumptions!$G$75,0),0)</f>
        <v>0</v>
      </c>
      <c r="O37" s="19" t="n">
        <f aca="false">IF(AND(9&gt;=E37,OR(F37="",9&lt;=F37)),(D37*(1+assumptions!$G$76)^0/12*(1+assumptions!$G$70+assumptions!$G$71+IF(9&gt;=assumptions!$G$73,assumptions!$G$72,0))+assumptions!$G$74/12)+IF(9=E37,D37*assumptions!$G$75,0),0)</f>
        <v>0</v>
      </c>
      <c r="P37" s="19" t="n">
        <f aca="false">IF(AND(10&gt;=E37,OR(F37="",10&lt;=F37)),(D37*(1+assumptions!$G$76)^0/12*(1+assumptions!$G$70+assumptions!$G$71+IF(10&gt;=assumptions!$G$73,assumptions!$G$72,0))+assumptions!$G$74/12)+IF(10=E37,D37*assumptions!$G$75,0),0)</f>
        <v>0</v>
      </c>
      <c r="Q37" s="19" t="n">
        <f aca="false">IF(AND(11&gt;=E37,OR(F37="",11&lt;=F37)),(D37*(1+assumptions!$G$76)^0/12*(1+assumptions!$G$70+assumptions!$G$71+IF(11&gt;=assumptions!$G$73,assumptions!$G$72,0))+assumptions!$G$74/12)+IF(11=E37,D37*assumptions!$G$75,0),0)</f>
        <v>0</v>
      </c>
      <c r="R37" s="19" t="n">
        <f aca="false">IF(AND(12&gt;=E37,OR(F37="",12&lt;=F37)),(D37*(1+assumptions!$G$76)^0/12*(1+assumptions!$G$70+assumptions!$G$71+IF(12&gt;=assumptions!$G$73,assumptions!$G$72,0))+assumptions!$G$74/12)+IF(12=E37,D37*assumptions!$G$75,0),0)</f>
        <v>0</v>
      </c>
      <c r="S37" s="19" t="n">
        <f aca="false">IF(AND(13&gt;=E37,OR(F37="",13&lt;=F37)),(D37*(1+assumptions!$G$76)^1/12*(1+assumptions!$G$70+assumptions!$G$71+IF(13&gt;=assumptions!$G$73,assumptions!$G$72,0))+assumptions!$G$74/12)+IF(13=E37,D37*assumptions!$G$75,0),0)</f>
        <v>0</v>
      </c>
      <c r="T37" s="19" t="n">
        <f aca="false">IF(AND(14&gt;=E37,OR(F37="",14&lt;=F37)),(D37*(1+assumptions!$G$76)^1/12*(1+assumptions!$G$70+assumptions!$G$71+IF(14&gt;=assumptions!$G$73,assumptions!$G$72,0))+assumptions!$G$74/12)+IF(14=E37,D37*assumptions!$G$75,0),0)</f>
        <v>0</v>
      </c>
      <c r="U37" s="19" t="n">
        <f aca="false">IF(AND(15&gt;=E37,OR(F37="",15&lt;=F37)),(D37*(1+assumptions!$G$76)^1/12*(1+assumptions!$G$70+assumptions!$G$71+IF(15&gt;=assumptions!$G$73,assumptions!$G$72,0))+assumptions!$G$74/12)+IF(15=E37,D37*assumptions!$G$75,0),0)</f>
        <v>0</v>
      </c>
      <c r="V37" s="19" t="n">
        <f aca="false">IF(AND(16&gt;=E37,OR(F37="",16&lt;=F37)),(D37*(1+assumptions!$G$76)^1/12*(1+assumptions!$G$70+assumptions!$G$71+IF(16&gt;=assumptions!$G$73,assumptions!$G$72,0))+assumptions!$G$74/12)+IF(16=E37,D37*assumptions!$G$75,0),0)</f>
        <v>0</v>
      </c>
      <c r="W37" s="19" t="n">
        <f aca="false">IF(AND(17&gt;=E37,OR(F37="",17&lt;=F37)),(D37*(1+assumptions!$G$76)^1/12*(1+assumptions!$G$70+assumptions!$G$71+IF(17&gt;=assumptions!$G$73,assumptions!$G$72,0))+assumptions!$G$74/12)+IF(17=E37,D37*assumptions!$G$75,0),0)</f>
        <v>0</v>
      </c>
      <c r="X37" s="19" t="n">
        <f aca="false">IF(AND(18&gt;=E37,OR(F37="",18&lt;=F37)),(D37*(1+assumptions!$G$76)^1/12*(1+assumptions!$G$70+assumptions!$G$71+IF(18&gt;=assumptions!$G$73,assumptions!$G$72,0))+assumptions!$G$74/12)+IF(18=E37,D37*assumptions!$G$75,0),0)</f>
        <v>0</v>
      </c>
      <c r="Y37" s="19" t="n">
        <f aca="false">IF(AND(19&gt;=E37,OR(F37="",19&lt;=F37)),(D37*(1+assumptions!$G$76)^1/12*(1+assumptions!$G$70+assumptions!$G$71+IF(19&gt;=assumptions!$G$73,assumptions!$G$72,0))+assumptions!$G$74/12)+IF(19=E37,D37*assumptions!$G$75,0),0)</f>
        <v>0</v>
      </c>
      <c r="Z37" s="19" t="n">
        <f aca="false">IF(AND(20&gt;=E37,OR(F37="",20&lt;=F37)),(D37*(1+assumptions!$G$76)^1/12*(1+assumptions!$G$70+assumptions!$G$71+IF(20&gt;=assumptions!$G$73,assumptions!$G$72,0))+assumptions!$G$74/12)+IF(20=E37,D37*assumptions!$G$75,0),0)</f>
        <v>0</v>
      </c>
      <c r="AA37" s="19" t="n">
        <f aca="false">IF(AND(21&gt;=E37,OR(F37="",21&lt;=F37)),(D37*(1+assumptions!$G$76)^1/12*(1+assumptions!$G$70+assumptions!$G$71+IF(21&gt;=assumptions!$G$73,assumptions!$G$72,0))+assumptions!$G$74/12)+IF(21=E37,D37*assumptions!$G$75,0),0)</f>
        <v>0</v>
      </c>
      <c r="AB37" s="19" t="n">
        <f aca="false">IF(AND(22&gt;=E37,OR(F37="",22&lt;=F37)),(D37*(1+assumptions!$G$76)^1/12*(1+assumptions!$G$70+assumptions!$G$71+IF(22&gt;=assumptions!$G$73,assumptions!$G$72,0))+assumptions!$G$74/12)+IF(22=E37,D37*assumptions!$G$75,0),0)</f>
        <v>0</v>
      </c>
      <c r="AC37" s="19" t="n">
        <f aca="false">IF(AND(23&gt;=E37,OR(F37="",23&lt;=F37)),(D37*(1+assumptions!$G$76)^1/12*(1+assumptions!$G$70+assumptions!$G$71+IF(23&gt;=assumptions!$G$73,assumptions!$G$72,0))+assumptions!$G$74/12)+IF(23=E37,D37*assumptions!$G$75,0),0)</f>
        <v>0</v>
      </c>
      <c r="AD37" s="19" t="n">
        <f aca="false">IF(AND(24&gt;=E37,OR(F37="",24&lt;=F37)),(D37*(1+assumptions!$G$76)^1/12*(1+assumptions!$G$70+assumptions!$G$71+IF(24&gt;=assumptions!$G$73,assumptions!$G$72,0))+assumptions!$G$74/12)+IF(24=E37,D37*assumptions!$G$75,0),0)</f>
        <v>0</v>
      </c>
      <c r="AE37" s="19" t="n">
        <f aca="false">IF(AND(25&gt;=E37,OR(F37="",25&lt;=F37)),(D37*(1+assumptions!$G$76)^2/12*(1+assumptions!$G$70+assumptions!$G$71+IF(25&gt;=assumptions!$G$73,assumptions!$G$72,0))+assumptions!$G$74/12)+IF(25=E37,D37*assumptions!$G$75,0),0)</f>
        <v>0</v>
      </c>
      <c r="AF37" s="19" t="n">
        <f aca="false">IF(AND(26&gt;=E37,OR(F37="",26&lt;=F37)),(D37*(1+assumptions!$G$76)^2/12*(1+assumptions!$G$70+assumptions!$G$71+IF(26&gt;=assumptions!$G$73,assumptions!$G$72,0))+assumptions!$G$74/12)+IF(26=E37,D37*assumptions!$G$75,0),0)</f>
        <v>0</v>
      </c>
      <c r="AG37" s="19" t="n">
        <f aca="false">IF(AND(27&gt;=E37,OR(F37="",27&lt;=F37)),(D37*(1+assumptions!$G$76)^2/12*(1+assumptions!$G$70+assumptions!$G$71+IF(27&gt;=assumptions!$G$73,assumptions!$G$72,0))+assumptions!$G$74/12)+IF(27=E37,D37*assumptions!$G$75,0),0)</f>
        <v>0</v>
      </c>
      <c r="AH37" s="19" t="n">
        <f aca="false">IF(AND(28&gt;=E37,OR(F37="",28&lt;=F37)),(D37*(1+assumptions!$G$76)^2/12*(1+assumptions!$G$70+assumptions!$G$71+IF(28&gt;=assumptions!$G$73,assumptions!$G$72,0))+assumptions!$G$74/12)+IF(28=E37,D37*assumptions!$G$75,0),0)</f>
        <v>0</v>
      </c>
      <c r="AI37" s="19" t="n">
        <f aca="false">IF(AND(29&gt;=E37,OR(F37="",29&lt;=F37)),(D37*(1+assumptions!$G$76)^2/12*(1+assumptions!$G$70+assumptions!$G$71+IF(29&gt;=assumptions!$G$73,assumptions!$G$72,0))+assumptions!$G$74/12)+IF(29=E37,D37*assumptions!$G$75,0),0)</f>
        <v>0</v>
      </c>
      <c r="AJ37" s="19" t="n">
        <f aca="false">IF(AND(30&gt;=E37,OR(F37="",30&lt;=F37)),(D37*(1+assumptions!$G$76)^2/12*(1+assumptions!$G$70+assumptions!$G$71+IF(30&gt;=assumptions!$G$73,assumptions!$G$72,0))+assumptions!$G$74/12)+IF(30=E37,D37*assumptions!$G$75,0),0)</f>
        <v>0</v>
      </c>
      <c r="AK37" s="19" t="n">
        <f aca="false">IF(AND(31&gt;=E37,OR(F37="",31&lt;=F37)),(D37*(1+assumptions!$G$76)^2/12*(1+assumptions!$G$70+assumptions!$G$71+IF(31&gt;=assumptions!$G$73,assumptions!$G$72,0))+assumptions!$G$74/12)+IF(31=E37,D37*assumptions!$G$75,0),0)</f>
        <v>0</v>
      </c>
      <c r="AL37" s="19" t="n">
        <f aca="false">IF(AND(32&gt;=E37,OR(F37="",32&lt;=F37)),(D37*(1+assumptions!$G$76)^2/12*(1+assumptions!$G$70+assumptions!$G$71+IF(32&gt;=assumptions!$G$73,assumptions!$G$72,0))+assumptions!$G$74/12)+IF(32=E37,D37*assumptions!$G$75,0),0)</f>
        <v>0</v>
      </c>
      <c r="AM37" s="19" t="n">
        <f aca="false">IF(AND(33&gt;=E37,OR(F37="",33&lt;=F37)),(D37*(1+assumptions!$G$76)^2/12*(1+assumptions!$G$70+assumptions!$G$71+IF(33&gt;=assumptions!$G$73,assumptions!$G$72,0))+assumptions!$G$74/12)+IF(33=E37,D37*assumptions!$G$75,0),0)</f>
        <v>0</v>
      </c>
      <c r="AN37" s="19" t="n">
        <f aca="false">IF(AND(34&gt;=E37,OR(F37="",34&lt;=F37)),(D37*(1+assumptions!$G$76)^2/12*(1+assumptions!$G$70+assumptions!$G$71+IF(34&gt;=assumptions!$G$73,assumptions!$G$72,0))+assumptions!$G$74/12)+IF(34=E37,D37*assumptions!$G$75,0),0)</f>
        <v>0</v>
      </c>
      <c r="AO37" s="19" t="n">
        <f aca="false">IF(AND(35&gt;=E37,OR(F37="",35&lt;=F37)),(D37*(1+assumptions!$G$76)^2/12*(1+assumptions!$G$70+assumptions!$G$71+IF(35&gt;=assumptions!$G$73,assumptions!$G$72,0))+assumptions!$G$74/12)+IF(35=E37,D37*assumptions!$G$75,0),0)</f>
        <v>0</v>
      </c>
      <c r="AP37" s="19" t="n">
        <f aca="false">IF(AND(36&gt;=E37,OR(F37="",36&lt;=F37)),(D37*(1+assumptions!$G$76)^2/12*(1+assumptions!$G$70+assumptions!$G$71+IF(36&gt;=assumptions!$G$73,assumptions!$G$72,0))+assumptions!$G$74/12)+IF(36=E37,D37*assumptions!$G$75,0),0)</f>
        <v>0</v>
      </c>
      <c r="AQ37" s="19" t="n">
        <f aca="false">IF(AND(37&gt;=E37,OR(F37="",37&lt;=F37)),(D37*(1+assumptions!$G$76)^3/12*(1+assumptions!$G$70+assumptions!$G$71+IF(37&gt;=assumptions!$G$73,assumptions!$G$72,0))+assumptions!$G$74/12)+IF(37=E37,D37*assumptions!$G$75,0),0)</f>
        <v>0</v>
      </c>
      <c r="AR37" s="19" t="n">
        <f aca="false">IF(AND(38&gt;=E37,OR(F37="",38&lt;=F37)),(D37*(1+assumptions!$G$76)^3/12*(1+assumptions!$G$70+assumptions!$G$71+IF(38&gt;=assumptions!$G$73,assumptions!$G$72,0))+assumptions!$G$74/12)+IF(38=E37,D37*assumptions!$G$75,0),0)</f>
        <v>0</v>
      </c>
      <c r="AS37" s="19" t="n">
        <f aca="false">IF(AND(39&gt;=E37,OR(F37="",39&lt;=F37)),(D37*(1+assumptions!$G$76)^3/12*(1+assumptions!$G$70+assumptions!$G$71+IF(39&gt;=assumptions!$G$73,assumptions!$G$72,0))+assumptions!$G$74/12)+IF(39=E37,D37*assumptions!$G$75,0),0)</f>
        <v>0</v>
      </c>
      <c r="AT37" s="19" t="n">
        <f aca="false">IF(AND(40&gt;=E37,OR(F37="",40&lt;=F37)),(D37*(1+assumptions!$G$76)^3/12*(1+assumptions!$G$70+assumptions!$G$71+IF(40&gt;=assumptions!$G$73,assumptions!$G$72,0))+assumptions!$G$74/12)+IF(40=E37,D37*assumptions!$G$75,0),0)</f>
        <v>0</v>
      </c>
      <c r="AU37" s="19" t="n">
        <f aca="false">IF(AND(41&gt;=E37,OR(F37="",41&lt;=F37)),(D37*(1+assumptions!$G$76)^3/12*(1+assumptions!$G$70+assumptions!$G$71+IF(41&gt;=assumptions!$G$73,assumptions!$G$72,0))+assumptions!$G$74/12)+IF(41=E37,D37*assumptions!$G$75,0),0)</f>
        <v>0</v>
      </c>
      <c r="AV37" s="19" t="n">
        <f aca="false">IF(AND(42&gt;=E37,OR(F37="",42&lt;=F37)),(D37*(1+assumptions!$G$76)^3/12*(1+assumptions!$G$70+assumptions!$G$71+IF(42&gt;=assumptions!$G$73,assumptions!$G$72,0))+assumptions!$G$74/12)+IF(42=E37,D37*assumptions!$G$75,0),0)</f>
        <v>0</v>
      </c>
      <c r="AW37" s="19" t="n">
        <f aca="false">IF(AND(43&gt;=E37,OR(F37="",43&lt;=F37)),(D37*(1+assumptions!$G$76)^3/12*(1+assumptions!$G$70+assumptions!$G$71+IF(43&gt;=assumptions!$G$73,assumptions!$G$72,0))+assumptions!$G$74/12)+IF(43=E37,D37*assumptions!$G$75,0),0)</f>
        <v>0</v>
      </c>
      <c r="AX37" s="19" t="n">
        <f aca="false">IF(AND(44&gt;=E37,OR(F37="",44&lt;=F37)),(D37*(1+assumptions!$G$76)^3/12*(1+assumptions!$G$70+assumptions!$G$71+IF(44&gt;=assumptions!$G$73,assumptions!$G$72,0))+assumptions!$G$74/12)+IF(44=E37,D37*assumptions!$G$75,0),0)</f>
        <v>0</v>
      </c>
      <c r="AY37" s="19" t="n">
        <f aca="false">IF(AND(45&gt;=E37,OR(F37="",45&lt;=F37)),(D37*(1+assumptions!$G$76)^3/12*(1+assumptions!$G$70+assumptions!$G$71+IF(45&gt;=assumptions!$G$73,assumptions!$G$72,0))+assumptions!$G$74/12)+IF(45=E37,D37*assumptions!$G$75,0),0)</f>
        <v>0</v>
      </c>
      <c r="AZ37" s="19" t="n">
        <f aca="false">IF(AND(46&gt;=E37,OR(F37="",46&lt;=F37)),(D37*(1+assumptions!$G$76)^3/12*(1+assumptions!$G$70+assumptions!$G$71+IF(46&gt;=assumptions!$G$73,assumptions!$G$72,0))+assumptions!$G$74/12)+IF(46=E37,D37*assumptions!$G$75,0),0)</f>
        <v>0</v>
      </c>
      <c r="BA37" s="19" t="n">
        <f aca="false">IF(AND(47&gt;=E37,OR(F37="",47&lt;=F37)),(D37*(1+assumptions!$G$76)^3/12*(1+assumptions!$G$70+assumptions!$G$71+IF(47&gt;=assumptions!$G$73,assumptions!$G$72,0))+assumptions!$G$74/12)+IF(47=E37,D37*assumptions!$G$75,0),0)</f>
        <v>0</v>
      </c>
      <c r="BB37" s="19" t="n">
        <f aca="false">IF(AND(48&gt;=E37,OR(F37="",48&lt;=F37)),(D37*(1+assumptions!$G$76)^3/12*(1+assumptions!$G$70+assumptions!$G$71+IF(48&gt;=assumptions!$G$73,assumptions!$G$72,0))+assumptions!$G$74/12)+IF(48=E37,D37*assumptions!$G$75,0),0)</f>
        <v>0</v>
      </c>
      <c r="BC37" s="19" t="n">
        <f aca="false">IF(AND(49&gt;=E37,OR(F37="",49&lt;=F37)),(D37*(1+assumptions!$G$76)^4/12*(1+assumptions!$G$70+assumptions!$G$71+IF(49&gt;=assumptions!$G$73,assumptions!$G$72,0))+assumptions!$G$74/12)+IF(49=E37,D37*assumptions!$G$75,0),0)</f>
        <v>0</v>
      </c>
      <c r="BD37" s="19" t="n">
        <f aca="false">IF(AND(50&gt;=E37,OR(F37="",50&lt;=F37)),(D37*(1+assumptions!$G$76)^4/12*(1+assumptions!$G$70+assumptions!$G$71+IF(50&gt;=assumptions!$G$73,assumptions!$G$72,0))+assumptions!$G$74/12)+IF(50=E37,D37*assumptions!$G$75,0),0)</f>
        <v>25413.5990528</v>
      </c>
      <c r="BE37" s="19" t="n">
        <f aca="false">IF(AND(51&gt;=E37,OR(F37="",51&lt;=F37)),(D37*(1+assumptions!$G$76)^4/12*(1+assumptions!$G$70+assumptions!$G$71+IF(51&gt;=assumptions!$G$73,assumptions!$G$72,0))+assumptions!$G$74/12)+IF(51=E37,D37*assumptions!$G$75,0),0)</f>
        <v>11163.5990528</v>
      </c>
      <c r="BF37" s="19" t="n">
        <f aca="false">IF(AND(52&gt;=E37,OR(F37="",52&lt;=F37)),(D37*(1+assumptions!$G$76)^4/12*(1+assumptions!$G$70+assumptions!$G$71+IF(52&gt;=assumptions!$G$73,assumptions!$G$72,0))+assumptions!$G$74/12)+IF(52=E37,D37*assumptions!$G$75,0),0)</f>
        <v>11163.5990528</v>
      </c>
      <c r="BG37" s="19" t="n">
        <f aca="false">IF(AND(53&gt;=E37,OR(F37="",53&lt;=F37)),(D37*(1+assumptions!$G$76)^4/12*(1+assumptions!$G$70+assumptions!$G$71+IF(53&gt;=assumptions!$G$73,assumptions!$G$72,0))+assumptions!$G$74/12)+IF(53=E37,D37*assumptions!$G$75,0),0)</f>
        <v>11163.5990528</v>
      </c>
      <c r="BH37" s="19" t="n">
        <f aca="false">IF(AND(54&gt;=E37,OR(F37="",54&lt;=F37)),(D37*(1+assumptions!$G$76)^4/12*(1+assumptions!$G$70+assumptions!$G$71+IF(54&gt;=assumptions!$G$73,assumptions!$G$72,0))+assumptions!$G$74/12)+IF(54=E37,D37*assumptions!$G$75,0),0)</f>
        <v>11163.5990528</v>
      </c>
      <c r="BI37" s="19" t="n">
        <f aca="false">IF(AND(55&gt;=E37,OR(F37="",55&lt;=F37)),(D37*(1+assumptions!$G$76)^4/12*(1+assumptions!$G$70+assumptions!$G$71+IF(55&gt;=assumptions!$G$73,assumptions!$G$72,0))+assumptions!$G$74/12)+IF(55=E37,D37*assumptions!$G$75,0),0)</f>
        <v>11163.5990528</v>
      </c>
      <c r="BJ37" s="19" t="n">
        <f aca="false">IF(AND(56&gt;=E37,OR(F37="",56&lt;=F37)),(D37*(1+assumptions!$G$76)^4/12*(1+assumptions!$G$70+assumptions!$G$71+IF(56&gt;=assumptions!$G$73,assumptions!$G$72,0))+assumptions!$G$74/12)+IF(56=E37,D37*assumptions!$G$75,0),0)</f>
        <v>11163.5990528</v>
      </c>
      <c r="BK37" s="19" t="n">
        <f aca="false">IF(AND(57&gt;=E37,OR(F37="",57&lt;=F37)),(D37*(1+assumptions!$G$76)^4/12*(1+assumptions!$G$70+assumptions!$G$71+IF(57&gt;=assumptions!$G$73,assumptions!$G$72,0))+assumptions!$G$74/12)+IF(57=E37,D37*assumptions!$G$75,0),0)</f>
        <v>11163.5990528</v>
      </c>
      <c r="BL37" s="19" t="n">
        <f aca="false">IF(AND(58&gt;=E37,OR(F37="",58&lt;=F37)),(D37*(1+assumptions!$G$76)^4/12*(1+assumptions!$G$70+assumptions!$G$71+IF(58&gt;=assumptions!$G$73,assumptions!$G$72,0))+assumptions!$G$74/12)+IF(58=E37,D37*assumptions!$G$75,0),0)</f>
        <v>11163.5990528</v>
      </c>
      <c r="BM37" s="19" t="n">
        <f aca="false">IF(AND(59&gt;=E37,OR(F37="",59&lt;=F37)),(D37*(1+assumptions!$G$76)^4/12*(1+assumptions!$G$70+assumptions!$G$71+IF(59&gt;=assumptions!$G$73,assumptions!$G$72,0))+assumptions!$G$74/12)+IF(59=E37,D37*assumptions!$G$75,0),0)</f>
        <v>11163.5990528</v>
      </c>
      <c r="BN37" s="19" t="n">
        <f aca="false">IF(AND(60&gt;=E37,OR(F37="",60&lt;=F37)),(D37*(1+assumptions!$G$76)^4/12*(1+assumptions!$G$70+assumptions!$G$71+IF(60&gt;=assumptions!$G$73,assumptions!$G$72,0))+assumptions!$G$74/12)+IF(60=E37,D37*assumptions!$G$75,0),0)</f>
        <v>11163.5990528</v>
      </c>
    </row>
    <row r="38" customFormat="false" ht="14.25" hidden="false" customHeight="false" outlineLevel="0" collapsed="false">
      <c r="A38" s="7" t="n">
        <v>35</v>
      </c>
      <c r="B38" s="7" t="s">
        <v>378</v>
      </c>
      <c r="C38" s="7" t="s">
        <v>354</v>
      </c>
      <c r="D38" s="17" t="n">
        <v>75000</v>
      </c>
      <c r="E38" s="49" t="n">
        <v>52</v>
      </c>
      <c r="F38" s="49"/>
      <c r="G38" s="19" t="n">
        <f aca="false">IF(AND(1&gt;=E38,OR(F38="",1&lt;=F38)),(D38*(1+assumptions!$G$76)^0/12*(1+assumptions!$G$70+assumptions!$G$71+IF(1&gt;=assumptions!$G$73,assumptions!$G$72,0))+assumptions!$G$74/12)+IF(1=E38,D38*assumptions!$G$75,0),0)</f>
        <v>0</v>
      </c>
      <c r="H38" s="19" t="n">
        <f aca="false">IF(AND(2&gt;=E38,OR(F38="",2&lt;=F38)),(D38*(1+assumptions!$G$76)^0/12*(1+assumptions!$G$70+assumptions!$G$71+IF(2&gt;=assumptions!$G$73,assumptions!$G$72,0))+assumptions!$G$74/12)+IF(2=E38,D38*assumptions!$G$75,0),0)</f>
        <v>0</v>
      </c>
      <c r="I38" s="19" t="n">
        <f aca="false">IF(AND(3&gt;=E38,OR(F38="",3&lt;=F38)),(D38*(1+assumptions!$G$76)^0/12*(1+assumptions!$G$70+assumptions!$G$71+IF(3&gt;=assumptions!$G$73,assumptions!$G$72,0))+assumptions!$G$74/12)+IF(3=E38,D38*assumptions!$G$75,0),0)</f>
        <v>0</v>
      </c>
      <c r="J38" s="19" t="n">
        <f aca="false">IF(AND(4&gt;=E38,OR(F38="",4&lt;=F38)),(D38*(1+assumptions!$G$76)^0/12*(1+assumptions!$G$70+assumptions!$G$71+IF(4&gt;=assumptions!$G$73,assumptions!$G$72,0))+assumptions!$G$74/12)+IF(4=E38,D38*assumptions!$G$75,0),0)</f>
        <v>0</v>
      </c>
      <c r="K38" s="19" t="n">
        <f aca="false">IF(AND(5&gt;=E38,OR(F38="",5&lt;=F38)),(D38*(1+assumptions!$G$76)^0/12*(1+assumptions!$G$70+assumptions!$G$71+IF(5&gt;=assumptions!$G$73,assumptions!$G$72,0))+assumptions!$G$74/12)+IF(5=E38,D38*assumptions!$G$75,0),0)</f>
        <v>0</v>
      </c>
      <c r="L38" s="19" t="n">
        <f aca="false">IF(AND(6&gt;=E38,OR(F38="",6&lt;=F38)),(D38*(1+assumptions!$G$76)^0/12*(1+assumptions!$G$70+assumptions!$G$71+IF(6&gt;=assumptions!$G$73,assumptions!$G$72,0))+assumptions!$G$74/12)+IF(6=E38,D38*assumptions!$G$75,0),0)</f>
        <v>0</v>
      </c>
      <c r="M38" s="19" t="n">
        <f aca="false">IF(AND(7&gt;=E38,OR(F38="",7&lt;=F38)),(D38*(1+assumptions!$G$76)^0/12*(1+assumptions!$G$70+assumptions!$G$71+IF(7&gt;=assumptions!$G$73,assumptions!$G$72,0))+assumptions!$G$74/12)+IF(7=E38,D38*assumptions!$G$75,0),0)</f>
        <v>0</v>
      </c>
      <c r="N38" s="19" t="n">
        <f aca="false">IF(AND(8&gt;=E38,OR(F38="",8&lt;=F38)),(D38*(1+assumptions!$G$76)^0/12*(1+assumptions!$G$70+assumptions!$G$71+IF(8&gt;=assumptions!$G$73,assumptions!$G$72,0))+assumptions!$G$74/12)+IF(8=E38,D38*assumptions!$G$75,0),0)</f>
        <v>0</v>
      </c>
      <c r="O38" s="19" t="n">
        <f aca="false">IF(AND(9&gt;=E38,OR(F38="",9&lt;=F38)),(D38*(1+assumptions!$G$76)^0/12*(1+assumptions!$G$70+assumptions!$G$71+IF(9&gt;=assumptions!$G$73,assumptions!$G$72,0))+assumptions!$G$74/12)+IF(9=E38,D38*assumptions!$G$75,0),0)</f>
        <v>0</v>
      </c>
      <c r="P38" s="19" t="n">
        <f aca="false">IF(AND(10&gt;=E38,OR(F38="",10&lt;=F38)),(D38*(1+assumptions!$G$76)^0/12*(1+assumptions!$G$70+assumptions!$G$71+IF(10&gt;=assumptions!$G$73,assumptions!$G$72,0))+assumptions!$G$74/12)+IF(10=E38,D38*assumptions!$G$75,0),0)</f>
        <v>0</v>
      </c>
      <c r="Q38" s="19" t="n">
        <f aca="false">IF(AND(11&gt;=E38,OR(F38="",11&lt;=F38)),(D38*(1+assumptions!$G$76)^0/12*(1+assumptions!$G$70+assumptions!$G$71+IF(11&gt;=assumptions!$G$73,assumptions!$G$72,0))+assumptions!$G$74/12)+IF(11=E38,D38*assumptions!$G$75,0),0)</f>
        <v>0</v>
      </c>
      <c r="R38" s="19" t="n">
        <f aca="false">IF(AND(12&gt;=E38,OR(F38="",12&lt;=F38)),(D38*(1+assumptions!$G$76)^0/12*(1+assumptions!$G$70+assumptions!$G$71+IF(12&gt;=assumptions!$G$73,assumptions!$G$72,0))+assumptions!$G$74/12)+IF(12=E38,D38*assumptions!$G$75,0),0)</f>
        <v>0</v>
      </c>
      <c r="S38" s="19" t="n">
        <f aca="false">IF(AND(13&gt;=E38,OR(F38="",13&lt;=F38)),(D38*(1+assumptions!$G$76)^1/12*(1+assumptions!$G$70+assumptions!$G$71+IF(13&gt;=assumptions!$G$73,assumptions!$G$72,0))+assumptions!$G$74/12)+IF(13=E38,D38*assumptions!$G$75,0),0)</f>
        <v>0</v>
      </c>
      <c r="T38" s="19" t="n">
        <f aca="false">IF(AND(14&gt;=E38,OR(F38="",14&lt;=F38)),(D38*(1+assumptions!$G$76)^1/12*(1+assumptions!$G$70+assumptions!$G$71+IF(14&gt;=assumptions!$G$73,assumptions!$G$72,0))+assumptions!$G$74/12)+IF(14=E38,D38*assumptions!$G$75,0),0)</f>
        <v>0</v>
      </c>
      <c r="U38" s="19" t="n">
        <f aca="false">IF(AND(15&gt;=E38,OR(F38="",15&lt;=F38)),(D38*(1+assumptions!$G$76)^1/12*(1+assumptions!$G$70+assumptions!$G$71+IF(15&gt;=assumptions!$G$73,assumptions!$G$72,0))+assumptions!$G$74/12)+IF(15=E38,D38*assumptions!$G$75,0),0)</f>
        <v>0</v>
      </c>
      <c r="V38" s="19" t="n">
        <f aca="false">IF(AND(16&gt;=E38,OR(F38="",16&lt;=F38)),(D38*(1+assumptions!$G$76)^1/12*(1+assumptions!$G$70+assumptions!$G$71+IF(16&gt;=assumptions!$G$73,assumptions!$G$72,0))+assumptions!$G$74/12)+IF(16=E38,D38*assumptions!$G$75,0),0)</f>
        <v>0</v>
      </c>
      <c r="W38" s="19" t="n">
        <f aca="false">IF(AND(17&gt;=E38,OR(F38="",17&lt;=F38)),(D38*(1+assumptions!$G$76)^1/12*(1+assumptions!$G$70+assumptions!$G$71+IF(17&gt;=assumptions!$G$73,assumptions!$G$72,0))+assumptions!$G$74/12)+IF(17=E38,D38*assumptions!$G$75,0),0)</f>
        <v>0</v>
      </c>
      <c r="X38" s="19" t="n">
        <f aca="false">IF(AND(18&gt;=E38,OR(F38="",18&lt;=F38)),(D38*(1+assumptions!$G$76)^1/12*(1+assumptions!$G$70+assumptions!$G$71+IF(18&gt;=assumptions!$G$73,assumptions!$G$72,0))+assumptions!$G$74/12)+IF(18=E38,D38*assumptions!$G$75,0),0)</f>
        <v>0</v>
      </c>
      <c r="Y38" s="19" t="n">
        <f aca="false">IF(AND(19&gt;=E38,OR(F38="",19&lt;=F38)),(D38*(1+assumptions!$G$76)^1/12*(1+assumptions!$G$70+assumptions!$G$71+IF(19&gt;=assumptions!$G$73,assumptions!$G$72,0))+assumptions!$G$74/12)+IF(19=E38,D38*assumptions!$G$75,0),0)</f>
        <v>0</v>
      </c>
      <c r="Z38" s="19" t="n">
        <f aca="false">IF(AND(20&gt;=E38,OR(F38="",20&lt;=F38)),(D38*(1+assumptions!$G$76)^1/12*(1+assumptions!$G$70+assumptions!$G$71+IF(20&gt;=assumptions!$G$73,assumptions!$G$72,0))+assumptions!$G$74/12)+IF(20=E38,D38*assumptions!$G$75,0),0)</f>
        <v>0</v>
      </c>
      <c r="AA38" s="19" t="n">
        <f aca="false">IF(AND(21&gt;=E38,OR(F38="",21&lt;=F38)),(D38*(1+assumptions!$G$76)^1/12*(1+assumptions!$G$70+assumptions!$G$71+IF(21&gt;=assumptions!$G$73,assumptions!$G$72,0))+assumptions!$G$74/12)+IF(21=E38,D38*assumptions!$G$75,0),0)</f>
        <v>0</v>
      </c>
      <c r="AB38" s="19" t="n">
        <f aca="false">IF(AND(22&gt;=E38,OR(F38="",22&lt;=F38)),(D38*(1+assumptions!$G$76)^1/12*(1+assumptions!$G$70+assumptions!$G$71+IF(22&gt;=assumptions!$G$73,assumptions!$G$72,0))+assumptions!$G$74/12)+IF(22=E38,D38*assumptions!$G$75,0),0)</f>
        <v>0</v>
      </c>
      <c r="AC38" s="19" t="n">
        <f aca="false">IF(AND(23&gt;=E38,OR(F38="",23&lt;=F38)),(D38*(1+assumptions!$G$76)^1/12*(1+assumptions!$G$70+assumptions!$G$71+IF(23&gt;=assumptions!$G$73,assumptions!$G$72,0))+assumptions!$G$74/12)+IF(23=E38,D38*assumptions!$G$75,0),0)</f>
        <v>0</v>
      </c>
      <c r="AD38" s="19" t="n">
        <f aca="false">IF(AND(24&gt;=E38,OR(F38="",24&lt;=F38)),(D38*(1+assumptions!$G$76)^1/12*(1+assumptions!$G$70+assumptions!$G$71+IF(24&gt;=assumptions!$G$73,assumptions!$G$72,0))+assumptions!$G$74/12)+IF(24=E38,D38*assumptions!$G$75,0),0)</f>
        <v>0</v>
      </c>
      <c r="AE38" s="19" t="n">
        <f aca="false">IF(AND(25&gt;=E38,OR(F38="",25&lt;=F38)),(D38*(1+assumptions!$G$76)^2/12*(1+assumptions!$G$70+assumptions!$G$71+IF(25&gt;=assumptions!$G$73,assumptions!$G$72,0))+assumptions!$G$74/12)+IF(25=E38,D38*assumptions!$G$75,0),0)</f>
        <v>0</v>
      </c>
      <c r="AF38" s="19" t="n">
        <f aca="false">IF(AND(26&gt;=E38,OR(F38="",26&lt;=F38)),(D38*(1+assumptions!$G$76)^2/12*(1+assumptions!$G$70+assumptions!$G$71+IF(26&gt;=assumptions!$G$73,assumptions!$G$72,0))+assumptions!$G$74/12)+IF(26=E38,D38*assumptions!$G$75,0),0)</f>
        <v>0</v>
      </c>
      <c r="AG38" s="19" t="n">
        <f aca="false">IF(AND(27&gt;=E38,OR(F38="",27&lt;=F38)),(D38*(1+assumptions!$G$76)^2/12*(1+assumptions!$G$70+assumptions!$G$71+IF(27&gt;=assumptions!$G$73,assumptions!$G$72,0))+assumptions!$G$74/12)+IF(27=E38,D38*assumptions!$G$75,0),0)</f>
        <v>0</v>
      </c>
      <c r="AH38" s="19" t="n">
        <f aca="false">IF(AND(28&gt;=E38,OR(F38="",28&lt;=F38)),(D38*(1+assumptions!$G$76)^2/12*(1+assumptions!$G$70+assumptions!$G$71+IF(28&gt;=assumptions!$G$73,assumptions!$G$72,0))+assumptions!$G$74/12)+IF(28=E38,D38*assumptions!$G$75,0),0)</f>
        <v>0</v>
      </c>
      <c r="AI38" s="19" t="n">
        <f aca="false">IF(AND(29&gt;=E38,OR(F38="",29&lt;=F38)),(D38*(1+assumptions!$G$76)^2/12*(1+assumptions!$G$70+assumptions!$G$71+IF(29&gt;=assumptions!$G$73,assumptions!$G$72,0))+assumptions!$G$74/12)+IF(29=E38,D38*assumptions!$G$75,0),0)</f>
        <v>0</v>
      </c>
      <c r="AJ38" s="19" t="n">
        <f aca="false">IF(AND(30&gt;=E38,OR(F38="",30&lt;=F38)),(D38*(1+assumptions!$G$76)^2/12*(1+assumptions!$G$70+assumptions!$G$71+IF(30&gt;=assumptions!$G$73,assumptions!$G$72,0))+assumptions!$G$74/12)+IF(30=E38,D38*assumptions!$G$75,0),0)</f>
        <v>0</v>
      </c>
      <c r="AK38" s="19" t="n">
        <f aca="false">IF(AND(31&gt;=E38,OR(F38="",31&lt;=F38)),(D38*(1+assumptions!$G$76)^2/12*(1+assumptions!$G$70+assumptions!$G$71+IF(31&gt;=assumptions!$G$73,assumptions!$G$72,0))+assumptions!$G$74/12)+IF(31=E38,D38*assumptions!$G$75,0),0)</f>
        <v>0</v>
      </c>
      <c r="AL38" s="19" t="n">
        <f aca="false">IF(AND(32&gt;=E38,OR(F38="",32&lt;=F38)),(D38*(1+assumptions!$G$76)^2/12*(1+assumptions!$G$70+assumptions!$G$71+IF(32&gt;=assumptions!$G$73,assumptions!$G$72,0))+assumptions!$G$74/12)+IF(32=E38,D38*assumptions!$G$75,0),0)</f>
        <v>0</v>
      </c>
      <c r="AM38" s="19" t="n">
        <f aca="false">IF(AND(33&gt;=E38,OR(F38="",33&lt;=F38)),(D38*(1+assumptions!$G$76)^2/12*(1+assumptions!$G$70+assumptions!$G$71+IF(33&gt;=assumptions!$G$73,assumptions!$G$72,0))+assumptions!$G$74/12)+IF(33=E38,D38*assumptions!$G$75,0),0)</f>
        <v>0</v>
      </c>
      <c r="AN38" s="19" t="n">
        <f aca="false">IF(AND(34&gt;=E38,OR(F38="",34&lt;=F38)),(D38*(1+assumptions!$G$76)^2/12*(1+assumptions!$G$70+assumptions!$G$71+IF(34&gt;=assumptions!$G$73,assumptions!$G$72,0))+assumptions!$G$74/12)+IF(34=E38,D38*assumptions!$G$75,0),0)</f>
        <v>0</v>
      </c>
      <c r="AO38" s="19" t="n">
        <f aca="false">IF(AND(35&gt;=E38,OR(F38="",35&lt;=F38)),(D38*(1+assumptions!$G$76)^2/12*(1+assumptions!$G$70+assumptions!$G$71+IF(35&gt;=assumptions!$G$73,assumptions!$G$72,0))+assumptions!$G$74/12)+IF(35=E38,D38*assumptions!$G$75,0),0)</f>
        <v>0</v>
      </c>
      <c r="AP38" s="19" t="n">
        <f aca="false">IF(AND(36&gt;=E38,OR(F38="",36&lt;=F38)),(D38*(1+assumptions!$G$76)^2/12*(1+assumptions!$G$70+assumptions!$G$71+IF(36&gt;=assumptions!$G$73,assumptions!$G$72,0))+assumptions!$G$74/12)+IF(36=E38,D38*assumptions!$G$75,0),0)</f>
        <v>0</v>
      </c>
      <c r="AQ38" s="19" t="n">
        <f aca="false">IF(AND(37&gt;=E38,OR(F38="",37&lt;=F38)),(D38*(1+assumptions!$G$76)^3/12*(1+assumptions!$G$70+assumptions!$G$71+IF(37&gt;=assumptions!$G$73,assumptions!$G$72,0))+assumptions!$G$74/12)+IF(37=E38,D38*assumptions!$G$75,0),0)</f>
        <v>0</v>
      </c>
      <c r="AR38" s="19" t="n">
        <f aca="false">IF(AND(38&gt;=E38,OR(F38="",38&lt;=F38)),(D38*(1+assumptions!$G$76)^3/12*(1+assumptions!$G$70+assumptions!$G$71+IF(38&gt;=assumptions!$G$73,assumptions!$G$72,0))+assumptions!$G$74/12)+IF(38=E38,D38*assumptions!$G$75,0),0)</f>
        <v>0</v>
      </c>
      <c r="AS38" s="19" t="n">
        <f aca="false">IF(AND(39&gt;=E38,OR(F38="",39&lt;=F38)),(D38*(1+assumptions!$G$76)^3/12*(1+assumptions!$G$70+assumptions!$G$71+IF(39&gt;=assumptions!$G$73,assumptions!$G$72,0))+assumptions!$G$74/12)+IF(39=E38,D38*assumptions!$G$75,0),0)</f>
        <v>0</v>
      </c>
      <c r="AT38" s="19" t="n">
        <f aca="false">IF(AND(40&gt;=E38,OR(F38="",40&lt;=F38)),(D38*(1+assumptions!$G$76)^3/12*(1+assumptions!$G$70+assumptions!$G$71+IF(40&gt;=assumptions!$G$73,assumptions!$G$72,0))+assumptions!$G$74/12)+IF(40=E38,D38*assumptions!$G$75,0),0)</f>
        <v>0</v>
      </c>
      <c r="AU38" s="19" t="n">
        <f aca="false">IF(AND(41&gt;=E38,OR(F38="",41&lt;=F38)),(D38*(1+assumptions!$G$76)^3/12*(1+assumptions!$G$70+assumptions!$G$71+IF(41&gt;=assumptions!$G$73,assumptions!$G$72,0))+assumptions!$G$74/12)+IF(41=E38,D38*assumptions!$G$75,0),0)</f>
        <v>0</v>
      </c>
      <c r="AV38" s="19" t="n">
        <f aca="false">IF(AND(42&gt;=E38,OR(F38="",42&lt;=F38)),(D38*(1+assumptions!$G$76)^3/12*(1+assumptions!$G$70+assumptions!$G$71+IF(42&gt;=assumptions!$G$73,assumptions!$G$72,0))+assumptions!$G$74/12)+IF(42=E38,D38*assumptions!$G$75,0),0)</f>
        <v>0</v>
      </c>
      <c r="AW38" s="19" t="n">
        <f aca="false">IF(AND(43&gt;=E38,OR(F38="",43&lt;=F38)),(D38*(1+assumptions!$G$76)^3/12*(1+assumptions!$G$70+assumptions!$G$71+IF(43&gt;=assumptions!$G$73,assumptions!$G$72,0))+assumptions!$G$74/12)+IF(43=E38,D38*assumptions!$G$75,0),0)</f>
        <v>0</v>
      </c>
      <c r="AX38" s="19" t="n">
        <f aca="false">IF(AND(44&gt;=E38,OR(F38="",44&lt;=F38)),(D38*(1+assumptions!$G$76)^3/12*(1+assumptions!$G$70+assumptions!$G$71+IF(44&gt;=assumptions!$G$73,assumptions!$G$72,0))+assumptions!$G$74/12)+IF(44=E38,D38*assumptions!$G$75,0),0)</f>
        <v>0</v>
      </c>
      <c r="AY38" s="19" t="n">
        <f aca="false">IF(AND(45&gt;=E38,OR(F38="",45&lt;=F38)),(D38*(1+assumptions!$G$76)^3/12*(1+assumptions!$G$70+assumptions!$G$71+IF(45&gt;=assumptions!$G$73,assumptions!$G$72,0))+assumptions!$G$74/12)+IF(45=E38,D38*assumptions!$G$75,0),0)</f>
        <v>0</v>
      </c>
      <c r="AZ38" s="19" t="n">
        <f aca="false">IF(AND(46&gt;=E38,OR(F38="",46&lt;=F38)),(D38*(1+assumptions!$G$76)^3/12*(1+assumptions!$G$70+assumptions!$G$71+IF(46&gt;=assumptions!$G$73,assumptions!$G$72,0))+assumptions!$G$74/12)+IF(46=E38,D38*assumptions!$G$75,0),0)</f>
        <v>0</v>
      </c>
      <c r="BA38" s="19" t="n">
        <f aca="false">IF(AND(47&gt;=E38,OR(F38="",47&lt;=F38)),(D38*(1+assumptions!$G$76)^3/12*(1+assumptions!$G$70+assumptions!$G$71+IF(47&gt;=assumptions!$G$73,assumptions!$G$72,0))+assumptions!$G$74/12)+IF(47=E38,D38*assumptions!$G$75,0),0)</f>
        <v>0</v>
      </c>
      <c r="BB38" s="19" t="n">
        <f aca="false">IF(AND(48&gt;=E38,OR(F38="",48&lt;=F38)),(D38*(1+assumptions!$G$76)^3/12*(1+assumptions!$G$70+assumptions!$G$71+IF(48&gt;=assumptions!$G$73,assumptions!$G$72,0))+assumptions!$G$74/12)+IF(48=E38,D38*assumptions!$G$75,0),0)</f>
        <v>0</v>
      </c>
      <c r="BC38" s="19" t="n">
        <f aca="false">IF(AND(49&gt;=E38,OR(F38="",49&lt;=F38)),(D38*(1+assumptions!$G$76)^4/12*(1+assumptions!$G$70+assumptions!$G$71+IF(49&gt;=assumptions!$G$73,assumptions!$G$72,0))+assumptions!$G$74/12)+IF(49=E38,D38*assumptions!$G$75,0),0)</f>
        <v>0</v>
      </c>
      <c r="BD38" s="19" t="n">
        <f aca="false">IF(AND(50&gt;=E38,OR(F38="",50&lt;=F38)),(D38*(1+assumptions!$G$76)^4/12*(1+assumptions!$G$70+assumptions!$G$71+IF(50&gt;=assumptions!$G$73,assumptions!$G$72,0))+assumptions!$G$74/12)+IF(50=E38,D38*assumptions!$G$75,0),0)</f>
        <v>0</v>
      </c>
      <c r="BE38" s="19" t="n">
        <f aca="false">IF(AND(51&gt;=E38,OR(F38="",51&lt;=F38)),(D38*(1+assumptions!$G$76)^4/12*(1+assumptions!$G$70+assumptions!$G$71+IF(51&gt;=assumptions!$G$73,assumptions!$G$72,0))+assumptions!$G$74/12)+IF(51=E38,D38*assumptions!$G$75,0),0)</f>
        <v>0</v>
      </c>
      <c r="BF38" s="19" t="n">
        <f aca="false">IF(AND(52&gt;=E38,OR(F38="",52&lt;=F38)),(D38*(1+assumptions!$G$76)^4/12*(1+assumptions!$G$70+assumptions!$G$71+IF(52&gt;=assumptions!$G$73,assumptions!$G$72,0))+assumptions!$G$74/12)+IF(52=E38,D38*assumptions!$G$75,0),0)</f>
        <v>20126.525568</v>
      </c>
      <c r="BG38" s="19" t="n">
        <f aca="false">IF(AND(53&gt;=E38,OR(F38="",53&lt;=F38)),(D38*(1+assumptions!$G$76)^4/12*(1+assumptions!$G$70+assumptions!$G$71+IF(53&gt;=assumptions!$G$73,assumptions!$G$72,0))+assumptions!$G$74/12)+IF(53=E38,D38*assumptions!$G$75,0),0)</f>
        <v>8876.525568</v>
      </c>
      <c r="BH38" s="19" t="n">
        <f aca="false">IF(AND(54&gt;=E38,OR(F38="",54&lt;=F38)),(D38*(1+assumptions!$G$76)^4/12*(1+assumptions!$G$70+assumptions!$G$71+IF(54&gt;=assumptions!$G$73,assumptions!$G$72,0))+assumptions!$G$74/12)+IF(54=E38,D38*assumptions!$G$75,0),0)</f>
        <v>8876.525568</v>
      </c>
      <c r="BI38" s="19" t="n">
        <f aca="false">IF(AND(55&gt;=E38,OR(F38="",55&lt;=F38)),(D38*(1+assumptions!$G$76)^4/12*(1+assumptions!$G$70+assumptions!$G$71+IF(55&gt;=assumptions!$G$73,assumptions!$G$72,0))+assumptions!$G$74/12)+IF(55=E38,D38*assumptions!$G$75,0),0)</f>
        <v>8876.525568</v>
      </c>
      <c r="BJ38" s="19" t="n">
        <f aca="false">IF(AND(56&gt;=E38,OR(F38="",56&lt;=F38)),(D38*(1+assumptions!$G$76)^4/12*(1+assumptions!$G$70+assumptions!$G$71+IF(56&gt;=assumptions!$G$73,assumptions!$G$72,0))+assumptions!$G$74/12)+IF(56=E38,D38*assumptions!$G$75,0),0)</f>
        <v>8876.525568</v>
      </c>
      <c r="BK38" s="19" t="n">
        <f aca="false">IF(AND(57&gt;=E38,OR(F38="",57&lt;=F38)),(D38*(1+assumptions!$G$76)^4/12*(1+assumptions!$G$70+assumptions!$G$71+IF(57&gt;=assumptions!$G$73,assumptions!$G$72,0))+assumptions!$G$74/12)+IF(57=E38,D38*assumptions!$G$75,0),0)</f>
        <v>8876.525568</v>
      </c>
      <c r="BL38" s="19" t="n">
        <f aca="false">IF(AND(58&gt;=E38,OR(F38="",58&lt;=F38)),(D38*(1+assumptions!$G$76)^4/12*(1+assumptions!$G$70+assumptions!$G$71+IF(58&gt;=assumptions!$G$73,assumptions!$G$72,0))+assumptions!$G$74/12)+IF(58=E38,D38*assumptions!$G$75,0),0)</f>
        <v>8876.525568</v>
      </c>
      <c r="BM38" s="19" t="n">
        <f aca="false">IF(AND(59&gt;=E38,OR(F38="",59&lt;=F38)),(D38*(1+assumptions!$G$76)^4/12*(1+assumptions!$G$70+assumptions!$G$71+IF(59&gt;=assumptions!$G$73,assumptions!$G$72,0))+assumptions!$G$74/12)+IF(59=E38,D38*assumptions!$G$75,0),0)</f>
        <v>8876.525568</v>
      </c>
      <c r="BN38" s="19" t="n">
        <f aca="false">IF(AND(60&gt;=E38,OR(F38="",60&lt;=F38)),(D38*(1+assumptions!$G$76)^4/12*(1+assumptions!$G$70+assumptions!$G$71+IF(60&gt;=assumptions!$G$73,assumptions!$G$72,0))+assumptions!$G$74/12)+IF(60=E38,D38*assumptions!$G$75,0),0)</f>
        <v>8876.525568</v>
      </c>
    </row>
    <row r="39" customFormat="false" ht="14.25" hidden="false" customHeight="false" outlineLevel="0" collapsed="false">
      <c r="A39" s="7" t="n">
        <v>36</v>
      </c>
      <c r="B39" s="7" t="s">
        <v>379</v>
      </c>
      <c r="C39" s="7" t="s">
        <v>340</v>
      </c>
      <c r="D39" s="17" t="n">
        <v>95000</v>
      </c>
      <c r="E39" s="49" t="n">
        <v>54</v>
      </c>
      <c r="F39" s="49"/>
      <c r="G39" s="19" t="n">
        <f aca="false">IF(AND(1&gt;=E39,OR(F39="",1&lt;=F39)),(D39*(1+assumptions!$G$76)^0/12*(1+assumptions!$G$70+assumptions!$G$71+IF(1&gt;=assumptions!$G$73,assumptions!$G$72,0))+assumptions!$G$74/12)+IF(1=E39,D39*assumptions!$G$75,0),0)</f>
        <v>0</v>
      </c>
      <c r="H39" s="19" t="n">
        <f aca="false">IF(AND(2&gt;=E39,OR(F39="",2&lt;=F39)),(D39*(1+assumptions!$G$76)^0/12*(1+assumptions!$G$70+assumptions!$G$71+IF(2&gt;=assumptions!$G$73,assumptions!$G$72,0))+assumptions!$G$74/12)+IF(2=E39,D39*assumptions!$G$75,0),0)</f>
        <v>0</v>
      </c>
      <c r="I39" s="19" t="n">
        <f aca="false">IF(AND(3&gt;=E39,OR(F39="",3&lt;=F39)),(D39*(1+assumptions!$G$76)^0/12*(1+assumptions!$G$70+assumptions!$G$71+IF(3&gt;=assumptions!$G$73,assumptions!$G$72,0))+assumptions!$G$74/12)+IF(3=E39,D39*assumptions!$G$75,0),0)</f>
        <v>0</v>
      </c>
      <c r="J39" s="19" t="n">
        <f aca="false">IF(AND(4&gt;=E39,OR(F39="",4&lt;=F39)),(D39*(1+assumptions!$G$76)^0/12*(1+assumptions!$G$70+assumptions!$G$71+IF(4&gt;=assumptions!$G$73,assumptions!$G$72,0))+assumptions!$G$74/12)+IF(4=E39,D39*assumptions!$G$75,0),0)</f>
        <v>0</v>
      </c>
      <c r="K39" s="19" t="n">
        <f aca="false">IF(AND(5&gt;=E39,OR(F39="",5&lt;=F39)),(D39*(1+assumptions!$G$76)^0/12*(1+assumptions!$G$70+assumptions!$G$71+IF(5&gt;=assumptions!$G$73,assumptions!$G$72,0))+assumptions!$G$74/12)+IF(5=E39,D39*assumptions!$G$75,0),0)</f>
        <v>0</v>
      </c>
      <c r="L39" s="19" t="n">
        <f aca="false">IF(AND(6&gt;=E39,OR(F39="",6&lt;=F39)),(D39*(1+assumptions!$G$76)^0/12*(1+assumptions!$G$70+assumptions!$G$71+IF(6&gt;=assumptions!$G$73,assumptions!$G$72,0))+assumptions!$G$74/12)+IF(6=E39,D39*assumptions!$G$75,0),0)</f>
        <v>0</v>
      </c>
      <c r="M39" s="19" t="n">
        <f aca="false">IF(AND(7&gt;=E39,OR(F39="",7&lt;=F39)),(D39*(1+assumptions!$G$76)^0/12*(1+assumptions!$G$70+assumptions!$G$71+IF(7&gt;=assumptions!$G$73,assumptions!$G$72,0))+assumptions!$G$74/12)+IF(7=E39,D39*assumptions!$G$75,0),0)</f>
        <v>0</v>
      </c>
      <c r="N39" s="19" t="n">
        <f aca="false">IF(AND(8&gt;=E39,OR(F39="",8&lt;=F39)),(D39*(1+assumptions!$G$76)^0/12*(1+assumptions!$G$70+assumptions!$G$71+IF(8&gt;=assumptions!$G$73,assumptions!$G$72,0))+assumptions!$G$74/12)+IF(8=E39,D39*assumptions!$G$75,0),0)</f>
        <v>0</v>
      </c>
      <c r="O39" s="19" t="n">
        <f aca="false">IF(AND(9&gt;=E39,OR(F39="",9&lt;=F39)),(D39*(1+assumptions!$G$76)^0/12*(1+assumptions!$G$70+assumptions!$G$71+IF(9&gt;=assumptions!$G$73,assumptions!$G$72,0))+assumptions!$G$74/12)+IF(9=E39,D39*assumptions!$G$75,0),0)</f>
        <v>0</v>
      </c>
      <c r="P39" s="19" t="n">
        <f aca="false">IF(AND(10&gt;=E39,OR(F39="",10&lt;=F39)),(D39*(1+assumptions!$G$76)^0/12*(1+assumptions!$G$70+assumptions!$G$71+IF(10&gt;=assumptions!$G$73,assumptions!$G$72,0))+assumptions!$G$74/12)+IF(10=E39,D39*assumptions!$G$75,0),0)</f>
        <v>0</v>
      </c>
      <c r="Q39" s="19" t="n">
        <f aca="false">IF(AND(11&gt;=E39,OR(F39="",11&lt;=F39)),(D39*(1+assumptions!$G$76)^0/12*(1+assumptions!$G$70+assumptions!$G$71+IF(11&gt;=assumptions!$G$73,assumptions!$G$72,0))+assumptions!$G$74/12)+IF(11=E39,D39*assumptions!$G$75,0),0)</f>
        <v>0</v>
      </c>
      <c r="R39" s="19" t="n">
        <f aca="false">IF(AND(12&gt;=E39,OR(F39="",12&lt;=F39)),(D39*(1+assumptions!$G$76)^0/12*(1+assumptions!$G$70+assumptions!$G$71+IF(12&gt;=assumptions!$G$73,assumptions!$G$72,0))+assumptions!$G$74/12)+IF(12=E39,D39*assumptions!$G$75,0),0)</f>
        <v>0</v>
      </c>
      <c r="S39" s="19" t="n">
        <f aca="false">IF(AND(13&gt;=E39,OR(F39="",13&lt;=F39)),(D39*(1+assumptions!$G$76)^1/12*(1+assumptions!$G$70+assumptions!$G$71+IF(13&gt;=assumptions!$G$73,assumptions!$G$72,0))+assumptions!$G$74/12)+IF(13=E39,D39*assumptions!$G$75,0),0)</f>
        <v>0</v>
      </c>
      <c r="T39" s="19" t="n">
        <f aca="false">IF(AND(14&gt;=E39,OR(F39="",14&lt;=F39)),(D39*(1+assumptions!$G$76)^1/12*(1+assumptions!$G$70+assumptions!$G$71+IF(14&gt;=assumptions!$G$73,assumptions!$G$72,0))+assumptions!$G$74/12)+IF(14=E39,D39*assumptions!$G$75,0),0)</f>
        <v>0</v>
      </c>
      <c r="U39" s="19" t="n">
        <f aca="false">IF(AND(15&gt;=E39,OR(F39="",15&lt;=F39)),(D39*(1+assumptions!$G$76)^1/12*(1+assumptions!$G$70+assumptions!$G$71+IF(15&gt;=assumptions!$G$73,assumptions!$G$72,0))+assumptions!$G$74/12)+IF(15=E39,D39*assumptions!$G$75,0),0)</f>
        <v>0</v>
      </c>
      <c r="V39" s="19" t="n">
        <f aca="false">IF(AND(16&gt;=E39,OR(F39="",16&lt;=F39)),(D39*(1+assumptions!$G$76)^1/12*(1+assumptions!$G$70+assumptions!$G$71+IF(16&gt;=assumptions!$G$73,assumptions!$G$72,0))+assumptions!$G$74/12)+IF(16=E39,D39*assumptions!$G$75,0),0)</f>
        <v>0</v>
      </c>
      <c r="W39" s="19" t="n">
        <f aca="false">IF(AND(17&gt;=E39,OR(F39="",17&lt;=F39)),(D39*(1+assumptions!$G$76)^1/12*(1+assumptions!$G$70+assumptions!$G$71+IF(17&gt;=assumptions!$G$73,assumptions!$G$72,0))+assumptions!$G$74/12)+IF(17=E39,D39*assumptions!$G$75,0),0)</f>
        <v>0</v>
      </c>
      <c r="X39" s="19" t="n">
        <f aca="false">IF(AND(18&gt;=E39,OR(F39="",18&lt;=F39)),(D39*(1+assumptions!$G$76)^1/12*(1+assumptions!$G$70+assumptions!$G$71+IF(18&gt;=assumptions!$G$73,assumptions!$G$72,0))+assumptions!$G$74/12)+IF(18=E39,D39*assumptions!$G$75,0),0)</f>
        <v>0</v>
      </c>
      <c r="Y39" s="19" t="n">
        <f aca="false">IF(AND(19&gt;=E39,OR(F39="",19&lt;=F39)),(D39*(1+assumptions!$G$76)^1/12*(1+assumptions!$G$70+assumptions!$G$71+IF(19&gt;=assumptions!$G$73,assumptions!$G$72,0))+assumptions!$G$74/12)+IF(19=E39,D39*assumptions!$G$75,0),0)</f>
        <v>0</v>
      </c>
      <c r="Z39" s="19" t="n">
        <f aca="false">IF(AND(20&gt;=E39,OR(F39="",20&lt;=F39)),(D39*(1+assumptions!$G$76)^1/12*(1+assumptions!$G$70+assumptions!$G$71+IF(20&gt;=assumptions!$G$73,assumptions!$G$72,0))+assumptions!$G$74/12)+IF(20=E39,D39*assumptions!$G$75,0),0)</f>
        <v>0</v>
      </c>
      <c r="AA39" s="19" t="n">
        <f aca="false">IF(AND(21&gt;=E39,OR(F39="",21&lt;=F39)),(D39*(1+assumptions!$G$76)^1/12*(1+assumptions!$G$70+assumptions!$G$71+IF(21&gt;=assumptions!$G$73,assumptions!$G$72,0))+assumptions!$G$74/12)+IF(21=E39,D39*assumptions!$G$75,0),0)</f>
        <v>0</v>
      </c>
      <c r="AB39" s="19" t="n">
        <f aca="false">IF(AND(22&gt;=E39,OR(F39="",22&lt;=F39)),(D39*(1+assumptions!$G$76)^1/12*(1+assumptions!$G$70+assumptions!$G$71+IF(22&gt;=assumptions!$G$73,assumptions!$G$72,0))+assumptions!$G$74/12)+IF(22=E39,D39*assumptions!$G$75,0),0)</f>
        <v>0</v>
      </c>
      <c r="AC39" s="19" t="n">
        <f aca="false">IF(AND(23&gt;=E39,OR(F39="",23&lt;=F39)),(D39*(1+assumptions!$G$76)^1/12*(1+assumptions!$G$70+assumptions!$G$71+IF(23&gt;=assumptions!$G$73,assumptions!$G$72,0))+assumptions!$G$74/12)+IF(23=E39,D39*assumptions!$G$75,0),0)</f>
        <v>0</v>
      </c>
      <c r="AD39" s="19" t="n">
        <f aca="false">IF(AND(24&gt;=E39,OR(F39="",24&lt;=F39)),(D39*(1+assumptions!$G$76)^1/12*(1+assumptions!$G$70+assumptions!$G$71+IF(24&gt;=assumptions!$G$73,assumptions!$G$72,0))+assumptions!$G$74/12)+IF(24=E39,D39*assumptions!$G$75,0),0)</f>
        <v>0</v>
      </c>
      <c r="AE39" s="19" t="n">
        <f aca="false">IF(AND(25&gt;=E39,OR(F39="",25&lt;=F39)),(D39*(1+assumptions!$G$76)^2/12*(1+assumptions!$G$70+assumptions!$G$71+IF(25&gt;=assumptions!$G$73,assumptions!$G$72,0))+assumptions!$G$74/12)+IF(25=E39,D39*assumptions!$G$75,0),0)</f>
        <v>0</v>
      </c>
      <c r="AF39" s="19" t="n">
        <f aca="false">IF(AND(26&gt;=E39,OR(F39="",26&lt;=F39)),(D39*(1+assumptions!$G$76)^2/12*(1+assumptions!$G$70+assumptions!$G$71+IF(26&gt;=assumptions!$G$73,assumptions!$G$72,0))+assumptions!$G$74/12)+IF(26=E39,D39*assumptions!$G$75,0),0)</f>
        <v>0</v>
      </c>
      <c r="AG39" s="19" t="n">
        <f aca="false">IF(AND(27&gt;=E39,OR(F39="",27&lt;=F39)),(D39*(1+assumptions!$G$76)^2/12*(1+assumptions!$G$70+assumptions!$G$71+IF(27&gt;=assumptions!$G$73,assumptions!$G$72,0))+assumptions!$G$74/12)+IF(27=E39,D39*assumptions!$G$75,0),0)</f>
        <v>0</v>
      </c>
      <c r="AH39" s="19" t="n">
        <f aca="false">IF(AND(28&gt;=E39,OR(F39="",28&lt;=F39)),(D39*(1+assumptions!$G$76)^2/12*(1+assumptions!$G$70+assumptions!$G$71+IF(28&gt;=assumptions!$G$73,assumptions!$G$72,0))+assumptions!$G$74/12)+IF(28=E39,D39*assumptions!$G$75,0),0)</f>
        <v>0</v>
      </c>
      <c r="AI39" s="19" t="n">
        <f aca="false">IF(AND(29&gt;=E39,OR(F39="",29&lt;=F39)),(D39*(1+assumptions!$G$76)^2/12*(1+assumptions!$G$70+assumptions!$G$71+IF(29&gt;=assumptions!$G$73,assumptions!$G$72,0))+assumptions!$G$74/12)+IF(29=E39,D39*assumptions!$G$75,0),0)</f>
        <v>0</v>
      </c>
      <c r="AJ39" s="19" t="n">
        <f aca="false">IF(AND(30&gt;=E39,OR(F39="",30&lt;=F39)),(D39*(1+assumptions!$G$76)^2/12*(1+assumptions!$G$70+assumptions!$G$71+IF(30&gt;=assumptions!$G$73,assumptions!$G$72,0))+assumptions!$G$74/12)+IF(30=E39,D39*assumptions!$G$75,0),0)</f>
        <v>0</v>
      </c>
      <c r="AK39" s="19" t="n">
        <f aca="false">IF(AND(31&gt;=E39,OR(F39="",31&lt;=F39)),(D39*(1+assumptions!$G$76)^2/12*(1+assumptions!$G$70+assumptions!$G$71+IF(31&gt;=assumptions!$G$73,assumptions!$G$72,0))+assumptions!$G$74/12)+IF(31=E39,D39*assumptions!$G$75,0),0)</f>
        <v>0</v>
      </c>
      <c r="AL39" s="19" t="n">
        <f aca="false">IF(AND(32&gt;=E39,OR(F39="",32&lt;=F39)),(D39*(1+assumptions!$G$76)^2/12*(1+assumptions!$G$70+assumptions!$G$71+IF(32&gt;=assumptions!$G$73,assumptions!$G$72,0))+assumptions!$G$74/12)+IF(32=E39,D39*assumptions!$G$75,0),0)</f>
        <v>0</v>
      </c>
      <c r="AM39" s="19" t="n">
        <f aca="false">IF(AND(33&gt;=E39,OR(F39="",33&lt;=F39)),(D39*(1+assumptions!$G$76)^2/12*(1+assumptions!$G$70+assumptions!$G$71+IF(33&gt;=assumptions!$G$73,assumptions!$G$72,0))+assumptions!$G$74/12)+IF(33=E39,D39*assumptions!$G$75,0),0)</f>
        <v>0</v>
      </c>
      <c r="AN39" s="19" t="n">
        <f aca="false">IF(AND(34&gt;=E39,OR(F39="",34&lt;=F39)),(D39*(1+assumptions!$G$76)^2/12*(1+assumptions!$G$70+assumptions!$G$71+IF(34&gt;=assumptions!$G$73,assumptions!$G$72,0))+assumptions!$G$74/12)+IF(34=E39,D39*assumptions!$G$75,0),0)</f>
        <v>0</v>
      </c>
      <c r="AO39" s="19" t="n">
        <f aca="false">IF(AND(35&gt;=E39,OR(F39="",35&lt;=F39)),(D39*(1+assumptions!$G$76)^2/12*(1+assumptions!$G$70+assumptions!$G$71+IF(35&gt;=assumptions!$G$73,assumptions!$G$72,0))+assumptions!$G$74/12)+IF(35=E39,D39*assumptions!$G$75,0),0)</f>
        <v>0</v>
      </c>
      <c r="AP39" s="19" t="n">
        <f aca="false">IF(AND(36&gt;=E39,OR(F39="",36&lt;=F39)),(D39*(1+assumptions!$G$76)^2/12*(1+assumptions!$G$70+assumptions!$G$71+IF(36&gt;=assumptions!$G$73,assumptions!$G$72,0))+assumptions!$G$74/12)+IF(36=E39,D39*assumptions!$G$75,0),0)</f>
        <v>0</v>
      </c>
      <c r="AQ39" s="19" t="n">
        <f aca="false">IF(AND(37&gt;=E39,OR(F39="",37&lt;=F39)),(D39*(1+assumptions!$G$76)^3/12*(1+assumptions!$G$70+assumptions!$G$71+IF(37&gt;=assumptions!$G$73,assumptions!$G$72,0))+assumptions!$G$74/12)+IF(37=E39,D39*assumptions!$G$75,0),0)</f>
        <v>0</v>
      </c>
      <c r="AR39" s="19" t="n">
        <f aca="false">IF(AND(38&gt;=E39,OR(F39="",38&lt;=F39)),(D39*(1+assumptions!$G$76)^3/12*(1+assumptions!$G$70+assumptions!$G$71+IF(38&gt;=assumptions!$G$73,assumptions!$G$72,0))+assumptions!$G$74/12)+IF(38=E39,D39*assumptions!$G$75,0),0)</f>
        <v>0</v>
      </c>
      <c r="AS39" s="19" t="n">
        <f aca="false">IF(AND(39&gt;=E39,OR(F39="",39&lt;=F39)),(D39*(1+assumptions!$G$76)^3/12*(1+assumptions!$G$70+assumptions!$G$71+IF(39&gt;=assumptions!$G$73,assumptions!$G$72,0))+assumptions!$G$74/12)+IF(39=E39,D39*assumptions!$G$75,0),0)</f>
        <v>0</v>
      </c>
      <c r="AT39" s="19" t="n">
        <f aca="false">IF(AND(40&gt;=E39,OR(F39="",40&lt;=F39)),(D39*(1+assumptions!$G$76)^3/12*(1+assumptions!$G$70+assumptions!$G$71+IF(40&gt;=assumptions!$G$73,assumptions!$G$72,0))+assumptions!$G$74/12)+IF(40=E39,D39*assumptions!$G$75,0),0)</f>
        <v>0</v>
      </c>
      <c r="AU39" s="19" t="n">
        <f aca="false">IF(AND(41&gt;=E39,OR(F39="",41&lt;=F39)),(D39*(1+assumptions!$G$76)^3/12*(1+assumptions!$G$70+assumptions!$G$71+IF(41&gt;=assumptions!$G$73,assumptions!$G$72,0))+assumptions!$G$74/12)+IF(41=E39,D39*assumptions!$G$75,0),0)</f>
        <v>0</v>
      </c>
      <c r="AV39" s="19" t="n">
        <f aca="false">IF(AND(42&gt;=E39,OR(F39="",42&lt;=F39)),(D39*(1+assumptions!$G$76)^3/12*(1+assumptions!$G$70+assumptions!$G$71+IF(42&gt;=assumptions!$G$73,assumptions!$G$72,0))+assumptions!$G$74/12)+IF(42=E39,D39*assumptions!$G$75,0),0)</f>
        <v>0</v>
      </c>
      <c r="AW39" s="19" t="n">
        <f aca="false">IF(AND(43&gt;=E39,OR(F39="",43&lt;=F39)),(D39*(1+assumptions!$G$76)^3/12*(1+assumptions!$G$70+assumptions!$G$71+IF(43&gt;=assumptions!$G$73,assumptions!$G$72,0))+assumptions!$G$74/12)+IF(43=E39,D39*assumptions!$G$75,0),0)</f>
        <v>0</v>
      </c>
      <c r="AX39" s="19" t="n">
        <f aca="false">IF(AND(44&gt;=E39,OR(F39="",44&lt;=F39)),(D39*(1+assumptions!$G$76)^3/12*(1+assumptions!$G$70+assumptions!$G$71+IF(44&gt;=assumptions!$G$73,assumptions!$G$72,0))+assumptions!$G$74/12)+IF(44=E39,D39*assumptions!$G$75,0),0)</f>
        <v>0</v>
      </c>
      <c r="AY39" s="19" t="n">
        <f aca="false">IF(AND(45&gt;=E39,OR(F39="",45&lt;=F39)),(D39*(1+assumptions!$G$76)^3/12*(1+assumptions!$G$70+assumptions!$G$71+IF(45&gt;=assumptions!$G$73,assumptions!$G$72,0))+assumptions!$G$74/12)+IF(45=E39,D39*assumptions!$G$75,0),0)</f>
        <v>0</v>
      </c>
      <c r="AZ39" s="19" t="n">
        <f aca="false">IF(AND(46&gt;=E39,OR(F39="",46&lt;=F39)),(D39*(1+assumptions!$G$76)^3/12*(1+assumptions!$G$70+assumptions!$G$71+IF(46&gt;=assumptions!$G$73,assumptions!$G$72,0))+assumptions!$G$74/12)+IF(46=E39,D39*assumptions!$G$75,0),0)</f>
        <v>0</v>
      </c>
      <c r="BA39" s="19" t="n">
        <f aca="false">IF(AND(47&gt;=E39,OR(F39="",47&lt;=F39)),(D39*(1+assumptions!$G$76)^3/12*(1+assumptions!$G$70+assumptions!$G$71+IF(47&gt;=assumptions!$G$73,assumptions!$G$72,0))+assumptions!$G$74/12)+IF(47=E39,D39*assumptions!$G$75,0),0)</f>
        <v>0</v>
      </c>
      <c r="BB39" s="19" t="n">
        <f aca="false">IF(AND(48&gt;=E39,OR(F39="",48&lt;=F39)),(D39*(1+assumptions!$G$76)^3/12*(1+assumptions!$G$70+assumptions!$G$71+IF(48&gt;=assumptions!$G$73,assumptions!$G$72,0))+assumptions!$G$74/12)+IF(48=E39,D39*assumptions!$G$75,0),0)</f>
        <v>0</v>
      </c>
      <c r="BC39" s="19" t="n">
        <f aca="false">IF(AND(49&gt;=E39,OR(F39="",49&lt;=F39)),(D39*(1+assumptions!$G$76)^4/12*(1+assumptions!$G$70+assumptions!$G$71+IF(49&gt;=assumptions!$G$73,assumptions!$G$72,0))+assumptions!$G$74/12)+IF(49=E39,D39*assumptions!$G$75,0),0)</f>
        <v>0</v>
      </c>
      <c r="BD39" s="19" t="n">
        <f aca="false">IF(AND(50&gt;=E39,OR(F39="",50&lt;=F39)),(D39*(1+assumptions!$G$76)^4/12*(1+assumptions!$G$70+assumptions!$G$71+IF(50&gt;=assumptions!$G$73,assumptions!$G$72,0))+assumptions!$G$74/12)+IF(50=E39,D39*assumptions!$G$75,0),0)</f>
        <v>0</v>
      </c>
      <c r="BE39" s="19" t="n">
        <f aca="false">IF(AND(51&gt;=E39,OR(F39="",51&lt;=F39)),(D39*(1+assumptions!$G$76)^4/12*(1+assumptions!$G$70+assumptions!$G$71+IF(51&gt;=assumptions!$G$73,assumptions!$G$72,0))+assumptions!$G$74/12)+IF(51=E39,D39*assumptions!$G$75,0),0)</f>
        <v>0</v>
      </c>
      <c r="BF39" s="19" t="n">
        <f aca="false">IF(AND(52&gt;=E39,OR(F39="",52&lt;=F39)),(D39*(1+assumptions!$G$76)^4/12*(1+assumptions!$G$70+assumptions!$G$71+IF(52&gt;=assumptions!$G$73,assumptions!$G$72,0))+assumptions!$G$74/12)+IF(52=E39,D39*assumptions!$G$75,0),0)</f>
        <v>0</v>
      </c>
      <c r="BG39" s="19" t="n">
        <f aca="false">IF(AND(53&gt;=E39,OR(F39="",53&lt;=F39)),(D39*(1+assumptions!$G$76)^4/12*(1+assumptions!$G$70+assumptions!$G$71+IF(53&gt;=assumptions!$G$73,assumptions!$G$72,0))+assumptions!$G$74/12)+IF(53=E39,D39*assumptions!$G$75,0),0)</f>
        <v>0</v>
      </c>
      <c r="BH39" s="19" t="n">
        <f aca="false">IF(AND(54&gt;=E39,OR(F39="",54&lt;=F39)),(D39*(1+assumptions!$G$76)^4/12*(1+assumptions!$G$70+assumptions!$G$71+IF(54&gt;=assumptions!$G$73,assumptions!$G$72,0))+assumptions!$G$74/12)+IF(54=E39,D39*assumptions!$G$75,0),0)</f>
        <v>25413.5990528</v>
      </c>
      <c r="BI39" s="19" t="n">
        <f aca="false">IF(AND(55&gt;=E39,OR(F39="",55&lt;=F39)),(D39*(1+assumptions!$G$76)^4/12*(1+assumptions!$G$70+assumptions!$G$71+IF(55&gt;=assumptions!$G$73,assumptions!$G$72,0))+assumptions!$G$74/12)+IF(55=E39,D39*assumptions!$G$75,0),0)</f>
        <v>11163.5990528</v>
      </c>
      <c r="BJ39" s="19" t="n">
        <f aca="false">IF(AND(56&gt;=E39,OR(F39="",56&lt;=F39)),(D39*(1+assumptions!$G$76)^4/12*(1+assumptions!$G$70+assumptions!$G$71+IF(56&gt;=assumptions!$G$73,assumptions!$G$72,0))+assumptions!$G$74/12)+IF(56=E39,D39*assumptions!$G$75,0),0)</f>
        <v>11163.5990528</v>
      </c>
      <c r="BK39" s="19" t="n">
        <f aca="false">IF(AND(57&gt;=E39,OR(F39="",57&lt;=F39)),(D39*(1+assumptions!$G$76)^4/12*(1+assumptions!$G$70+assumptions!$G$71+IF(57&gt;=assumptions!$G$73,assumptions!$G$72,0))+assumptions!$G$74/12)+IF(57=E39,D39*assumptions!$G$75,0),0)</f>
        <v>11163.5990528</v>
      </c>
      <c r="BL39" s="19" t="n">
        <f aca="false">IF(AND(58&gt;=E39,OR(F39="",58&lt;=F39)),(D39*(1+assumptions!$G$76)^4/12*(1+assumptions!$G$70+assumptions!$G$71+IF(58&gt;=assumptions!$G$73,assumptions!$G$72,0))+assumptions!$G$74/12)+IF(58=E39,D39*assumptions!$G$75,0),0)</f>
        <v>11163.5990528</v>
      </c>
      <c r="BM39" s="19" t="n">
        <f aca="false">IF(AND(59&gt;=E39,OR(F39="",59&lt;=F39)),(D39*(1+assumptions!$G$76)^4/12*(1+assumptions!$G$70+assumptions!$G$71+IF(59&gt;=assumptions!$G$73,assumptions!$G$72,0))+assumptions!$G$74/12)+IF(59=E39,D39*assumptions!$G$75,0),0)</f>
        <v>11163.5990528</v>
      </c>
      <c r="BN39" s="19" t="n">
        <f aca="false">IF(AND(60&gt;=E39,OR(F39="",60&lt;=F39)),(D39*(1+assumptions!$G$76)^4/12*(1+assumptions!$G$70+assumptions!$G$71+IF(60&gt;=assumptions!$G$73,assumptions!$G$72,0))+assumptions!$G$74/12)+IF(60=E39,D39*assumptions!$G$75,0),0)</f>
        <v>11163.5990528</v>
      </c>
    </row>
    <row r="40" customFormat="false" ht="14.25" hidden="false" customHeight="false" outlineLevel="0" collapsed="false">
      <c r="A40" s="7" t="n">
        <v>37</v>
      </c>
      <c r="B40" s="7" t="s">
        <v>380</v>
      </c>
      <c r="C40" s="7" t="s">
        <v>358</v>
      </c>
      <c r="D40" s="17" t="n">
        <v>70000</v>
      </c>
      <c r="E40" s="49" t="n">
        <v>56</v>
      </c>
      <c r="F40" s="49"/>
      <c r="G40" s="19" t="n">
        <f aca="false">IF(AND(1&gt;=E40,OR(F40="",1&lt;=F40)),(D40*(1+assumptions!$G$76)^0/12*(1+assumptions!$G$70+assumptions!$G$71+IF(1&gt;=assumptions!$G$73,assumptions!$G$72,0))+assumptions!$G$74/12)+IF(1=E40,D40*assumptions!$G$75,0),0)</f>
        <v>0</v>
      </c>
      <c r="H40" s="19" t="n">
        <f aca="false">IF(AND(2&gt;=E40,OR(F40="",2&lt;=F40)),(D40*(1+assumptions!$G$76)^0/12*(1+assumptions!$G$70+assumptions!$G$71+IF(2&gt;=assumptions!$G$73,assumptions!$G$72,0))+assumptions!$G$74/12)+IF(2=E40,D40*assumptions!$G$75,0),0)</f>
        <v>0</v>
      </c>
      <c r="I40" s="19" t="n">
        <f aca="false">IF(AND(3&gt;=E40,OR(F40="",3&lt;=F40)),(D40*(1+assumptions!$G$76)^0/12*(1+assumptions!$G$70+assumptions!$G$71+IF(3&gt;=assumptions!$G$73,assumptions!$G$72,0))+assumptions!$G$74/12)+IF(3=E40,D40*assumptions!$G$75,0),0)</f>
        <v>0</v>
      </c>
      <c r="J40" s="19" t="n">
        <f aca="false">IF(AND(4&gt;=E40,OR(F40="",4&lt;=F40)),(D40*(1+assumptions!$G$76)^0/12*(1+assumptions!$G$70+assumptions!$G$71+IF(4&gt;=assumptions!$G$73,assumptions!$G$72,0))+assumptions!$G$74/12)+IF(4=E40,D40*assumptions!$G$75,0),0)</f>
        <v>0</v>
      </c>
      <c r="K40" s="19" t="n">
        <f aca="false">IF(AND(5&gt;=E40,OR(F40="",5&lt;=F40)),(D40*(1+assumptions!$G$76)^0/12*(1+assumptions!$G$70+assumptions!$G$71+IF(5&gt;=assumptions!$G$73,assumptions!$G$72,0))+assumptions!$G$74/12)+IF(5=E40,D40*assumptions!$G$75,0),0)</f>
        <v>0</v>
      </c>
      <c r="L40" s="19" t="n">
        <f aca="false">IF(AND(6&gt;=E40,OR(F40="",6&lt;=F40)),(D40*(1+assumptions!$G$76)^0/12*(1+assumptions!$G$70+assumptions!$G$71+IF(6&gt;=assumptions!$G$73,assumptions!$G$72,0))+assumptions!$G$74/12)+IF(6=E40,D40*assumptions!$G$75,0),0)</f>
        <v>0</v>
      </c>
      <c r="M40" s="19" t="n">
        <f aca="false">IF(AND(7&gt;=E40,OR(F40="",7&lt;=F40)),(D40*(1+assumptions!$G$76)^0/12*(1+assumptions!$G$70+assumptions!$G$71+IF(7&gt;=assumptions!$G$73,assumptions!$G$72,0))+assumptions!$G$74/12)+IF(7=E40,D40*assumptions!$G$75,0),0)</f>
        <v>0</v>
      </c>
      <c r="N40" s="19" t="n">
        <f aca="false">IF(AND(8&gt;=E40,OR(F40="",8&lt;=F40)),(D40*(1+assumptions!$G$76)^0/12*(1+assumptions!$G$70+assumptions!$G$71+IF(8&gt;=assumptions!$G$73,assumptions!$G$72,0))+assumptions!$G$74/12)+IF(8=E40,D40*assumptions!$G$75,0),0)</f>
        <v>0</v>
      </c>
      <c r="O40" s="19" t="n">
        <f aca="false">IF(AND(9&gt;=E40,OR(F40="",9&lt;=F40)),(D40*(1+assumptions!$G$76)^0/12*(1+assumptions!$G$70+assumptions!$G$71+IF(9&gt;=assumptions!$G$73,assumptions!$G$72,0))+assumptions!$G$74/12)+IF(9=E40,D40*assumptions!$G$75,0),0)</f>
        <v>0</v>
      </c>
      <c r="P40" s="19" t="n">
        <f aca="false">IF(AND(10&gt;=E40,OR(F40="",10&lt;=F40)),(D40*(1+assumptions!$G$76)^0/12*(1+assumptions!$G$70+assumptions!$G$71+IF(10&gt;=assumptions!$G$73,assumptions!$G$72,0))+assumptions!$G$74/12)+IF(10=E40,D40*assumptions!$G$75,0),0)</f>
        <v>0</v>
      </c>
      <c r="Q40" s="19" t="n">
        <f aca="false">IF(AND(11&gt;=E40,OR(F40="",11&lt;=F40)),(D40*(1+assumptions!$G$76)^0/12*(1+assumptions!$G$70+assumptions!$G$71+IF(11&gt;=assumptions!$G$73,assumptions!$G$72,0))+assumptions!$G$74/12)+IF(11=E40,D40*assumptions!$G$75,0),0)</f>
        <v>0</v>
      </c>
      <c r="R40" s="19" t="n">
        <f aca="false">IF(AND(12&gt;=E40,OR(F40="",12&lt;=F40)),(D40*(1+assumptions!$G$76)^0/12*(1+assumptions!$G$70+assumptions!$G$71+IF(12&gt;=assumptions!$G$73,assumptions!$G$72,0))+assumptions!$G$74/12)+IF(12=E40,D40*assumptions!$G$75,0),0)</f>
        <v>0</v>
      </c>
      <c r="S40" s="19" t="n">
        <f aca="false">IF(AND(13&gt;=E40,OR(F40="",13&lt;=F40)),(D40*(1+assumptions!$G$76)^1/12*(1+assumptions!$G$70+assumptions!$G$71+IF(13&gt;=assumptions!$G$73,assumptions!$G$72,0))+assumptions!$G$74/12)+IF(13=E40,D40*assumptions!$G$75,0),0)</f>
        <v>0</v>
      </c>
      <c r="T40" s="19" t="n">
        <f aca="false">IF(AND(14&gt;=E40,OR(F40="",14&lt;=F40)),(D40*(1+assumptions!$G$76)^1/12*(1+assumptions!$G$70+assumptions!$G$71+IF(14&gt;=assumptions!$G$73,assumptions!$G$72,0))+assumptions!$G$74/12)+IF(14=E40,D40*assumptions!$G$75,0),0)</f>
        <v>0</v>
      </c>
      <c r="U40" s="19" t="n">
        <f aca="false">IF(AND(15&gt;=E40,OR(F40="",15&lt;=F40)),(D40*(1+assumptions!$G$76)^1/12*(1+assumptions!$G$70+assumptions!$G$71+IF(15&gt;=assumptions!$G$73,assumptions!$G$72,0))+assumptions!$G$74/12)+IF(15=E40,D40*assumptions!$G$75,0),0)</f>
        <v>0</v>
      </c>
      <c r="V40" s="19" t="n">
        <f aca="false">IF(AND(16&gt;=E40,OR(F40="",16&lt;=F40)),(D40*(1+assumptions!$G$76)^1/12*(1+assumptions!$G$70+assumptions!$G$71+IF(16&gt;=assumptions!$G$73,assumptions!$G$72,0))+assumptions!$G$74/12)+IF(16=E40,D40*assumptions!$G$75,0),0)</f>
        <v>0</v>
      </c>
      <c r="W40" s="19" t="n">
        <f aca="false">IF(AND(17&gt;=E40,OR(F40="",17&lt;=F40)),(D40*(1+assumptions!$G$76)^1/12*(1+assumptions!$G$70+assumptions!$G$71+IF(17&gt;=assumptions!$G$73,assumptions!$G$72,0))+assumptions!$G$74/12)+IF(17=E40,D40*assumptions!$G$75,0),0)</f>
        <v>0</v>
      </c>
      <c r="X40" s="19" t="n">
        <f aca="false">IF(AND(18&gt;=E40,OR(F40="",18&lt;=F40)),(D40*(1+assumptions!$G$76)^1/12*(1+assumptions!$G$70+assumptions!$G$71+IF(18&gt;=assumptions!$G$73,assumptions!$G$72,0))+assumptions!$G$74/12)+IF(18=E40,D40*assumptions!$G$75,0),0)</f>
        <v>0</v>
      </c>
      <c r="Y40" s="19" t="n">
        <f aca="false">IF(AND(19&gt;=E40,OR(F40="",19&lt;=F40)),(D40*(1+assumptions!$G$76)^1/12*(1+assumptions!$G$70+assumptions!$G$71+IF(19&gt;=assumptions!$G$73,assumptions!$G$72,0))+assumptions!$G$74/12)+IF(19=E40,D40*assumptions!$G$75,0),0)</f>
        <v>0</v>
      </c>
      <c r="Z40" s="19" t="n">
        <f aca="false">IF(AND(20&gt;=E40,OR(F40="",20&lt;=F40)),(D40*(1+assumptions!$G$76)^1/12*(1+assumptions!$G$70+assumptions!$G$71+IF(20&gt;=assumptions!$G$73,assumptions!$G$72,0))+assumptions!$G$74/12)+IF(20=E40,D40*assumptions!$G$75,0),0)</f>
        <v>0</v>
      </c>
      <c r="AA40" s="19" t="n">
        <f aca="false">IF(AND(21&gt;=E40,OR(F40="",21&lt;=F40)),(D40*(1+assumptions!$G$76)^1/12*(1+assumptions!$G$70+assumptions!$G$71+IF(21&gt;=assumptions!$G$73,assumptions!$G$72,0))+assumptions!$G$74/12)+IF(21=E40,D40*assumptions!$G$75,0),0)</f>
        <v>0</v>
      </c>
      <c r="AB40" s="19" t="n">
        <f aca="false">IF(AND(22&gt;=E40,OR(F40="",22&lt;=F40)),(D40*(1+assumptions!$G$76)^1/12*(1+assumptions!$G$70+assumptions!$G$71+IF(22&gt;=assumptions!$G$73,assumptions!$G$72,0))+assumptions!$G$74/12)+IF(22=E40,D40*assumptions!$G$75,0),0)</f>
        <v>0</v>
      </c>
      <c r="AC40" s="19" t="n">
        <f aca="false">IF(AND(23&gt;=E40,OR(F40="",23&lt;=F40)),(D40*(1+assumptions!$G$76)^1/12*(1+assumptions!$G$70+assumptions!$G$71+IF(23&gt;=assumptions!$G$73,assumptions!$G$72,0))+assumptions!$G$74/12)+IF(23=E40,D40*assumptions!$G$75,0),0)</f>
        <v>0</v>
      </c>
      <c r="AD40" s="19" t="n">
        <f aca="false">IF(AND(24&gt;=E40,OR(F40="",24&lt;=F40)),(D40*(1+assumptions!$G$76)^1/12*(1+assumptions!$G$70+assumptions!$G$71+IF(24&gt;=assumptions!$G$73,assumptions!$G$72,0))+assumptions!$G$74/12)+IF(24=E40,D40*assumptions!$G$75,0),0)</f>
        <v>0</v>
      </c>
      <c r="AE40" s="19" t="n">
        <f aca="false">IF(AND(25&gt;=E40,OR(F40="",25&lt;=F40)),(D40*(1+assumptions!$G$76)^2/12*(1+assumptions!$G$70+assumptions!$G$71+IF(25&gt;=assumptions!$G$73,assumptions!$G$72,0))+assumptions!$G$74/12)+IF(25=E40,D40*assumptions!$G$75,0),0)</f>
        <v>0</v>
      </c>
      <c r="AF40" s="19" t="n">
        <f aca="false">IF(AND(26&gt;=E40,OR(F40="",26&lt;=F40)),(D40*(1+assumptions!$G$76)^2/12*(1+assumptions!$G$70+assumptions!$G$71+IF(26&gt;=assumptions!$G$73,assumptions!$G$72,0))+assumptions!$G$74/12)+IF(26=E40,D40*assumptions!$G$75,0),0)</f>
        <v>0</v>
      </c>
      <c r="AG40" s="19" t="n">
        <f aca="false">IF(AND(27&gt;=E40,OR(F40="",27&lt;=F40)),(D40*(1+assumptions!$G$76)^2/12*(1+assumptions!$G$70+assumptions!$G$71+IF(27&gt;=assumptions!$G$73,assumptions!$G$72,0))+assumptions!$G$74/12)+IF(27=E40,D40*assumptions!$G$75,0),0)</f>
        <v>0</v>
      </c>
      <c r="AH40" s="19" t="n">
        <f aca="false">IF(AND(28&gt;=E40,OR(F40="",28&lt;=F40)),(D40*(1+assumptions!$G$76)^2/12*(1+assumptions!$G$70+assumptions!$G$71+IF(28&gt;=assumptions!$G$73,assumptions!$G$72,0))+assumptions!$G$74/12)+IF(28=E40,D40*assumptions!$G$75,0),0)</f>
        <v>0</v>
      </c>
      <c r="AI40" s="19" t="n">
        <f aca="false">IF(AND(29&gt;=E40,OR(F40="",29&lt;=F40)),(D40*(1+assumptions!$G$76)^2/12*(1+assumptions!$G$70+assumptions!$G$71+IF(29&gt;=assumptions!$G$73,assumptions!$G$72,0))+assumptions!$G$74/12)+IF(29=E40,D40*assumptions!$G$75,0),0)</f>
        <v>0</v>
      </c>
      <c r="AJ40" s="19" t="n">
        <f aca="false">IF(AND(30&gt;=E40,OR(F40="",30&lt;=F40)),(D40*(1+assumptions!$G$76)^2/12*(1+assumptions!$G$70+assumptions!$G$71+IF(30&gt;=assumptions!$G$73,assumptions!$G$72,0))+assumptions!$G$74/12)+IF(30=E40,D40*assumptions!$G$75,0),0)</f>
        <v>0</v>
      </c>
      <c r="AK40" s="19" t="n">
        <f aca="false">IF(AND(31&gt;=E40,OR(F40="",31&lt;=F40)),(D40*(1+assumptions!$G$76)^2/12*(1+assumptions!$G$70+assumptions!$G$71+IF(31&gt;=assumptions!$G$73,assumptions!$G$72,0))+assumptions!$G$74/12)+IF(31=E40,D40*assumptions!$G$75,0),0)</f>
        <v>0</v>
      </c>
      <c r="AL40" s="19" t="n">
        <f aca="false">IF(AND(32&gt;=E40,OR(F40="",32&lt;=F40)),(D40*(1+assumptions!$G$76)^2/12*(1+assumptions!$G$70+assumptions!$G$71+IF(32&gt;=assumptions!$G$73,assumptions!$G$72,0))+assumptions!$G$74/12)+IF(32=E40,D40*assumptions!$G$75,0),0)</f>
        <v>0</v>
      </c>
      <c r="AM40" s="19" t="n">
        <f aca="false">IF(AND(33&gt;=E40,OR(F40="",33&lt;=F40)),(D40*(1+assumptions!$G$76)^2/12*(1+assumptions!$G$70+assumptions!$G$71+IF(33&gt;=assumptions!$G$73,assumptions!$G$72,0))+assumptions!$G$74/12)+IF(33=E40,D40*assumptions!$G$75,0),0)</f>
        <v>0</v>
      </c>
      <c r="AN40" s="19" t="n">
        <f aca="false">IF(AND(34&gt;=E40,OR(F40="",34&lt;=F40)),(D40*(1+assumptions!$G$76)^2/12*(1+assumptions!$G$70+assumptions!$G$71+IF(34&gt;=assumptions!$G$73,assumptions!$G$72,0))+assumptions!$G$74/12)+IF(34=E40,D40*assumptions!$G$75,0),0)</f>
        <v>0</v>
      </c>
      <c r="AO40" s="19" t="n">
        <f aca="false">IF(AND(35&gt;=E40,OR(F40="",35&lt;=F40)),(D40*(1+assumptions!$G$76)^2/12*(1+assumptions!$G$70+assumptions!$G$71+IF(35&gt;=assumptions!$G$73,assumptions!$G$72,0))+assumptions!$G$74/12)+IF(35=E40,D40*assumptions!$G$75,0),0)</f>
        <v>0</v>
      </c>
      <c r="AP40" s="19" t="n">
        <f aca="false">IF(AND(36&gt;=E40,OR(F40="",36&lt;=F40)),(D40*(1+assumptions!$G$76)^2/12*(1+assumptions!$G$70+assumptions!$G$71+IF(36&gt;=assumptions!$G$73,assumptions!$G$72,0))+assumptions!$G$74/12)+IF(36=E40,D40*assumptions!$G$75,0),0)</f>
        <v>0</v>
      </c>
      <c r="AQ40" s="19" t="n">
        <f aca="false">IF(AND(37&gt;=E40,OR(F40="",37&lt;=F40)),(D40*(1+assumptions!$G$76)^3/12*(1+assumptions!$G$70+assumptions!$G$71+IF(37&gt;=assumptions!$G$73,assumptions!$G$72,0))+assumptions!$G$74/12)+IF(37=E40,D40*assumptions!$G$75,0),0)</f>
        <v>0</v>
      </c>
      <c r="AR40" s="19" t="n">
        <f aca="false">IF(AND(38&gt;=E40,OR(F40="",38&lt;=F40)),(D40*(1+assumptions!$G$76)^3/12*(1+assumptions!$G$70+assumptions!$G$71+IF(38&gt;=assumptions!$G$73,assumptions!$G$72,0))+assumptions!$G$74/12)+IF(38=E40,D40*assumptions!$G$75,0),0)</f>
        <v>0</v>
      </c>
      <c r="AS40" s="19" t="n">
        <f aca="false">IF(AND(39&gt;=E40,OR(F40="",39&lt;=F40)),(D40*(1+assumptions!$G$76)^3/12*(1+assumptions!$G$70+assumptions!$G$71+IF(39&gt;=assumptions!$G$73,assumptions!$G$72,0))+assumptions!$G$74/12)+IF(39=E40,D40*assumptions!$G$75,0),0)</f>
        <v>0</v>
      </c>
      <c r="AT40" s="19" t="n">
        <f aca="false">IF(AND(40&gt;=E40,OR(F40="",40&lt;=F40)),(D40*(1+assumptions!$G$76)^3/12*(1+assumptions!$G$70+assumptions!$G$71+IF(40&gt;=assumptions!$G$73,assumptions!$G$72,0))+assumptions!$G$74/12)+IF(40=E40,D40*assumptions!$G$75,0),0)</f>
        <v>0</v>
      </c>
      <c r="AU40" s="19" t="n">
        <f aca="false">IF(AND(41&gt;=E40,OR(F40="",41&lt;=F40)),(D40*(1+assumptions!$G$76)^3/12*(1+assumptions!$G$70+assumptions!$G$71+IF(41&gt;=assumptions!$G$73,assumptions!$G$72,0))+assumptions!$G$74/12)+IF(41=E40,D40*assumptions!$G$75,0),0)</f>
        <v>0</v>
      </c>
      <c r="AV40" s="19" t="n">
        <f aca="false">IF(AND(42&gt;=E40,OR(F40="",42&lt;=F40)),(D40*(1+assumptions!$G$76)^3/12*(1+assumptions!$G$70+assumptions!$G$71+IF(42&gt;=assumptions!$G$73,assumptions!$G$72,0))+assumptions!$G$74/12)+IF(42=E40,D40*assumptions!$G$75,0),0)</f>
        <v>0</v>
      </c>
      <c r="AW40" s="19" t="n">
        <f aca="false">IF(AND(43&gt;=E40,OR(F40="",43&lt;=F40)),(D40*(1+assumptions!$G$76)^3/12*(1+assumptions!$G$70+assumptions!$G$71+IF(43&gt;=assumptions!$G$73,assumptions!$G$72,0))+assumptions!$G$74/12)+IF(43=E40,D40*assumptions!$G$75,0),0)</f>
        <v>0</v>
      </c>
      <c r="AX40" s="19" t="n">
        <f aca="false">IF(AND(44&gt;=E40,OR(F40="",44&lt;=F40)),(D40*(1+assumptions!$G$76)^3/12*(1+assumptions!$G$70+assumptions!$G$71+IF(44&gt;=assumptions!$G$73,assumptions!$G$72,0))+assumptions!$G$74/12)+IF(44=E40,D40*assumptions!$G$75,0),0)</f>
        <v>0</v>
      </c>
      <c r="AY40" s="19" t="n">
        <f aca="false">IF(AND(45&gt;=E40,OR(F40="",45&lt;=F40)),(D40*(1+assumptions!$G$76)^3/12*(1+assumptions!$G$70+assumptions!$G$71+IF(45&gt;=assumptions!$G$73,assumptions!$G$72,0))+assumptions!$G$74/12)+IF(45=E40,D40*assumptions!$G$75,0),0)</f>
        <v>0</v>
      </c>
      <c r="AZ40" s="19" t="n">
        <f aca="false">IF(AND(46&gt;=E40,OR(F40="",46&lt;=F40)),(D40*(1+assumptions!$G$76)^3/12*(1+assumptions!$G$70+assumptions!$G$71+IF(46&gt;=assumptions!$G$73,assumptions!$G$72,0))+assumptions!$G$74/12)+IF(46=E40,D40*assumptions!$G$75,0),0)</f>
        <v>0</v>
      </c>
      <c r="BA40" s="19" t="n">
        <f aca="false">IF(AND(47&gt;=E40,OR(F40="",47&lt;=F40)),(D40*(1+assumptions!$G$76)^3/12*(1+assumptions!$G$70+assumptions!$G$71+IF(47&gt;=assumptions!$G$73,assumptions!$G$72,0))+assumptions!$G$74/12)+IF(47=E40,D40*assumptions!$G$75,0),0)</f>
        <v>0</v>
      </c>
      <c r="BB40" s="19" t="n">
        <f aca="false">IF(AND(48&gt;=E40,OR(F40="",48&lt;=F40)),(D40*(1+assumptions!$G$76)^3/12*(1+assumptions!$G$70+assumptions!$G$71+IF(48&gt;=assumptions!$G$73,assumptions!$G$72,0))+assumptions!$G$74/12)+IF(48=E40,D40*assumptions!$G$75,0),0)</f>
        <v>0</v>
      </c>
      <c r="BC40" s="19" t="n">
        <f aca="false">IF(AND(49&gt;=E40,OR(F40="",49&lt;=F40)),(D40*(1+assumptions!$G$76)^4/12*(1+assumptions!$G$70+assumptions!$G$71+IF(49&gt;=assumptions!$G$73,assumptions!$G$72,0))+assumptions!$G$74/12)+IF(49=E40,D40*assumptions!$G$75,0),0)</f>
        <v>0</v>
      </c>
      <c r="BD40" s="19" t="n">
        <f aca="false">IF(AND(50&gt;=E40,OR(F40="",50&lt;=F40)),(D40*(1+assumptions!$G$76)^4/12*(1+assumptions!$G$70+assumptions!$G$71+IF(50&gt;=assumptions!$G$73,assumptions!$G$72,0))+assumptions!$G$74/12)+IF(50=E40,D40*assumptions!$G$75,0),0)</f>
        <v>0</v>
      </c>
      <c r="BE40" s="19" t="n">
        <f aca="false">IF(AND(51&gt;=E40,OR(F40="",51&lt;=F40)),(D40*(1+assumptions!$G$76)^4/12*(1+assumptions!$G$70+assumptions!$G$71+IF(51&gt;=assumptions!$G$73,assumptions!$G$72,0))+assumptions!$G$74/12)+IF(51=E40,D40*assumptions!$G$75,0),0)</f>
        <v>0</v>
      </c>
      <c r="BF40" s="19" t="n">
        <f aca="false">IF(AND(52&gt;=E40,OR(F40="",52&lt;=F40)),(D40*(1+assumptions!$G$76)^4/12*(1+assumptions!$G$70+assumptions!$G$71+IF(52&gt;=assumptions!$G$73,assumptions!$G$72,0))+assumptions!$G$74/12)+IF(52=E40,D40*assumptions!$G$75,0),0)</f>
        <v>0</v>
      </c>
      <c r="BG40" s="19" t="n">
        <f aca="false">IF(AND(53&gt;=E40,OR(F40="",53&lt;=F40)),(D40*(1+assumptions!$G$76)^4/12*(1+assumptions!$G$70+assumptions!$G$71+IF(53&gt;=assumptions!$G$73,assumptions!$G$72,0))+assumptions!$G$74/12)+IF(53=E40,D40*assumptions!$G$75,0),0)</f>
        <v>0</v>
      </c>
      <c r="BH40" s="19" t="n">
        <f aca="false">IF(AND(54&gt;=E40,OR(F40="",54&lt;=F40)),(D40*(1+assumptions!$G$76)^4/12*(1+assumptions!$G$70+assumptions!$G$71+IF(54&gt;=assumptions!$G$73,assumptions!$G$72,0))+assumptions!$G$74/12)+IF(54=E40,D40*assumptions!$G$75,0),0)</f>
        <v>0</v>
      </c>
      <c r="BI40" s="19" t="n">
        <f aca="false">IF(AND(55&gt;=E40,OR(F40="",55&lt;=F40)),(D40*(1+assumptions!$G$76)^4/12*(1+assumptions!$G$70+assumptions!$G$71+IF(55&gt;=assumptions!$G$73,assumptions!$G$72,0))+assumptions!$G$74/12)+IF(55=E40,D40*assumptions!$G$75,0),0)</f>
        <v>0</v>
      </c>
      <c r="BJ40" s="19" t="n">
        <f aca="false">IF(AND(56&gt;=E40,OR(F40="",56&lt;=F40)),(D40*(1+assumptions!$G$76)^4/12*(1+assumptions!$G$70+assumptions!$G$71+IF(56&gt;=assumptions!$G$73,assumptions!$G$72,0))+assumptions!$G$74/12)+IF(56=E40,D40*assumptions!$G$75,0),0)</f>
        <v>18804.7571968</v>
      </c>
      <c r="BK40" s="19" t="n">
        <f aca="false">IF(AND(57&gt;=E40,OR(F40="",57&lt;=F40)),(D40*(1+assumptions!$G$76)^4/12*(1+assumptions!$G$70+assumptions!$G$71+IF(57&gt;=assumptions!$G$73,assumptions!$G$72,0))+assumptions!$G$74/12)+IF(57=E40,D40*assumptions!$G$75,0),0)</f>
        <v>8304.7571968</v>
      </c>
      <c r="BL40" s="19" t="n">
        <f aca="false">IF(AND(58&gt;=E40,OR(F40="",58&lt;=F40)),(D40*(1+assumptions!$G$76)^4/12*(1+assumptions!$G$70+assumptions!$G$71+IF(58&gt;=assumptions!$G$73,assumptions!$G$72,0))+assumptions!$G$74/12)+IF(58=E40,D40*assumptions!$G$75,0),0)</f>
        <v>8304.7571968</v>
      </c>
      <c r="BM40" s="19" t="n">
        <f aca="false">IF(AND(59&gt;=E40,OR(F40="",59&lt;=F40)),(D40*(1+assumptions!$G$76)^4/12*(1+assumptions!$G$70+assumptions!$G$71+IF(59&gt;=assumptions!$G$73,assumptions!$G$72,0))+assumptions!$G$74/12)+IF(59=E40,D40*assumptions!$G$75,0),0)</f>
        <v>8304.7571968</v>
      </c>
      <c r="BN40" s="19" t="n">
        <f aca="false">IF(AND(60&gt;=E40,OR(F40="",60&lt;=F40)),(D40*(1+assumptions!$G$76)^4/12*(1+assumptions!$G$70+assumptions!$G$71+IF(60&gt;=assumptions!$G$73,assumptions!$G$72,0))+assumptions!$G$74/12)+IF(60=E40,D40*assumptions!$G$75,0),0)</f>
        <v>8304.7571968</v>
      </c>
    </row>
    <row r="41" customFormat="false" ht="14.25" hidden="false" customHeight="false" outlineLevel="0" collapsed="false">
      <c r="A41" s="7" t="n">
        <v>38</v>
      </c>
      <c r="B41" s="7" t="s">
        <v>381</v>
      </c>
      <c r="C41" s="7" t="s">
        <v>360</v>
      </c>
      <c r="D41" s="17" t="n">
        <v>90000</v>
      </c>
      <c r="E41" s="49" t="n">
        <v>58</v>
      </c>
      <c r="F41" s="49"/>
      <c r="G41" s="19" t="n">
        <f aca="false">IF(AND(1&gt;=E41,OR(F41="",1&lt;=F41)),(D41*(1+assumptions!$G$76)^0/12*(1+assumptions!$G$70+assumptions!$G$71+IF(1&gt;=assumptions!$G$73,assumptions!$G$72,0))+assumptions!$G$74/12)+IF(1=E41,D41*assumptions!$G$75,0),0)</f>
        <v>0</v>
      </c>
      <c r="H41" s="19" t="n">
        <f aca="false">IF(AND(2&gt;=E41,OR(F41="",2&lt;=F41)),(D41*(1+assumptions!$G$76)^0/12*(1+assumptions!$G$70+assumptions!$G$71+IF(2&gt;=assumptions!$G$73,assumptions!$G$72,0))+assumptions!$G$74/12)+IF(2=E41,D41*assumptions!$G$75,0),0)</f>
        <v>0</v>
      </c>
      <c r="I41" s="19" t="n">
        <f aca="false">IF(AND(3&gt;=E41,OR(F41="",3&lt;=F41)),(D41*(1+assumptions!$G$76)^0/12*(1+assumptions!$G$70+assumptions!$G$71+IF(3&gt;=assumptions!$G$73,assumptions!$G$72,0))+assumptions!$G$74/12)+IF(3=E41,D41*assumptions!$G$75,0),0)</f>
        <v>0</v>
      </c>
      <c r="J41" s="19" t="n">
        <f aca="false">IF(AND(4&gt;=E41,OR(F41="",4&lt;=F41)),(D41*(1+assumptions!$G$76)^0/12*(1+assumptions!$G$70+assumptions!$G$71+IF(4&gt;=assumptions!$G$73,assumptions!$G$72,0))+assumptions!$G$74/12)+IF(4=E41,D41*assumptions!$G$75,0),0)</f>
        <v>0</v>
      </c>
      <c r="K41" s="19" t="n">
        <f aca="false">IF(AND(5&gt;=E41,OR(F41="",5&lt;=F41)),(D41*(1+assumptions!$G$76)^0/12*(1+assumptions!$G$70+assumptions!$G$71+IF(5&gt;=assumptions!$G$73,assumptions!$G$72,0))+assumptions!$G$74/12)+IF(5=E41,D41*assumptions!$G$75,0),0)</f>
        <v>0</v>
      </c>
      <c r="L41" s="19" t="n">
        <f aca="false">IF(AND(6&gt;=E41,OR(F41="",6&lt;=F41)),(D41*(1+assumptions!$G$76)^0/12*(1+assumptions!$G$70+assumptions!$G$71+IF(6&gt;=assumptions!$G$73,assumptions!$G$72,0))+assumptions!$G$74/12)+IF(6=E41,D41*assumptions!$G$75,0),0)</f>
        <v>0</v>
      </c>
      <c r="M41" s="19" t="n">
        <f aca="false">IF(AND(7&gt;=E41,OR(F41="",7&lt;=F41)),(D41*(1+assumptions!$G$76)^0/12*(1+assumptions!$G$70+assumptions!$G$71+IF(7&gt;=assumptions!$G$73,assumptions!$G$72,0))+assumptions!$G$74/12)+IF(7=E41,D41*assumptions!$G$75,0),0)</f>
        <v>0</v>
      </c>
      <c r="N41" s="19" t="n">
        <f aca="false">IF(AND(8&gt;=E41,OR(F41="",8&lt;=F41)),(D41*(1+assumptions!$G$76)^0/12*(1+assumptions!$G$70+assumptions!$G$71+IF(8&gt;=assumptions!$G$73,assumptions!$G$72,0))+assumptions!$G$74/12)+IF(8=E41,D41*assumptions!$G$75,0),0)</f>
        <v>0</v>
      </c>
      <c r="O41" s="19" t="n">
        <f aca="false">IF(AND(9&gt;=E41,OR(F41="",9&lt;=F41)),(D41*(1+assumptions!$G$76)^0/12*(1+assumptions!$G$70+assumptions!$G$71+IF(9&gt;=assumptions!$G$73,assumptions!$G$72,0))+assumptions!$G$74/12)+IF(9=E41,D41*assumptions!$G$75,0),0)</f>
        <v>0</v>
      </c>
      <c r="P41" s="19" t="n">
        <f aca="false">IF(AND(10&gt;=E41,OR(F41="",10&lt;=F41)),(D41*(1+assumptions!$G$76)^0/12*(1+assumptions!$G$70+assumptions!$G$71+IF(10&gt;=assumptions!$G$73,assumptions!$G$72,0))+assumptions!$G$74/12)+IF(10=E41,D41*assumptions!$G$75,0),0)</f>
        <v>0</v>
      </c>
      <c r="Q41" s="19" t="n">
        <f aca="false">IF(AND(11&gt;=E41,OR(F41="",11&lt;=F41)),(D41*(1+assumptions!$G$76)^0/12*(1+assumptions!$G$70+assumptions!$G$71+IF(11&gt;=assumptions!$G$73,assumptions!$G$72,0))+assumptions!$G$74/12)+IF(11=E41,D41*assumptions!$G$75,0),0)</f>
        <v>0</v>
      </c>
      <c r="R41" s="19" t="n">
        <f aca="false">IF(AND(12&gt;=E41,OR(F41="",12&lt;=F41)),(D41*(1+assumptions!$G$76)^0/12*(1+assumptions!$G$70+assumptions!$G$71+IF(12&gt;=assumptions!$G$73,assumptions!$G$72,0))+assumptions!$G$74/12)+IF(12=E41,D41*assumptions!$G$75,0),0)</f>
        <v>0</v>
      </c>
      <c r="S41" s="19" t="n">
        <f aca="false">IF(AND(13&gt;=E41,OR(F41="",13&lt;=F41)),(D41*(1+assumptions!$G$76)^1/12*(1+assumptions!$G$70+assumptions!$G$71+IF(13&gt;=assumptions!$G$73,assumptions!$G$72,0))+assumptions!$G$74/12)+IF(13=E41,D41*assumptions!$G$75,0),0)</f>
        <v>0</v>
      </c>
      <c r="T41" s="19" t="n">
        <f aca="false">IF(AND(14&gt;=E41,OR(F41="",14&lt;=F41)),(D41*(1+assumptions!$G$76)^1/12*(1+assumptions!$G$70+assumptions!$G$71+IF(14&gt;=assumptions!$G$73,assumptions!$G$72,0))+assumptions!$G$74/12)+IF(14=E41,D41*assumptions!$G$75,0),0)</f>
        <v>0</v>
      </c>
      <c r="U41" s="19" t="n">
        <f aca="false">IF(AND(15&gt;=E41,OR(F41="",15&lt;=F41)),(D41*(1+assumptions!$G$76)^1/12*(1+assumptions!$G$70+assumptions!$G$71+IF(15&gt;=assumptions!$G$73,assumptions!$G$72,0))+assumptions!$G$74/12)+IF(15=E41,D41*assumptions!$G$75,0),0)</f>
        <v>0</v>
      </c>
      <c r="V41" s="19" t="n">
        <f aca="false">IF(AND(16&gt;=E41,OR(F41="",16&lt;=F41)),(D41*(1+assumptions!$G$76)^1/12*(1+assumptions!$G$70+assumptions!$G$71+IF(16&gt;=assumptions!$G$73,assumptions!$G$72,0))+assumptions!$G$74/12)+IF(16=E41,D41*assumptions!$G$75,0),0)</f>
        <v>0</v>
      </c>
      <c r="W41" s="19" t="n">
        <f aca="false">IF(AND(17&gt;=E41,OR(F41="",17&lt;=F41)),(D41*(1+assumptions!$G$76)^1/12*(1+assumptions!$G$70+assumptions!$G$71+IF(17&gt;=assumptions!$G$73,assumptions!$G$72,0))+assumptions!$G$74/12)+IF(17=E41,D41*assumptions!$G$75,0),0)</f>
        <v>0</v>
      </c>
      <c r="X41" s="19" t="n">
        <f aca="false">IF(AND(18&gt;=E41,OR(F41="",18&lt;=F41)),(D41*(1+assumptions!$G$76)^1/12*(1+assumptions!$G$70+assumptions!$G$71+IF(18&gt;=assumptions!$G$73,assumptions!$G$72,0))+assumptions!$G$74/12)+IF(18=E41,D41*assumptions!$G$75,0),0)</f>
        <v>0</v>
      </c>
      <c r="Y41" s="19" t="n">
        <f aca="false">IF(AND(19&gt;=E41,OR(F41="",19&lt;=F41)),(D41*(1+assumptions!$G$76)^1/12*(1+assumptions!$G$70+assumptions!$G$71+IF(19&gt;=assumptions!$G$73,assumptions!$G$72,0))+assumptions!$G$74/12)+IF(19=E41,D41*assumptions!$G$75,0),0)</f>
        <v>0</v>
      </c>
      <c r="Z41" s="19" t="n">
        <f aca="false">IF(AND(20&gt;=E41,OR(F41="",20&lt;=F41)),(D41*(1+assumptions!$G$76)^1/12*(1+assumptions!$G$70+assumptions!$G$71+IF(20&gt;=assumptions!$G$73,assumptions!$G$72,0))+assumptions!$G$74/12)+IF(20=E41,D41*assumptions!$G$75,0),0)</f>
        <v>0</v>
      </c>
      <c r="AA41" s="19" t="n">
        <f aca="false">IF(AND(21&gt;=E41,OR(F41="",21&lt;=F41)),(D41*(1+assumptions!$G$76)^1/12*(1+assumptions!$G$70+assumptions!$G$71+IF(21&gt;=assumptions!$G$73,assumptions!$G$72,0))+assumptions!$G$74/12)+IF(21=E41,D41*assumptions!$G$75,0),0)</f>
        <v>0</v>
      </c>
      <c r="AB41" s="19" t="n">
        <f aca="false">IF(AND(22&gt;=E41,OR(F41="",22&lt;=F41)),(D41*(1+assumptions!$G$76)^1/12*(1+assumptions!$G$70+assumptions!$G$71+IF(22&gt;=assumptions!$G$73,assumptions!$G$72,0))+assumptions!$G$74/12)+IF(22=E41,D41*assumptions!$G$75,0),0)</f>
        <v>0</v>
      </c>
      <c r="AC41" s="19" t="n">
        <f aca="false">IF(AND(23&gt;=E41,OR(F41="",23&lt;=F41)),(D41*(1+assumptions!$G$76)^1/12*(1+assumptions!$G$70+assumptions!$G$71+IF(23&gt;=assumptions!$G$73,assumptions!$G$72,0))+assumptions!$G$74/12)+IF(23=E41,D41*assumptions!$G$75,0),0)</f>
        <v>0</v>
      </c>
      <c r="AD41" s="19" t="n">
        <f aca="false">IF(AND(24&gt;=E41,OR(F41="",24&lt;=F41)),(D41*(1+assumptions!$G$76)^1/12*(1+assumptions!$G$70+assumptions!$G$71+IF(24&gt;=assumptions!$G$73,assumptions!$G$72,0))+assumptions!$G$74/12)+IF(24=E41,D41*assumptions!$G$75,0),0)</f>
        <v>0</v>
      </c>
      <c r="AE41" s="19" t="n">
        <f aca="false">IF(AND(25&gt;=E41,OR(F41="",25&lt;=F41)),(D41*(1+assumptions!$G$76)^2/12*(1+assumptions!$G$70+assumptions!$G$71+IF(25&gt;=assumptions!$G$73,assumptions!$G$72,0))+assumptions!$G$74/12)+IF(25=E41,D41*assumptions!$G$75,0),0)</f>
        <v>0</v>
      </c>
      <c r="AF41" s="19" t="n">
        <f aca="false">IF(AND(26&gt;=E41,OR(F41="",26&lt;=F41)),(D41*(1+assumptions!$G$76)^2/12*(1+assumptions!$G$70+assumptions!$G$71+IF(26&gt;=assumptions!$G$73,assumptions!$G$72,0))+assumptions!$G$74/12)+IF(26=E41,D41*assumptions!$G$75,0),0)</f>
        <v>0</v>
      </c>
      <c r="AG41" s="19" t="n">
        <f aca="false">IF(AND(27&gt;=E41,OR(F41="",27&lt;=F41)),(D41*(1+assumptions!$G$76)^2/12*(1+assumptions!$G$70+assumptions!$G$71+IF(27&gt;=assumptions!$G$73,assumptions!$G$72,0))+assumptions!$G$74/12)+IF(27=E41,D41*assumptions!$G$75,0),0)</f>
        <v>0</v>
      </c>
      <c r="AH41" s="19" t="n">
        <f aca="false">IF(AND(28&gt;=E41,OR(F41="",28&lt;=F41)),(D41*(1+assumptions!$G$76)^2/12*(1+assumptions!$G$70+assumptions!$G$71+IF(28&gt;=assumptions!$G$73,assumptions!$G$72,0))+assumptions!$G$74/12)+IF(28=E41,D41*assumptions!$G$75,0),0)</f>
        <v>0</v>
      </c>
      <c r="AI41" s="19" t="n">
        <f aca="false">IF(AND(29&gt;=E41,OR(F41="",29&lt;=F41)),(D41*(1+assumptions!$G$76)^2/12*(1+assumptions!$G$70+assumptions!$G$71+IF(29&gt;=assumptions!$G$73,assumptions!$G$72,0))+assumptions!$G$74/12)+IF(29=E41,D41*assumptions!$G$75,0),0)</f>
        <v>0</v>
      </c>
      <c r="AJ41" s="19" t="n">
        <f aca="false">IF(AND(30&gt;=E41,OR(F41="",30&lt;=F41)),(D41*(1+assumptions!$G$76)^2/12*(1+assumptions!$G$70+assumptions!$G$71+IF(30&gt;=assumptions!$G$73,assumptions!$G$72,0))+assumptions!$G$74/12)+IF(30=E41,D41*assumptions!$G$75,0),0)</f>
        <v>0</v>
      </c>
      <c r="AK41" s="19" t="n">
        <f aca="false">IF(AND(31&gt;=E41,OR(F41="",31&lt;=F41)),(D41*(1+assumptions!$G$76)^2/12*(1+assumptions!$G$70+assumptions!$G$71+IF(31&gt;=assumptions!$G$73,assumptions!$G$72,0))+assumptions!$G$74/12)+IF(31=E41,D41*assumptions!$G$75,0),0)</f>
        <v>0</v>
      </c>
      <c r="AL41" s="19" t="n">
        <f aca="false">IF(AND(32&gt;=E41,OR(F41="",32&lt;=F41)),(D41*(1+assumptions!$G$76)^2/12*(1+assumptions!$G$70+assumptions!$G$71+IF(32&gt;=assumptions!$G$73,assumptions!$G$72,0))+assumptions!$G$74/12)+IF(32=E41,D41*assumptions!$G$75,0),0)</f>
        <v>0</v>
      </c>
      <c r="AM41" s="19" t="n">
        <f aca="false">IF(AND(33&gt;=E41,OR(F41="",33&lt;=F41)),(D41*(1+assumptions!$G$76)^2/12*(1+assumptions!$G$70+assumptions!$G$71+IF(33&gt;=assumptions!$G$73,assumptions!$G$72,0))+assumptions!$G$74/12)+IF(33=E41,D41*assumptions!$G$75,0),0)</f>
        <v>0</v>
      </c>
      <c r="AN41" s="19" t="n">
        <f aca="false">IF(AND(34&gt;=E41,OR(F41="",34&lt;=F41)),(D41*(1+assumptions!$G$76)^2/12*(1+assumptions!$G$70+assumptions!$G$71+IF(34&gt;=assumptions!$G$73,assumptions!$G$72,0))+assumptions!$G$74/12)+IF(34=E41,D41*assumptions!$G$75,0),0)</f>
        <v>0</v>
      </c>
      <c r="AO41" s="19" t="n">
        <f aca="false">IF(AND(35&gt;=E41,OR(F41="",35&lt;=F41)),(D41*(1+assumptions!$G$76)^2/12*(1+assumptions!$G$70+assumptions!$G$71+IF(35&gt;=assumptions!$G$73,assumptions!$G$72,0))+assumptions!$G$74/12)+IF(35=E41,D41*assumptions!$G$75,0),0)</f>
        <v>0</v>
      </c>
      <c r="AP41" s="19" t="n">
        <f aca="false">IF(AND(36&gt;=E41,OR(F41="",36&lt;=F41)),(D41*(1+assumptions!$G$76)^2/12*(1+assumptions!$G$70+assumptions!$G$71+IF(36&gt;=assumptions!$G$73,assumptions!$G$72,0))+assumptions!$G$74/12)+IF(36=E41,D41*assumptions!$G$75,0),0)</f>
        <v>0</v>
      </c>
      <c r="AQ41" s="19" t="n">
        <f aca="false">IF(AND(37&gt;=E41,OR(F41="",37&lt;=F41)),(D41*(1+assumptions!$G$76)^3/12*(1+assumptions!$G$70+assumptions!$G$71+IF(37&gt;=assumptions!$G$73,assumptions!$G$72,0))+assumptions!$G$74/12)+IF(37=E41,D41*assumptions!$G$75,0),0)</f>
        <v>0</v>
      </c>
      <c r="AR41" s="19" t="n">
        <f aca="false">IF(AND(38&gt;=E41,OR(F41="",38&lt;=F41)),(D41*(1+assumptions!$G$76)^3/12*(1+assumptions!$G$70+assumptions!$G$71+IF(38&gt;=assumptions!$G$73,assumptions!$G$72,0))+assumptions!$G$74/12)+IF(38=E41,D41*assumptions!$G$75,0),0)</f>
        <v>0</v>
      </c>
      <c r="AS41" s="19" t="n">
        <f aca="false">IF(AND(39&gt;=E41,OR(F41="",39&lt;=F41)),(D41*(1+assumptions!$G$76)^3/12*(1+assumptions!$G$70+assumptions!$G$71+IF(39&gt;=assumptions!$G$73,assumptions!$G$72,0))+assumptions!$G$74/12)+IF(39=E41,D41*assumptions!$G$75,0),0)</f>
        <v>0</v>
      </c>
      <c r="AT41" s="19" t="n">
        <f aca="false">IF(AND(40&gt;=E41,OR(F41="",40&lt;=F41)),(D41*(1+assumptions!$G$76)^3/12*(1+assumptions!$G$70+assumptions!$G$71+IF(40&gt;=assumptions!$G$73,assumptions!$G$72,0))+assumptions!$G$74/12)+IF(40=E41,D41*assumptions!$G$75,0),0)</f>
        <v>0</v>
      </c>
      <c r="AU41" s="19" t="n">
        <f aca="false">IF(AND(41&gt;=E41,OR(F41="",41&lt;=F41)),(D41*(1+assumptions!$G$76)^3/12*(1+assumptions!$G$70+assumptions!$G$71+IF(41&gt;=assumptions!$G$73,assumptions!$G$72,0))+assumptions!$G$74/12)+IF(41=E41,D41*assumptions!$G$75,0),0)</f>
        <v>0</v>
      </c>
      <c r="AV41" s="19" t="n">
        <f aca="false">IF(AND(42&gt;=E41,OR(F41="",42&lt;=F41)),(D41*(1+assumptions!$G$76)^3/12*(1+assumptions!$G$70+assumptions!$G$71+IF(42&gt;=assumptions!$G$73,assumptions!$G$72,0))+assumptions!$G$74/12)+IF(42=E41,D41*assumptions!$G$75,0),0)</f>
        <v>0</v>
      </c>
      <c r="AW41" s="19" t="n">
        <f aca="false">IF(AND(43&gt;=E41,OR(F41="",43&lt;=F41)),(D41*(1+assumptions!$G$76)^3/12*(1+assumptions!$G$70+assumptions!$G$71+IF(43&gt;=assumptions!$G$73,assumptions!$G$72,0))+assumptions!$G$74/12)+IF(43=E41,D41*assumptions!$G$75,0),0)</f>
        <v>0</v>
      </c>
      <c r="AX41" s="19" t="n">
        <f aca="false">IF(AND(44&gt;=E41,OR(F41="",44&lt;=F41)),(D41*(1+assumptions!$G$76)^3/12*(1+assumptions!$G$70+assumptions!$G$71+IF(44&gt;=assumptions!$G$73,assumptions!$G$72,0))+assumptions!$G$74/12)+IF(44=E41,D41*assumptions!$G$75,0),0)</f>
        <v>0</v>
      </c>
      <c r="AY41" s="19" t="n">
        <f aca="false">IF(AND(45&gt;=E41,OR(F41="",45&lt;=F41)),(D41*(1+assumptions!$G$76)^3/12*(1+assumptions!$G$70+assumptions!$G$71+IF(45&gt;=assumptions!$G$73,assumptions!$G$72,0))+assumptions!$G$74/12)+IF(45=E41,D41*assumptions!$G$75,0),0)</f>
        <v>0</v>
      </c>
      <c r="AZ41" s="19" t="n">
        <f aca="false">IF(AND(46&gt;=E41,OR(F41="",46&lt;=F41)),(D41*(1+assumptions!$G$76)^3/12*(1+assumptions!$G$70+assumptions!$G$71+IF(46&gt;=assumptions!$G$73,assumptions!$G$72,0))+assumptions!$G$74/12)+IF(46=E41,D41*assumptions!$G$75,0),0)</f>
        <v>0</v>
      </c>
      <c r="BA41" s="19" t="n">
        <f aca="false">IF(AND(47&gt;=E41,OR(F41="",47&lt;=F41)),(D41*(1+assumptions!$G$76)^3/12*(1+assumptions!$G$70+assumptions!$G$71+IF(47&gt;=assumptions!$G$73,assumptions!$G$72,0))+assumptions!$G$74/12)+IF(47=E41,D41*assumptions!$G$75,0),0)</f>
        <v>0</v>
      </c>
      <c r="BB41" s="19" t="n">
        <f aca="false">IF(AND(48&gt;=E41,OR(F41="",48&lt;=F41)),(D41*(1+assumptions!$G$76)^3/12*(1+assumptions!$G$70+assumptions!$G$71+IF(48&gt;=assumptions!$G$73,assumptions!$G$72,0))+assumptions!$G$74/12)+IF(48=E41,D41*assumptions!$G$75,0),0)</f>
        <v>0</v>
      </c>
      <c r="BC41" s="19" t="n">
        <f aca="false">IF(AND(49&gt;=E41,OR(F41="",49&lt;=F41)),(D41*(1+assumptions!$G$76)^4/12*(1+assumptions!$G$70+assumptions!$G$71+IF(49&gt;=assumptions!$G$73,assumptions!$G$72,0))+assumptions!$G$74/12)+IF(49=E41,D41*assumptions!$G$75,0),0)</f>
        <v>0</v>
      </c>
      <c r="BD41" s="19" t="n">
        <f aca="false">IF(AND(50&gt;=E41,OR(F41="",50&lt;=F41)),(D41*(1+assumptions!$G$76)^4/12*(1+assumptions!$G$70+assumptions!$G$71+IF(50&gt;=assumptions!$G$73,assumptions!$G$72,0))+assumptions!$G$74/12)+IF(50=E41,D41*assumptions!$G$75,0),0)</f>
        <v>0</v>
      </c>
      <c r="BE41" s="19" t="n">
        <f aca="false">IF(AND(51&gt;=E41,OR(F41="",51&lt;=F41)),(D41*(1+assumptions!$G$76)^4/12*(1+assumptions!$G$70+assumptions!$G$71+IF(51&gt;=assumptions!$G$73,assumptions!$G$72,0))+assumptions!$G$74/12)+IF(51=E41,D41*assumptions!$G$75,0),0)</f>
        <v>0</v>
      </c>
      <c r="BF41" s="19" t="n">
        <f aca="false">IF(AND(52&gt;=E41,OR(F41="",52&lt;=F41)),(D41*(1+assumptions!$G$76)^4/12*(1+assumptions!$G$70+assumptions!$G$71+IF(52&gt;=assumptions!$G$73,assumptions!$G$72,0))+assumptions!$G$74/12)+IF(52=E41,D41*assumptions!$G$75,0),0)</f>
        <v>0</v>
      </c>
      <c r="BG41" s="19" t="n">
        <f aca="false">IF(AND(53&gt;=E41,OR(F41="",53&lt;=F41)),(D41*(1+assumptions!$G$76)^4/12*(1+assumptions!$G$70+assumptions!$G$71+IF(53&gt;=assumptions!$G$73,assumptions!$G$72,0))+assumptions!$G$74/12)+IF(53=E41,D41*assumptions!$G$75,0),0)</f>
        <v>0</v>
      </c>
      <c r="BH41" s="19" t="n">
        <f aca="false">IF(AND(54&gt;=E41,OR(F41="",54&lt;=F41)),(D41*(1+assumptions!$G$76)^4/12*(1+assumptions!$G$70+assumptions!$G$71+IF(54&gt;=assumptions!$G$73,assumptions!$G$72,0))+assumptions!$G$74/12)+IF(54=E41,D41*assumptions!$G$75,0),0)</f>
        <v>0</v>
      </c>
      <c r="BI41" s="19" t="n">
        <f aca="false">IF(AND(55&gt;=E41,OR(F41="",55&lt;=F41)),(D41*(1+assumptions!$G$76)^4/12*(1+assumptions!$G$70+assumptions!$G$71+IF(55&gt;=assumptions!$G$73,assumptions!$G$72,0))+assumptions!$G$74/12)+IF(55=E41,D41*assumptions!$G$75,0),0)</f>
        <v>0</v>
      </c>
      <c r="BJ41" s="19" t="n">
        <f aca="false">IF(AND(56&gt;=E41,OR(F41="",56&lt;=F41)),(D41*(1+assumptions!$G$76)^4/12*(1+assumptions!$G$70+assumptions!$G$71+IF(56&gt;=assumptions!$G$73,assumptions!$G$72,0))+assumptions!$G$74/12)+IF(56=E41,D41*assumptions!$G$75,0),0)</f>
        <v>0</v>
      </c>
      <c r="BK41" s="19" t="n">
        <f aca="false">IF(AND(57&gt;=E41,OR(F41="",57&lt;=F41)),(D41*(1+assumptions!$G$76)^4/12*(1+assumptions!$G$70+assumptions!$G$71+IF(57&gt;=assumptions!$G$73,assumptions!$G$72,0))+assumptions!$G$74/12)+IF(57=E41,D41*assumptions!$G$75,0),0)</f>
        <v>0</v>
      </c>
      <c r="BL41" s="19" t="n">
        <f aca="false">IF(AND(58&gt;=E41,OR(F41="",58&lt;=F41)),(D41*(1+assumptions!$G$76)^4/12*(1+assumptions!$G$70+assumptions!$G$71+IF(58&gt;=assumptions!$G$73,assumptions!$G$72,0))+assumptions!$G$74/12)+IF(58=E41,D41*assumptions!$G$75,0),0)</f>
        <v>24091.8306816</v>
      </c>
      <c r="BM41" s="19" t="n">
        <f aca="false">IF(AND(59&gt;=E41,OR(F41="",59&lt;=F41)),(D41*(1+assumptions!$G$76)^4/12*(1+assumptions!$G$70+assumptions!$G$71+IF(59&gt;=assumptions!$G$73,assumptions!$G$72,0))+assumptions!$G$74/12)+IF(59=E41,D41*assumptions!$G$75,0),0)</f>
        <v>10591.8306816</v>
      </c>
      <c r="BN41" s="19" t="n">
        <f aca="false">IF(AND(60&gt;=E41,OR(F41="",60&lt;=F41)),(D41*(1+assumptions!$G$76)^4/12*(1+assumptions!$G$70+assumptions!$G$71+IF(60&gt;=assumptions!$G$73,assumptions!$G$72,0))+assumptions!$G$74/12)+IF(60=E41,D41*assumptions!$G$75,0),0)</f>
        <v>10591.8306816</v>
      </c>
    </row>
    <row r="42" customFormat="false" ht="14.25" hidden="false" customHeight="false" outlineLevel="0" collapsed="false">
      <c r="A42" s="7" t="n">
        <v>39</v>
      </c>
      <c r="B42" s="7" t="s">
        <v>382</v>
      </c>
      <c r="C42" s="7" t="s">
        <v>337</v>
      </c>
      <c r="D42" s="17" t="n">
        <v>110000</v>
      </c>
      <c r="E42" s="49" t="n">
        <v>60</v>
      </c>
      <c r="F42" s="49"/>
      <c r="G42" s="19" t="n">
        <f aca="false">IF(AND(1&gt;=E42,OR(F42="",1&lt;=F42)),(D42*(1+assumptions!$G$76)^0/12*(1+assumptions!$G$70+assumptions!$G$71+IF(1&gt;=assumptions!$G$73,assumptions!$G$72,0))+assumptions!$G$74/12)+IF(1=E42,D42*assumptions!$G$75,0),0)</f>
        <v>0</v>
      </c>
      <c r="H42" s="19" t="n">
        <f aca="false">IF(AND(2&gt;=E42,OR(F42="",2&lt;=F42)),(D42*(1+assumptions!$G$76)^0/12*(1+assumptions!$G$70+assumptions!$G$71+IF(2&gt;=assumptions!$G$73,assumptions!$G$72,0))+assumptions!$G$74/12)+IF(2=E42,D42*assumptions!$G$75,0),0)</f>
        <v>0</v>
      </c>
      <c r="I42" s="19" t="n">
        <f aca="false">IF(AND(3&gt;=E42,OR(F42="",3&lt;=F42)),(D42*(1+assumptions!$G$76)^0/12*(1+assumptions!$G$70+assumptions!$G$71+IF(3&gt;=assumptions!$G$73,assumptions!$G$72,0))+assumptions!$G$74/12)+IF(3=E42,D42*assumptions!$G$75,0),0)</f>
        <v>0</v>
      </c>
      <c r="J42" s="19" t="n">
        <f aca="false">IF(AND(4&gt;=E42,OR(F42="",4&lt;=F42)),(D42*(1+assumptions!$G$76)^0/12*(1+assumptions!$G$70+assumptions!$G$71+IF(4&gt;=assumptions!$G$73,assumptions!$G$72,0))+assumptions!$G$74/12)+IF(4=E42,D42*assumptions!$G$75,0),0)</f>
        <v>0</v>
      </c>
      <c r="K42" s="19" t="n">
        <f aca="false">IF(AND(5&gt;=E42,OR(F42="",5&lt;=F42)),(D42*(1+assumptions!$G$76)^0/12*(1+assumptions!$G$70+assumptions!$G$71+IF(5&gt;=assumptions!$G$73,assumptions!$G$72,0))+assumptions!$G$74/12)+IF(5=E42,D42*assumptions!$G$75,0),0)</f>
        <v>0</v>
      </c>
      <c r="L42" s="19" t="n">
        <f aca="false">IF(AND(6&gt;=E42,OR(F42="",6&lt;=F42)),(D42*(1+assumptions!$G$76)^0/12*(1+assumptions!$G$70+assumptions!$G$71+IF(6&gt;=assumptions!$G$73,assumptions!$G$72,0))+assumptions!$G$74/12)+IF(6=E42,D42*assumptions!$G$75,0),0)</f>
        <v>0</v>
      </c>
      <c r="M42" s="19" t="n">
        <f aca="false">IF(AND(7&gt;=E42,OR(F42="",7&lt;=F42)),(D42*(1+assumptions!$G$76)^0/12*(1+assumptions!$G$70+assumptions!$G$71+IF(7&gt;=assumptions!$G$73,assumptions!$G$72,0))+assumptions!$G$74/12)+IF(7=E42,D42*assumptions!$G$75,0),0)</f>
        <v>0</v>
      </c>
      <c r="N42" s="19" t="n">
        <f aca="false">IF(AND(8&gt;=E42,OR(F42="",8&lt;=F42)),(D42*(1+assumptions!$G$76)^0/12*(1+assumptions!$G$70+assumptions!$G$71+IF(8&gt;=assumptions!$G$73,assumptions!$G$72,0))+assumptions!$G$74/12)+IF(8=E42,D42*assumptions!$G$75,0),0)</f>
        <v>0</v>
      </c>
      <c r="O42" s="19" t="n">
        <f aca="false">IF(AND(9&gt;=E42,OR(F42="",9&lt;=F42)),(D42*(1+assumptions!$G$76)^0/12*(1+assumptions!$G$70+assumptions!$G$71+IF(9&gt;=assumptions!$G$73,assumptions!$G$72,0))+assumptions!$G$74/12)+IF(9=E42,D42*assumptions!$G$75,0),0)</f>
        <v>0</v>
      </c>
      <c r="P42" s="19" t="n">
        <f aca="false">IF(AND(10&gt;=E42,OR(F42="",10&lt;=F42)),(D42*(1+assumptions!$G$76)^0/12*(1+assumptions!$G$70+assumptions!$G$71+IF(10&gt;=assumptions!$G$73,assumptions!$G$72,0))+assumptions!$G$74/12)+IF(10=E42,D42*assumptions!$G$75,0),0)</f>
        <v>0</v>
      </c>
      <c r="Q42" s="19" t="n">
        <f aca="false">IF(AND(11&gt;=E42,OR(F42="",11&lt;=F42)),(D42*(1+assumptions!$G$76)^0/12*(1+assumptions!$G$70+assumptions!$G$71+IF(11&gt;=assumptions!$G$73,assumptions!$G$72,0))+assumptions!$G$74/12)+IF(11=E42,D42*assumptions!$G$75,0),0)</f>
        <v>0</v>
      </c>
      <c r="R42" s="19" t="n">
        <f aca="false">IF(AND(12&gt;=E42,OR(F42="",12&lt;=F42)),(D42*(1+assumptions!$G$76)^0/12*(1+assumptions!$G$70+assumptions!$G$71+IF(12&gt;=assumptions!$G$73,assumptions!$G$72,0))+assumptions!$G$74/12)+IF(12=E42,D42*assumptions!$G$75,0),0)</f>
        <v>0</v>
      </c>
      <c r="S42" s="19" t="n">
        <f aca="false">IF(AND(13&gt;=E42,OR(F42="",13&lt;=F42)),(D42*(1+assumptions!$G$76)^1/12*(1+assumptions!$G$70+assumptions!$G$71+IF(13&gt;=assumptions!$G$73,assumptions!$G$72,0))+assumptions!$G$74/12)+IF(13=E42,D42*assumptions!$G$75,0),0)</f>
        <v>0</v>
      </c>
      <c r="T42" s="19" t="n">
        <f aca="false">IF(AND(14&gt;=E42,OR(F42="",14&lt;=F42)),(D42*(1+assumptions!$G$76)^1/12*(1+assumptions!$G$70+assumptions!$G$71+IF(14&gt;=assumptions!$G$73,assumptions!$G$72,0))+assumptions!$G$74/12)+IF(14=E42,D42*assumptions!$G$75,0),0)</f>
        <v>0</v>
      </c>
      <c r="U42" s="19" t="n">
        <f aca="false">IF(AND(15&gt;=E42,OR(F42="",15&lt;=F42)),(D42*(1+assumptions!$G$76)^1/12*(1+assumptions!$G$70+assumptions!$G$71+IF(15&gt;=assumptions!$G$73,assumptions!$G$72,0))+assumptions!$G$74/12)+IF(15=E42,D42*assumptions!$G$75,0),0)</f>
        <v>0</v>
      </c>
      <c r="V42" s="19" t="n">
        <f aca="false">IF(AND(16&gt;=E42,OR(F42="",16&lt;=F42)),(D42*(1+assumptions!$G$76)^1/12*(1+assumptions!$G$70+assumptions!$G$71+IF(16&gt;=assumptions!$G$73,assumptions!$G$72,0))+assumptions!$G$74/12)+IF(16=E42,D42*assumptions!$G$75,0),0)</f>
        <v>0</v>
      </c>
      <c r="W42" s="19" t="n">
        <f aca="false">IF(AND(17&gt;=E42,OR(F42="",17&lt;=F42)),(D42*(1+assumptions!$G$76)^1/12*(1+assumptions!$G$70+assumptions!$G$71+IF(17&gt;=assumptions!$G$73,assumptions!$G$72,0))+assumptions!$G$74/12)+IF(17=E42,D42*assumptions!$G$75,0),0)</f>
        <v>0</v>
      </c>
      <c r="X42" s="19" t="n">
        <f aca="false">IF(AND(18&gt;=E42,OR(F42="",18&lt;=F42)),(D42*(1+assumptions!$G$76)^1/12*(1+assumptions!$G$70+assumptions!$G$71+IF(18&gt;=assumptions!$G$73,assumptions!$G$72,0))+assumptions!$G$74/12)+IF(18=E42,D42*assumptions!$G$75,0),0)</f>
        <v>0</v>
      </c>
      <c r="Y42" s="19" t="n">
        <f aca="false">IF(AND(19&gt;=E42,OR(F42="",19&lt;=F42)),(D42*(1+assumptions!$G$76)^1/12*(1+assumptions!$G$70+assumptions!$G$71+IF(19&gt;=assumptions!$G$73,assumptions!$G$72,0))+assumptions!$G$74/12)+IF(19=E42,D42*assumptions!$G$75,0),0)</f>
        <v>0</v>
      </c>
      <c r="Z42" s="19" t="n">
        <f aca="false">IF(AND(20&gt;=E42,OR(F42="",20&lt;=F42)),(D42*(1+assumptions!$G$76)^1/12*(1+assumptions!$G$70+assumptions!$G$71+IF(20&gt;=assumptions!$G$73,assumptions!$G$72,0))+assumptions!$G$74/12)+IF(20=E42,D42*assumptions!$G$75,0),0)</f>
        <v>0</v>
      </c>
      <c r="AA42" s="19" t="n">
        <f aca="false">IF(AND(21&gt;=E42,OR(F42="",21&lt;=F42)),(D42*(1+assumptions!$G$76)^1/12*(1+assumptions!$G$70+assumptions!$G$71+IF(21&gt;=assumptions!$G$73,assumptions!$G$72,0))+assumptions!$G$74/12)+IF(21=E42,D42*assumptions!$G$75,0),0)</f>
        <v>0</v>
      </c>
      <c r="AB42" s="19" t="n">
        <f aca="false">IF(AND(22&gt;=E42,OR(F42="",22&lt;=F42)),(D42*(1+assumptions!$G$76)^1/12*(1+assumptions!$G$70+assumptions!$G$71+IF(22&gt;=assumptions!$G$73,assumptions!$G$72,0))+assumptions!$G$74/12)+IF(22=E42,D42*assumptions!$G$75,0),0)</f>
        <v>0</v>
      </c>
      <c r="AC42" s="19" t="n">
        <f aca="false">IF(AND(23&gt;=E42,OR(F42="",23&lt;=F42)),(D42*(1+assumptions!$G$76)^1/12*(1+assumptions!$G$70+assumptions!$G$71+IF(23&gt;=assumptions!$G$73,assumptions!$G$72,0))+assumptions!$G$74/12)+IF(23=E42,D42*assumptions!$G$75,0),0)</f>
        <v>0</v>
      </c>
      <c r="AD42" s="19" t="n">
        <f aca="false">IF(AND(24&gt;=E42,OR(F42="",24&lt;=F42)),(D42*(1+assumptions!$G$76)^1/12*(1+assumptions!$G$70+assumptions!$G$71+IF(24&gt;=assumptions!$G$73,assumptions!$G$72,0))+assumptions!$G$74/12)+IF(24=E42,D42*assumptions!$G$75,0),0)</f>
        <v>0</v>
      </c>
      <c r="AE42" s="19" t="n">
        <f aca="false">IF(AND(25&gt;=E42,OR(F42="",25&lt;=F42)),(D42*(1+assumptions!$G$76)^2/12*(1+assumptions!$G$70+assumptions!$G$71+IF(25&gt;=assumptions!$G$73,assumptions!$G$72,0))+assumptions!$G$74/12)+IF(25=E42,D42*assumptions!$G$75,0),0)</f>
        <v>0</v>
      </c>
      <c r="AF42" s="19" t="n">
        <f aca="false">IF(AND(26&gt;=E42,OR(F42="",26&lt;=F42)),(D42*(1+assumptions!$G$76)^2/12*(1+assumptions!$G$70+assumptions!$G$71+IF(26&gt;=assumptions!$G$73,assumptions!$G$72,0))+assumptions!$G$74/12)+IF(26=E42,D42*assumptions!$G$75,0),0)</f>
        <v>0</v>
      </c>
      <c r="AG42" s="19" t="n">
        <f aca="false">IF(AND(27&gt;=E42,OR(F42="",27&lt;=F42)),(D42*(1+assumptions!$G$76)^2/12*(1+assumptions!$G$70+assumptions!$G$71+IF(27&gt;=assumptions!$G$73,assumptions!$G$72,0))+assumptions!$G$74/12)+IF(27=E42,D42*assumptions!$G$75,0),0)</f>
        <v>0</v>
      </c>
      <c r="AH42" s="19" t="n">
        <f aca="false">IF(AND(28&gt;=E42,OR(F42="",28&lt;=F42)),(D42*(1+assumptions!$G$76)^2/12*(1+assumptions!$G$70+assumptions!$G$71+IF(28&gt;=assumptions!$G$73,assumptions!$G$72,0))+assumptions!$G$74/12)+IF(28=E42,D42*assumptions!$G$75,0),0)</f>
        <v>0</v>
      </c>
      <c r="AI42" s="19" t="n">
        <f aca="false">IF(AND(29&gt;=E42,OR(F42="",29&lt;=F42)),(D42*(1+assumptions!$G$76)^2/12*(1+assumptions!$G$70+assumptions!$G$71+IF(29&gt;=assumptions!$G$73,assumptions!$G$72,0))+assumptions!$G$74/12)+IF(29=E42,D42*assumptions!$G$75,0),0)</f>
        <v>0</v>
      </c>
      <c r="AJ42" s="19" t="n">
        <f aca="false">IF(AND(30&gt;=E42,OR(F42="",30&lt;=F42)),(D42*(1+assumptions!$G$76)^2/12*(1+assumptions!$G$70+assumptions!$G$71+IF(30&gt;=assumptions!$G$73,assumptions!$G$72,0))+assumptions!$G$74/12)+IF(30=E42,D42*assumptions!$G$75,0),0)</f>
        <v>0</v>
      </c>
      <c r="AK42" s="19" t="n">
        <f aca="false">IF(AND(31&gt;=E42,OR(F42="",31&lt;=F42)),(D42*(1+assumptions!$G$76)^2/12*(1+assumptions!$G$70+assumptions!$G$71+IF(31&gt;=assumptions!$G$73,assumptions!$G$72,0))+assumptions!$G$74/12)+IF(31=E42,D42*assumptions!$G$75,0),0)</f>
        <v>0</v>
      </c>
      <c r="AL42" s="19" t="n">
        <f aca="false">IF(AND(32&gt;=E42,OR(F42="",32&lt;=F42)),(D42*(1+assumptions!$G$76)^2/12*(1+assumptions!$G$70+assumptions!$G$71+IF(32&gt;=assumptions!$G$73,assumptions!$G$72,0))+assumptions!$G$74/12)+IF(32=E42,D42*assumptions!$G$75,0),0)</f>
        <v>0</v>
      </c>
      <c r="AM42" s="19" t="n">
        <f aca="false">IF(AND(33&gt;=E42,OR(F42="",33&lt;=F42)),(D42*(1+assumptions!$G$76)^2/12*(1+assumptions!$G$70+assumptions!$G$71+IF(33&gt;=assumptions!$G$73,assumptions!$G$72,0))+assumptions!$G$74/12)+IF(33=E42,D42*assumptions!$G$75,0),0)</f>
        <v>0</v>
      </c>
      <c r="AN42" s="19" t="n">
        <f aca="false">IF(AND(34&gt;=E42,OR(F42="",34&lt;=F42)),(D42*(1+assumptions!$G$76)^2/12*(1+assumptions!$G$70+assumptions!$G$71+IF(34&gt;=assumptions!$G$73,assumptions!$G$72,0))+assumptions!$G$74/12)+IF(34=E42,D42*assumptions!$G$75,0),0)</f>
        <v>0</v>
      </c>
      <c r="AO42" s="19" t="n">
        <f aca="false">IF(AND(35&gt;=E42,OR(F42="",35&lt;=F42)),(D42*(1+assumptions!$G$76)^2/12*(1+assumptions!$G$70+assumptions!$G$71+IF(35&gt;=assumptions!$G$73,assumptions!$G$72,0))+assumptions!$G$74/12)+IF(35=E42,D42*assumptions!$G$75,0),0)</f>
        <v>0</v>
      </c>
      <c r="AP42" s="19" t="n">
        <f aca="false">IF(AND(36&gt;=E42,OR(F42="",36&lt;=F42)),(D42*(1+assumptions!$G$76)^2/12*(1+assumptions!$G$70+assumptions!$G$71+IF(36&gt;=assumptions!$G$73,assumptions!$G$72,0))+assumptions!$G$74/12)+IF(36=E42,D42*assumptions!$G$75,0),0)</f>
        <v>0</v>
      </c>
      <c r="AQ42" s="19" t="n">
        <f aca="false">IF(AND(37&gt;=E42,OR(F42="",37&lt;=F42)),(D42*(1+assumptions!$G$76)^3/12*(1+assumptions!$G$70+assumptions!$G$71+IF(37&gt;=assumptions!$G$73,assumptions!$G$72,0))+assumptions!$G$74/12)+IF(37=E42,D42*assumptions!$G$75,0),0)</f>
        <v>0</v>
      </c>
      <c r="AR42" s="19" t="n">
        <f aca="false">IF(AND(38&gt;=E42,OR(F42="",38&lt;=F42)),(D42*(1+assumptions!$G$76)^3/12*(1+assumptions!$G$70+assumptions!$G$71+IF(38&gt;=assumptions!$G$73,assumptions!$G$72,0))+assumptions!$G$74/12)+IF(38=E42,D42*assumptions!$G$75,0),0)</f>
        <v>0</v>
      </c>
      <c r="AS42" s="19" t="n">
        <f aca="false">IF(AND(39&gt;=E42,OR(F42="",39&lt;=F42)),(D42*(1+assumptions!$G$76)^3/12*(1+assumptions!$G$70+assumptions!$G$71+IF(39&gt;=assumptions!$G$73,assumptions!$G$72,0))+assumptions!$G$74/12)+IF(39=E42,D42*assumptions!$G$75,0),0)</f>
        <v>0</v>
      </c>
      <c r="AT42" s="19" t="n">
        <f aca="false">IF(AND(40&gt;=E42,OR(F42="",40&lt;=F42)),(D42*(1+assumptions!$G$76)^3/12*(1+assumptions!$G$70+assumptions!$G$71+IF(40&gt;=assumptions!$G$73,assumptions!$G$72,0))+assumptions!$G$74/12)+IF(40=E42,D42*assumptions!$G$75,0),0)</f>
        <v>0</v>
      </c>
      <c r="AU42" s="19" t="n">
        <f aca="false">IF(AND(41&gt;=E42,OR(F42="",41&lt;=F42)),(D42*(1+assumptions!$G$76)^3/12*(1+assumptions!$G$70+assumptions!$G$71+IF(41&gt;=assumptions!$G$73,assumptions!$G$72,0))+assumptions!$G$74/12)+IF(41=E42,D42*assumptions!$G$75,0),0)</f>
        <v>0</v>
      </c>
      <c r="AV42" s="19" t="n">
        <f aca="false">IF(AND(42&gt;=E42,OR(F42="",42&lt;=F42)),(D42*(1+assumptions!$G$76)^3/12*(1+assumptions!$G$70+assumptions!$G$71+IF(42&gt;=assumptions!$G$73,assumptions!$G$72,0))+assumptions!$G$74/12)+IF(42=E42,D42*assumptions!$G$75,0),0)</f>
        <v>0</v>
      </c>
      <c r="AW42" s="19" t="n">
        <f aca="false">IF(AND(43&gt;=E42,OR(F42="",43&lt;=F42)),(D42*(1+assumptions!$G$76)^3/12*(1+assumptions!$G$70+assumptions!$G$71+IF(43&gt;=assumptions!$G$73,assumptions!$G$72,0))+assumptions!$G$74/12)+IF(43=E42,D42*assumptions!$G$75,0),0)</f>
        <v>0</v>
      </c>
      <c r="AX42" s="19" t="n">
        <f aca="false">IF(AND(44&gt;=E42,OR(F42="",44&lt;=F42)),(D42*(1+assumptions!$G$76)^3/12*(1+assumptions!$G$70+assumptions!$G$71+IF(44&gt;=assumptions!$G$73,assumptions!$G$72,0))+assumptions!$G$74/12)+IF(44=E42,D42*assumptions!$G$75,0),0)</f>
        <v>0</v>
      </c>
      <c r="AY42" s="19" t="n">
        <f aca="false">IF(AND(45&gt;=E42,OR(F42="",45&lt;=F42)),(D42*(1+assumptions!$G$76)^3/12*(1+assumptions!$G$70+assumptions!$G$71+IF(45&gt;=assumptions!$G$73,assumptions!$G$72,0))+assumptions!$G$74/12)+IF(45=E42,D42*assumptions!$G$75,0),0)</f>
        <v>0</v>
      </c>
      <c r="AZ42" s="19" t="n">
        <f aca="false">IF(AND(46&gt;=E42,OR(F42="",46&lt;=F42)),(D42*(1+assumptions!$G$76)^3/12*(1+assumptions!$G$70+assumptions!$G$71+IF(46&gt;=assumptions!$G$73,assumptions!$G$72,0))+assumptions!$G$74/12)+IF(46=E42,D42*assumptions!$G$75,0),0)</f>
        <v>0</v>
      </c>
      <c r="BA42" s="19" t="n">
        <f aca="false">IF(AND(47&gt;=E42,OR(F42="",47&lt;=F42)),(D42*(1+assumptions!$G$76)^3/12*(1+assumptions!$G$70+assumptions!$G$71+IF(47&gt;=assumptions!$G$73,assumptions!$G$72,0))+assumptions!$G$74/12)+IF(47=E42,D42*assumptions!$G$75,0),0)</f>
        <v>0</v>
      </c>
      <c r="BB42" s="19" t="n">
        <f aca="false">IF(AND(48&gt;=E42,OR(F42="",48&lt;=F42)),(D42*(1+assumptions!$G$76)^3/12*(1+assumptions!$G$70+assumptions!$G$71+IF(48&gt;=assumptions!$G$73,assumptions!$G$72,0))+assumptions!$G$74/12)+IF(48=E42,D42*assumptions!$G$75,0),0)</f>
        <v>0</v>
      </c>
      <c r="BC42" s="19" t="n">
        <f aca="false">IF(AND(49&gt;=E42,OR(F42="",49&lt;=F42)),(D42*(1+assumptions!$G$76)^4/12*(1+assumptions!$G$70+assumptions!$G$71+IF(49&gt;=assumptions!$G$73,assumptions!$G$72,0))+assumptions!$G$74/12)+IF(49=E42,D42*assumptions!$G$75,0),0)</f>
        <v>0</v>
      </c>
      <c r="BD42" s="19" t="n">
        <f aca="false">IF(AND(50&gt;=E42,OR(F42="",50&lt;=F42)),(D42*(1+assumptions!$G$76)^4/12*(1+assumptions!$G$70+assumptions!$G$71+IF(50&gt;=assumptions!$G$73,assumptions!$G$72,0))+assumptions!$G$74/12)+IF(50=E42,D42*assumptions!$G$75,0),0)</f>
        <v>0</v>
      </c>
      <c r="BE42" s="19" t="n">
        <f aca="false">IF(AND(51&gt;=E42,OR(F42="",51&lt;=F42)),(D42*(1+assumptions!$G$76)^4/12*(1+assumptions!$G$70+assumptions!$G$71+IF(51&gt;=assumptions!$G$73,assumptions!$G$72,0))+assumptions!$G$74/12)+IF(51=E42,D42*assumptions!$G$75,0),0)</f>
        <v>0</v>
      </c>
      <c r="BF42" s="19" t="n">
        <f aca="false">IF(AND(52&gt;=E42,OR(F42="",52&lt;=F42)),(D42*(1+assumptions!$G$76)^4/12*(1+assumptions!$G$70+assumptions!$G$71+IF(52&gt;=assumptions!$G$73,assumptions!$G$72,0))+assumptions!$G$74/12)+IF(52=E42,D42*assumptions!$G$75,0),0)</f>
        <v>0</v>
      </c>
      <c r="BG42" s="19" t="n">
        <f aca="false">IF(AND(53&gt;=E42,OR(F42="",53&lt;=F42)),(D42*(1+assumptions!$G$76)^4/12*(1+assumptions!$G$70+assumptions!$G$71+IF(53&gt;=assumptions!$G$73,assumptions!$G$72,0))+assumptions!$G$74/12)+IF(53=E42,D42*assumptions!$G$75,0),0)</f>
        <v>0</v>
      </c>
      <c r="BH42" s="19" t="n">
        <f aca="false">IF(AND(54&gt;=E42,OR(F42="",54&lt;=F42)),(D42*(1+assumptions!$G$76)^4/12*(1+assumptions!$G$70+assumptions!$G$71+IF(54&gt;=assumptions!$G$73,assumptions!$G$72,0))+assumptions!$G$74/12)+IF(54=E42,D42*assumptions!$G$75,0),0)</f>
        <v>0</v>
      </c>
      <c r="BI42" s="19" t="n">
        <f aca="false">IF(AND(55&gt;=E42,OR(F42="",55&lt;=F42)),(D42*(1+assumptions!$G$76)^4/12*(1+assumptions!$G$70+assumptions!$G$71+IF(55&gt;=assumptions!$G$73,assumptions!$G$72,0))+assumptions!$G$74/12)+IF(55=E42,D42*assumptions!$G$75,0),0)</f>
        <v>0</v>
      </c>
      <c r="BJ42" s="19" t="n">
        <f aca="false">IF(AND(56&gt;=E42,OR(F42="",56&lt;=F42)),(D42*(1+assumptions!$G$76)^4/12*(1+assumptions!$G$70+assumptions!$G$71+IF(56&gt;=assumptions!$G$73,assumptions!$G$72,0))+assumptions!$G$74/12)+IF(56=E42,D42*assumptions!$G$75,0),0)</f>
        <v>0</v>
      </c>
      <c r="BK42" s="19" t="n">
        <f aca="false">IF(AND(57&gt;=E42,OR(F42="",57&lt;=F42)),(D42*(1+assumptions!$G$76)^4/12*(1+assumptions!$G$70+assumptions!$G$71+IF(57&gt;=assumptions!$G$73,assumptions!$G$72,0))+assumptions!$G$74/12)+IF(57=E42,D42*assumptions!$G$75,0),0)</f>
        <v>0</v>
      </c>
      <c r="BL42" s="19" t="n">
        <f aca="false">IF(AND(58&gt;=E42,OR(F42="",58&lt;=F42)),(D42*(1+assumptions!$G$76)^4/12*(1+assumptions!$G$70+assumptions!$G$71+IF(58&gt;=assumptions!$G$73,assumptions!$G$72,0))+assumptions!$G$74/12)+IF(58=E42,D42*assumptions!$G$75,0),0)</f>
        <v>0</v>
      </c>
      <c r="BM42" s="19" t="n">
        <f aca="false">IF(AND(59&gt;=E42,OR(F42="",59&lt;=F42)),(D42*(1+assumptions!$G$76)^4/12*(1+assumptions!$G$70+assumptions!$G$71+IF(59&gt;=assumptions!$G$73,assumptions!$G$72,0))+assumptions!$G$74/12)+IF(59=E42,D42*assumptions!$G$75,0),0)</f>
        <v>0</v>
      </c>
      <c r="BN42" s="19" t="n">
        <f aca="false">IF(AND(60&gt;=E42,OR(F42="",60&lt;=F42)),(D42*(1+assumptions!$G$76)^4/12*(1+assumptions!$G$70+assumptions!$G$71+IF(60&gt;=assumptions!$G$73,assumptions!$G$72,0))+assumptions!$G$74/12)+IF(60=E42,D42*assumptions!$G$75,0),0)</f>
        <v>29378.9041664</v>
      </c>
    </row>
    <row r="44" customFormat="false" ht="14.25" hidden="false" customHeight="false" outlineLevel="0" collapsed="false">
      <c r="A44" s="46"/>
      <c r="B44" s="44" t="s">
        <v>383</v>
      </c>
      <c r="C44" s="46"/>
      <c r="D44" s="46"/>
      <c r="E44" s="46"/>
      <c r="F44" s="46"/>
      <c r="G44" s="47" t="n">
        <f aca="false">SUM(G4:G42)</f>
        <v>81583.3333333333</v>
      </c>
      <c r="H44" s="47" t="n">
        <f aca="false">SUM(H4:H42)</f>
        <v>74243.3333333333</v>
      </c>
      <c r="I44" s="47" t="n">
        <f aca="false">SUM(I4:I42)</f>
        <v>49493.3333333333</v>
      </c>
      <c r="J44" s="47" t="n">
        <f aca="false">SUM(J4:J42)</f>
        <v>87193.3333333333</v>
      </c>
      <c r="K44" s="47" t="n">
        <f aca="false">SUM(K4:K42)</f>
        <v>64693.3333333333</v>
      </c>
      <c r="L44" s="47" t="n">
        <f aca="false">SUM(L4:L42)</f>
        <v>107340</v>
      </c>
      <c r="M44" s="47" t="n">
        <f aca="false">SUM(M4:M42)</f>
        <v>81840</v>
      </c>
      <c r="N44" s="47" t="n">
        <f aca="false">SUM(N4:N42)</f>
        <v>81840</v>
      </c>
      <c r="O44" s="47" t="n">
        <f aca="false">SUM(O4:O42)</f>
        <v>133443.333333333</v>
      </c>
      <c r="P44" s="47" t="n">
        <f aca="false">SUM(P4:P42)</f>
        <v>102693.333333333</v>
      </c>
      <c r="Q44" s="47" t="n">
        <f aca="false">SUM(Q4:Q42)</f>
        <v>102693.333333333</v>
      </c>
      <c r="R44" s="47" t="n">
        <f aca="false">SUM(R4:R42)</f>
        <v>149350</v>
      </c>
      <c r="S44" s="47" t="n">
        <f aca="false">SUM(S4:S42)</f>
        <v>126272</v>
      </c>
      <c r="T44" s="47" t="n">
        <f aca="false">SUM(T4:T42)</f>
        <v>126272</v>
      </c>
      <c r="U44" s="47" t="n">
        <f aca="false">SUM(U4:U42)</f>
        <v>163299.866666667</v>
      </c>
      <c r="V44" s="47" t="n">
        <f aca="false">SUM(V4:V42)</f>
        <v>141549.866666667</v>
      </c>
      <c r="W44" s="47" t="n">
        <f aca="false">SUM(W4:W42)</f>
        <v>141549.866666667</v>
      </c>
      <c r="X44" s="47" t="n">
        <f aca="false">SUM(X4:X42)</f>
        <v>141549.866666667</v>
      </c>
      <c r="Y44" s="47" t="n">
        <f aca="false">SUM(Y4:Y42)</f>
        <v>141549.866666667</v>
      </c>
      <c r="Z44" s="47" t="n">
        <f aca="false">SUM(Z4:Z42)</f>
        <v>165716.4</v>
      </c>
      <c r="AA44" s="47" t="n">
        <f aca="false">SUM(AA4:AA42)</f>
        <v>151466.4</v>
      </c>
      <c r="AB44" s="47" t="n">
        <f aca="false">SUM(AB4:AB42)</f>
        <v>170608.4</v>
      </c>
      <c r="AC44" s="47" t="n">
        <f aca="false">SUM(AC4:AC42)</f>
        <v>159358.4</v>
      </c>
      <c r="AD44" s="47" t="n">
        <f aca="false">SUM(AD4:AD42)</f>
        <v>184222.6</v>
      </c>
      <c r="AE44" s="47" t="n">
        <f aca="false">SUM(AE4:AE42)</f>
        <v>176519.504</v>
      </c>
      <c r="AF44" s="47" t="n">
        <f aca="false">SUM(AF4:AF42)</f>
        <v>204949.408</v>
      </c>
      <c r="AG44" s="47" t="n">
        <f aca="false">SUM(AG4:AG42)</f>
        <v>188449.408</v>
      </c>
      <c r="AH44" s="47" t="n">
        <f aca="false">SUM(AH4:AH42)</f>
        <v>205371.624</v>
      </c>
      <c r="AI44" s="47" t="n">
        <f aca="false">SUM(AI4:AI42)</f>
        <v>195621.624</v>
      </c>
      <c r="AJ44" s="47" t="n">
        <f aca="false">SUM(AJ4:AJ42)</f>
        <v>212543.84</v>
      </c>
      <c r="AK44" s="47" t="n">
        <f aca="false">SUM(AK4:AK42)</f>
        <v>202793.84</v>
      </c>
      <c r="AL44" s="47" t="n">
        <f aca="false">SUM(AL4:AL42)</f>
        <v>220994.688</v>
      </c>
      <c r="AM44" s="47" t="n">
        <f aca="false">SUM(AM4:AM42)</f>
        <v>210494.688</v>
      </c>
      <c r="AN44" s="47" t="n">
        <f aca="false">SUM(AN4:AN42)</f>
        <v>233810.064</v>
      </c>
      <c r="AO44" s="47" t="n">
        <f aca="false">SUM(AO4:AO42)</f>
        <v>220310.064</v>
      </c>
      <c r="AP44" s="47" t="n">
        <f aca="false">SUM(AP4:AP42)</f>
        <v>243625.44</v>
      </c>
      <c r="AQ44" s="47" t="n">
        <f aca="false">SUM(AQ4:AQ42)</f>
        <v>239006.4576</v>
      </c>
      <c r="AR44" s="47" t="n">
        <f aca="false">SUM(AR4:AR42)</f>
        <v>261402.67136</v>
      </c>
      <c r="AS44" s="47" t="n">
        <f aca="false">SUM(AS4:AS42)</f>
        <v>248652.67136</v>
      </c>
      <c r="AT44" s="47" t="n">
        <f aca="false">SUM(AT4:AT42)</f>
        <v>276247.99424</v>
      </c>
      <c r="AU44" s="47" t="n">
        <f aca="false">SUM(AU4:AU42)</f>
        <v>260497.99424</v>
      </c>
      <c r="AV44" s="47" t="n">
        <f aca="false">SUM(AV4:AV42)</f>
        <v>297191.75808</v>
      </c>
      <c r="AW44" s="47" t="n">
        <f aca="false">SUM(AW4:AW42)</f>
        <v>276191.75808</v>
      </c>
      <c r="AX44" s="47" t="n">
        <f aca="false">SUM(AX4:AX42)</f>
        <v>307686.4128</v>
      </c>
      <c r="AY44" s="47" t="n">
        <f aca="false">SUM(AY4:AY42)</f>
        <v>289686.4128</v>
      </c>
      <c r="AZ44" s="47" t="n">
        <f aca="false">SUM(AZ4:AZ42)</f>
        <v>313382.40384</v>
      </c>
      <c r="BA44" s="47" t="n">
        <f aca="false">SUM(BA4:BA42)</f>
        <v>299882.40384</v>
      </c>
      <c r="BB44" s="47" t="n">
        <f aca="false">SUM(BB4:BB42)</f>
        <v>314479.95392</v>
      </c>
      <c r="BC44" s="47" t="n">
        <f aca="false">SUM(BC4:BC42)</f>
        <v>318083.1520768</v>
      </c>
      <c r="BD44" s="47" t="n">
        <f aca="false">SUM(BD4:BD42)</f>
        <v>343496.7511296</v>
      </c>
      <c r="BE44" s="47" t="n">
        <f aca="false">SUM(BE4:BE42)</f>
        <v>329246.7511296</v>
      </c>
      <c r="BF44" s="47" t="n">
        <f aca="false">SUM(BF4:BF42)</f>
        <v>349373.2766976</v>
      </c>
      <c r="BG44" s="47" t="n">
        <f aca="false">SUM(BG4:BG42)</f>
        <v>338123.2766976</v>
      </c>
      <c r="BH44" s="47" t="n">
        <f aca="false">SUM(BH4:BH42)</f>
        <v>363536.8757504</v>
      </c>
      <c r="BI44" s="47" t="n">
        <f aca="false">SUM(BI4:BI42)</f>
        <v>349286.8757504</v>
      </c>
      <c r="BJ44" s="47" t="n">
        <f aca="false">SUM(BJ4:BJ42)</f>
        <v>368091.6329472</v>
      </c>
      <c r="BK44" s="47" t="n">
        <f aca="false">SUM(BK4:BK42)</f>
        <v>357591.6329472</v>
      </c>
      <c r="BL44" s="47" t="n">
        <f aca="false">SUM(BL4:BL42)</f>
        <v>381683.4636288</v>
      </c>
      <c r="BM44" s="47" t="n">
        <f aca="false">SUM(BM4:BM42)</f>
        <v>368183.4636288</v>
      </c>
      <c r="BN44" s="47" t="n">
        <f aca="false">SUM(BN4:BN42)</f>
        <v>397562.3677952</v>
      </c>
    </row>
    <row r="45" customFormat="false" ht="14.25" hidden="false" customHeight="false" outlineLevel="0" collapsed="false">
      <c r="A45" s="50"/>
      <c r="B45" s="51" t="s">
        <v>384</v>
      </c>
      <c r="G45" s="52" t="n">
        <f aca="false">IF(AND(1&gt;=E4,OR(F4="",1&lt;=F4)),1,0)+IF(AND(1&gt;=E5,OR(F5="",1&lt;=F5)),1,0)+IF(AND(1&gt;=E6,OR(F6="",1&lt;=F6)),1,0)+IF(AND(1&gt;=E7,OR(F7="",1&lt;=F7)),1,0)+IF(AND(1&gt;=E8,OR(F8="",1&lt;=F8)),1,0)+IF(AND(1&gt;=E9,OR(F9="",1&lt;=F9)),1,0)+IF(AND(1&gt;=E10,OR(F10="",1&lt;=F10)),1,0)+IF(AND(1&gt;=E11,OR(F11="",1&lt;=F11)),1,0)+IF(AND(1&gt;=E12,OR(F12="",1&lt;=F12)),1,0)+IF(AND(1&gt;=E13,OR(F13="",1&lt;=F13)),1,0)+IF(AND(1&gt;=E14,OR(F14="",1&lt;=F14)),1,0)+IF(AND(1&gt;=E15,OR(F15="",1&lt;=F15)),1,0)+IF(AND(1&gt;=E16,OR(F16="",1&lt;=F16)),1,0)+IF(AND(1&gt;=E17,OR(F17="",1&lt;=F17)),1,0)+IF(AND(1&gt;=E18,OR(F18="",1&lt;=F18)),1,0)+IF(AND(1&gt;=E19,OR(F19="",1&lt;=F19)),1,0)+IF(AND(1&gt;=E20,OR(F20="",1&lt;=F20)),1,0)+IF(AND(1&gt;=E21,OR(F21="",1&lt;=F21)),1,0)+IF(AND(1&gt;=E22,OR(F22="",1&lt;=F22)),1,0)+IF(AND(1&gt;=E23,OR(F23="",1&lt;=F23)),1,0)+IF(AND(1&gt;=E24,OR(F24="",1&lt;=F24)),1,0)+IF(AND(1&gt;=E25,OR(F25="",1&lt;=F25)),1,0)+IF(AND(1&gt;=E26,OR(F26="",1&lt;=F26)),1,0)+IF(AND(1&gt;=E27,OR(F27="",1&lt;=F27)),1,0)+IF(AND(1&gt;=E28,OR(F28="",1&lt;=F28)),1,0)+IF(AND(1&gt;=E29,OR(F29="",1&lt;=F29)),1,0)+IF(AND(1&gt;=E30,OR(F30="",1&lt;=F30)),1,0)+IF(AND(1&gt;=E31,OR(F31="",1&lt;=F31)),1,0)+IF(AND(1&gt;=E32,OR(F32="",1&lt;=F32)),1,0)+IF(AND(1&gt;=E33,OR(F33="",1&lt;=F33)),1,0)+IF(AND(1&gt;=E34,OR(F34="",1&lt;=F34)),1,0)+IF(AND(1&gt;=E35,OR(F35="",1&lt;=F35)),1,0)+IF(AND(1&gt;=E36,OR(F36="",1&lt;=F36)),1,0)+IF(AND(1&gt;=E37,OR(F37="",1&lt;=F37)),1,0)+IF(AND(1&gt;=E38,OR(F38="",1&lt;=F38)),1,0)+IF(AND(1&gt;=E39,OR(F39="",1&lt;=F39)),1,0)+IF(AND(1&gt;=E40,OR(F40="",1&lt;=F40)),1,0)+IF(AND(1&gt;=E41,OR(F41="",1&lt;=F41)),1,0)+IF(AND(1&gt;=E42,OR(F42="",1&lt;=F42)),1,0)</f>
        <v>4</v>
      </c>
      <c r="H45" s="52" t="n">
        <f aca="false">IF(AND(2&gt;=E4,OR(F4="",2&lt;=F4)),1,0)+IF(AND(2&gt;=E5,OR(F5="",2&lt;=F5)),1,0)+IF(AND(2&gt;=E6,OR(F6="",2&lt;=F6)),1,0)+IF(AND(2&gt;=E7,OR(F7="",2&lt;=F7)),1,0)+IF(AND(2&gt;=E8,OR(F8="",2&lt;=F8)),1,0)+IF(AND(2&gt;=E9,OR(F9="",2&lt;=F9)),1,0)+IF(AND(2&gt;=E10,OR(F10="",2&lt;=F10)),1,0)+IF(AND(2&gt;=E11,OR(F11="",2&lt;=F11)),1,0)+IF(AND(2&gt;=E12,OR(F12="",2&lt;=F12)),1,0)+IF(AND(2&gt;=E13,OR(F13="",2&lt;=F13)),1,0)+IF(AND(2&gt;=E14,OR(F14="",2&lt;=F14)),1,0)+IF(AND(2&gt;=E15,OR(F15="",2&lt;=F15)),1,0)+IF(AND(2&gt;=E16,OR(F16="",2&lt;=F16)),1,0)+IF(AND(2&gt;=E17,OR(F17="",2&lt;=F17)),1,0)+IF(AND(2&gt;=E18,OR(F18="",2&lt;=F18)),1,0)+IF(AND(2&gt;=E19,OR(F19="",2&lt;=F19)),1,0)+IF(AND(2&gt;=E20,OR(F20="",2&lt;=F20)),1,0)+IF(AND(2&gt;=E21,OR(F21="",2&lt;=F21)),1,0)+IF(AND(2&gt;=E22,OR(F22="",2&lt;=F22)),1,0)+IF(AND(2&gt;=E23,OR(F23="",2&lt;=F23)),1,0)+IF(AND(2&gt;=E24,OR(F24="",2&lt;=F24)),1,0)+IF(AND(2&gt;=E25,OR(F25="",2&lt;=F25)),1,0)+IF(AND(2&gt;=E26,OR(F26="",2&lt;=F26)),1,0)+IF(AND(2&gt;=E27,OR(F27="",2&lt;=F27)),1,0)+IF(AND(2&gt;=E28,OR(F28="",2&lt;=F28)),1,0)+IF(AND(2&gt;=E29,OR(F29="",2&lt;=F29)),1,0)+IF(AND(2&gt;=E30,OR(F30="",2&lt;=F30)),1,0)+IF(AND(2&gt;=E31,OR(F31="",2&lt;=F31)),1,0)+IF(AND(2&gt;=E32,OR(F32="",2&lt;=F32)),1,0)+IF(AND(2&gt;=E33,OR(F33="",2&lt;=F33)),1,0)+IF(AND(2&gt;=E34,OR(F34="",2&lt;=F34)),1,0)+IF(AND(2&gt;=E35,OR(F35="",2&lt;=F35)),1,0)+IF(AND(2&gt;=E36,OR(F36="",2&lt;=F36)),1,0)+IF(AND(2&gt;=E37,OR(F37="",2&lt;=F37)),1,0)+IF(AND(2&gt;=E38,OR(F38="",2&lt;=F38)),1,0)+IF(AND(2&gt;=E39,OR(F39="",2&lt;=F39)),1,0)+IF(AND(2&gt;=E40,OR(F40="",2&lt;=F40)),1,0)+IF(AND(2&gt;=E41,OR(F41="",2&lt;=F41)),1,0)+IF(AND(2&gt;=E42,OR(F42="",2&lt;=F42)),1,0)</f>
        <v>6</v>
      </c>
      <c r="I45" s="52" t="n">
        <f aca="false">IF(AND(3&gt;=E4,OR(F4="",3&lt;=F4)),1,0)+IF(AND(3&gt;=E5,OR(F5="",3&lt;=F5)),1,0)+IF(AND(3&gt;=E6,OR(F6="",3&lt;=F6)),1,0)+IF(AND(3&gt;=E7,OR(F7="",3&lt;=F7)),1,0)+IF(AND(3&gt;=E8,OR(F8="",3&lt;=F8)),1,0)+IF(AND(3&gt;=E9,OR(F9="",3&lt;=F9)),1,0)+IF(AND(3&gt;=E10,OR(F10="",3&lt;=F10)),1,0)+IF(AND(3&gt;=E11,OR(F11="",3&lt;=F11)),1,0)+IF(AND(3&gt;=E12,OR(F12="",3&lt;=F12)),1,0)+IF(AND(3&gt;=E13,OR(F13="",3&lt;=F13)),1,0)+IF(AND(3&gt;=E14,OR(F14="",3&lt;=F14)),1,0)+IF(AND(3&gt;=E15,OR(F15="",3&lt;=F15)),1,0)+IF(AND(3&gt;=E16,OR(F16="",3&lt;=F16)),1,0)+IF(AND(3&gt;=E17,OR(F17="",3&lt;=F17)),1,0)+IF(AND(3&gt;=E18,OR(F18="",3&lt;=F18)),1,0)+IF(AND(3&gt;=E19,OR(F19="",3&lt;=F19)),1,0)+IF(AND(3&gt;=E20,OR(F20="",3&lt;=F20)),1,0)+IF(AND(3&gt;=E21,OR(F21="",3&lt;=F21)),1,0)+IF(AND(3&gt;=E22,OR(F22="",3&lt;=F22)),1,0)+IF(AND(3&gt;=E23,OR(F23="",3&lt;=F23)),1,0)+IF(AND(3&gt;=E24,OR(F24="",3&lt;=F24)),1,0)+IF(AND(3&gt;=E25,OR(F25="",3&lt;=F25)),1,0)+IF(AND(3&gt;=E26,OR(F26="",3&lt;=F26)),1,0)+IF(AND(3&gt;=E27,OR(F27="",3&lt;=F27)),1,0)+IF(AND(3&gt;=E28,OR(F28="",3&lt;=F28)),1,0)+IF(AND(3&gt;=E29,OR(F29="",3&lt;=F29)),1,0)+IF(AND(3&gt;=E30,OR(F30="",3&lt;=F30)),1,0)+IF(AND(3&gt;=E31,OR(F31="",3&lt;=F31)),1,0)+IF(AND(3&gt;=E32,OR(F32="",3&lt;=F32)),1,0)+IF(AND(3&gt;=E33,OR(F33="",3&lt;=F33)),1,0)+IF(AND(3&gt;=E34,OR(F34="",3&lt;=F34)),1,0)+IF(AND(3&gt;=E35,OR(F35="",3&lt;=F35)),1,0)+IF(AND(3&gt;=E36,OR(F36="",3&lt;=F36)),1,0)+IF(AND(3&gt;=E37,OR(F37="",3&lt;=F37)),1,0)+IF(AND(3&gt;=E38,OR(F38="",3&lt;=F38)),1,0)+IF(AND(3&gt;=E39,OR(F39="",3&lt;=F39)),1,0)+IF(AND(3&gt;=E40,OR(F40="",3&lt;=F40)),1,0)+IF(AND(3&gt;=E41,OR(F41="",3&lt;=F41)),1,0)+IF(AND(3&gt;=E42,OR(F42="",3&lt;=F42)),1,0)</f>
        <v>6</v>
      </c>
      <c r="J45" s="52" t="n">
        <f aca="false">IF(AND(4&gt;=E4,OR(F4="",4&lt;=F4)),1,0)+IF(AND(4&gt;=E5,OR(F5="",4&lt;=F5)),1,0)+IF(AND(4&gt;=E6,OR(F6="",4&lt;=F6)),1,0)+IF(AND(4&gt;=E7,OR(F7="",4&lt;=F7)),1,0)+IF(AND(4&gt;=E8,OR(F8="",4&lt;=F8)),1,0)+IF(AND(4&gt;=E9,OR(F9="",4&lt;=F9)),1,0)+IF(AND(4&gt;=E10,OR(F10="",4&lt;=F10)),1,0)+IF(AND(4&gt;=E11,OR(F11="",4&lt;=F11)),1,0)+IF(AND(4&gt;=E12,OR(F12="",4&lt;=F12)),1,0)+IF(AND(4&gt;=E13,OR(F13="",4&lt;=F13)),1,0)+IF(AND(4&gt;=E14,OR(F14="",4&lt;=F14)),1,0)+IF(AND(4&gt;=E15,OR(F15="",4&lt;=F15)),1,0)+IF(AND(4&gt;=E16,OR(F16="",4&lt;=F16)),1,0)+IF(AND(4&gt;=E17,OR(F17="",4&lt;=F17)),1,0)+IF(AND(4&gt;=E18,OR(F18="",4&lt;=F18)),1,0)+IF(AND(4&gt;=E19,OR(F19="",4&lt;=F19)),1,0)+IF(AND(4&gt;=E20,OR(F20="",4&lt;=F20)),1,0)+IF(AND(4&gt;=E21,OR(F21="",4&lt;=F21)),1,0)+IF(AND(4&gt;=E22,OR(F22="",4&lt;=F22)),1,0)+IF(AND(4&gt;=E23,OR(F23="",4&lt;=F23)),1,0)+IF(AND(4&gt;=E24,OR(F24="",4&lt;=F24)),1,0)+IF(AND(4&gt;=E25,OR(F25="",4&lt;=F25)),1,0)+IF(AND(4&gt;=E26,OR(F26="",4&lt;=F26)),1,0)+IF(AND(4&gt;=E27,OR(F27="",4&lt;=F27)),1,0)+IF(AND(4&gt;=E28,OR(F28="",4&lt;=F28)),1,0)+IF(AND(4&gt;=E29,OR(F29="",4&lt;=F29)),1,0)+IF(AND(4&gt;=E30,OR(F30="",4&lt;=F30)),1,0)+IF(AND(4&gt;=E31,OR(F31="",4&lt;=F31)),1,0)+IF(AND(4&gt;=E32,OR(F32="",4&lt;=F32)),1,0)+IF(AND(4&gt;=E33,OR(F33="",4&lt;=F33)),1,0)+IF(AND(4&gt;=E34,OR(F34="",4&lt;=F34)),1,0)+IF(AND(4&gt;=E35,OR(F35="",4&lt;=F35)),1,0)+IF(AND(4&gt;=E36,OR(F36="",4&lt;=F36)),1,0)+IF(AND(4&gt;=E37,OR(F37="",4&lt;=F37)),1,0)+IF(AND(4&gt;=E38,OR(F38="",4&lt;=F38)),1,0)+IF(AND(4&gt;=E39,OR(F39="",4&lt;=F39)),1,0)+IF(AND(4&gt;=E40,OR(F40="",4&lt;=F40)),1,0)+IF(AND(4&gt;=E41,OR(F41="",4&lt;=F41)),1,0)+IF(AND(4&gt;=E42,OR(F42="",4&lt;=F42)),1,0)</f>
        <v>8</v>
      </c>
      <c r="K45" s="52" t="n">
        <f aca="false">IF(AND(5&gt;=E4,OR(F4="",5&lt;=F4)),1,0)+IF(AND(5&gt;=E5,OR(F5="",5&lt;=F5)),1,0)+IF(AND(5&gt;=E6,OR(F6="",5&lt;=F6)),1,0)+IF(AND(5&gt;=E7,OR(F7="",5&lt;=F7)),1,0)+IF(AND(5&gt;=E8,OR(F8="",5&lt;=F8)),1,0)+IF(AND(5&gt;=E9,OR(F9="",5&lt;=F9)),1,0)+IF(AND(5&gt;=E10,OR(F10="",5&lt;=F10)),1,0)+IF(AND(5&gt;=E11,OR(F11="",5&lt;=F11)),1,0)+IF(AND(5&gt;=E12,OR(F12="",5&lt;=F12)),1,0)+IF(AND(5&gt;=E13,OR(F13="",5&lt;=F13)),1,0)+IF(AND(5&gt;=E14,OR(F14="",5&lt;=F14)),1,0)+IF(AND(5&gt;=E15,OR(F15="",5&lt;=F15)),1,0)+IF(AND(5&gt;=E16,OR(F16="",5&lt;=F16)),1,0)+IF(AND(5&gt;=E17,OR(F17="",5&lt;=F17)),1,0)+IF(AND(5&gt;=E18,OR(F18="",5&lt;=F18)),1,0)+IF(AND(5&gt;=E19,OR(F19="",5&lt;=F19)),1,0)+IF(AND(5&gt;=E20,OR(F20="",5&lt;=F20)),1,0)+IF(AND(5&gt;=E21,OR(F21="",5&lt;=F21)),1,0)+IF(AND(5&gt;=E22,OR(F22="",5&lt;=F22)),1,0)+IF(AND(5&gt;=E23,OR(F23="",5&lt;=F23)),1,0)+IF(AND(5&gt;=E24,OR(F24="",5&lt;=F24)),1,0)+IF(AND(5&gt;=E25,OR(F25="",5&lt;=F25)),1,0)+IF(AND(5&gt;=E26,OR(F26="",5&lt;=F26)),1,0)+IF(AND(5&gt;=E27,OR(F27="",5&lt;=F27)),1,0)+IF(AND(5&gt;=E28,OR(F28="",5&lt;=F28)),1,0)+IF(AND(5&gt;=E29,OR(F29="",5&lt;=F29)),1,0)+IF(AND(5&gt;=E30,OR(F30="",5&lt;=F30)),1,0)+IF(AND(5&gt;=E31,OR(F31="",5&lt;=F31)),1,0)+IF(AND(5&gt;=E32,OR(F32="",5&lt;=F32)),1,0)+IF(AND(5&gt;=E33,OR(F33="",5&lt;=F33)),1,0)+IF(AND(5&gt;=E34,OR(F34="",5&lt;=F34)),1,0)+IF(AND(5&gt;=E35,OR(F35="",5&lt;=F35)),1,0)+IF(AND(5&gt;=E36,OR(F36="",5&lt;=F36)),1,0)+IF(AND(5&gt;=E37,OR(F37="",5&lt;=F37)),1,0)+IF(AND(5&gt;=E38,OR(F38="",5&lt;=F38)),1,0)+IF(AND(5&gt;=E39,OR(F39="",5&lt;=F39)),1,0)+IF(AND(5&gt;=E40,OR(F40="",5&lt;=F40)),1,0)+IF(AND(5&gt;=E41,OR(F41="",5&lt;=F41)),1,0)+IF(AND(5&gt;=E42,OR(F42="",5&lt;=F42)),1,0)</f>
        <v>8</v>
      </c>
      <c r="L45" s="52" t="n">
        <f aca="false">IF(AND(6&gt;=E4,OR(F4="",6&lt;=F4)),1,0)+IF(AND(6&gt;=E5,OR(F5="",6&lt;=F5)),1,0)+IF(AND(6&gt;=E6,OR(F6="",6&lt;=F6)),1,0)+IF(AND(6&gt;=E7,OR(F7="",6&lt;=F7)),1,0)+IF(AND(6&gt;=E8,OR(F8="",6&lt;=F8)),1,0)+IF(AND(6&gt;=E9,OR(F9="",6&lt;=F9)),1,0)+IF(AND(6&gt;=E10,OR(F10="",6&lt;=F10)),1,0)+IF(AND(6&gt;=E11,OR(F11="",6&lt;=F11)),1,0)+IF(AND(6&gt;=E12,OR(F12="",6&lt;=F12)),1,0)+IF(AND(6&gt;=E13,OR(F13="",6&lt;=F13)),1,0)+IF(AND(6&gt;=E14,OR(F14="",6&lt;=F14)),1,0)+IF(AND(6&gt;=E15,OR(F15="",6&lt;=F15)),1,0)+IF(AND(6&gt;=E16,OR(F16="",6&lt;=F16)),1,0)+IF(AND(6&gt;=E17,OR(F17="",6&lt;=F17)),1,0)+IF(AND(6&gt;=E18,OR(F18="",6&lt;=F18)),1,0)+IF(AND(6&gt;=E19,OR(F19="",6&lt;=F19)),1,0)+IF(AND(6&gt;=E20,OR(F20="",6&lt;=F20)),1,0)+IF(AND(6&gt;=E21,OR(F21="",6&lt;=F21)),1,0)+IF(AND(6&gt;=E22,OR(F22="",6&lt;=F22)),1,0)+IF(AND(6&gt;=E23,OR(F23="",6&lt;=F23)),1,0)+IF(AND(6&gt;=E24,OR(F24="",6&lt;=F24)),1,0)+IF(AND(6&gt;=E25,OR(F25="",6&lt;=F25)),1,0)+IF(AND(6&gt;=E26,OR(F26="",6&lt;=F26)),1,0)+IF(AND(6&gt;=E27,OR(F27="",6&lt;=F27)),1,0)+IF(AND(6&gt;=E28,OR(F28="",6&lt;=F28)),1,0)+IF(AND(6&gt;=E29,OR(F29="",6&lt;=F29)),1,0)+IF(AND(6&gt;=E30,OR(F30="",6&lt;=F30)),1,0)+IF(AND(6&gt;=E31,OR(F31="",6&lt;=F31)),1,0)+IF(AND(6&gt;=E32,OR(F32="",6&lt;=F32)),1,0)+IF(AND(6&gt;=E33,OR(F33="",6&lt;=F33)),1,0)+IF(AND(6&gt;=E34,OR(F34="",6&lt;=F34)),1,0)+IF(AND(6&gt;=E35,OR(F35="",6&lt;=F35)),1,0)+IF(AND(6&gt;=E36,OR(F36="",6&lt;=F36)),1,0)+IF(AND(6&gt;=E37,OR(F37="",6&lt;=F37)),1,0)+IF(AND(6&gt;=E38,OR(F38="",6&lt;=F38)),1,0)+IF(AND(6&gt;=E39,OR(F39="",6&lt;=F39)),1,0)+IF(AND(6&gt;=E40,OR(F40="",6&lt;=F40)),1,0)+IF(AND(6&gt;=E41,OR(F41="",6&lt;=F41)),1,0)+IF(AND(6&gt;=E42,OR(F42="",6&lt;=F42)),1,0)</f>
        <v>10</v>
      </c>
      <c r="M45" s="52" t="n">
        <f aca="false">IF(AND(7&gt;=E4,OR(F4="",7&lt;=F4)),1,0)+IF(AND(7&gt;=E5,OR(F5="",7&lt;=F5)),1,0)+IF(AND(7&gt;=E6,OR(F6="",7&lt;=F6)),1,0)+IF(AND(7&gt;=E7,OR(F7="",7&lt;=F7)),1,0)+IF(AND(7&gt;=E8,OR(F8="",7&lt;=F8)),1,0)+IF(AND(7&gt;=E9,OR(F9="",7&lt;=F9)),1,0)+IF(AND(7&gt;=E10,OR(F10="",7&lt;=F10)),1,0)+IF(AND(7&gt;=E11,OR(F11="",7&lt;=F11)),1,0)+IF(AND(7&gt;=E12,OR(F12="",7&lt;=F12)),1,0)+IF(AND(7&gt;=E13,OR(F13="",7&lt;=F13)),1,0)+IF(AND(7&gt;=E14,OR(F14="",7&lt;=F14)),1,0)+IF(AND(7&gt;=E15,OR(F15="",7&lt;=F15)),1,0)+IF(AND(7&gt;=E16,OR(F16="",7&lt;=F16)),1,0)+IF(AND(7&gt;=E17,OR(F17="",7&lt;=F17)),1,0)+IF(AND(7&gt;=E18,OR(F18="",7&lt;=F18)),1,0)+IF(AND(7&gt;=E19,OR(F19="",7&lt;=F19)),1,0)+IF(AND(7&gt;=E20,OR(F20="",7&lt;=F20)),1,0)+IF(AND(7&gt;=E21,OR(F21="",7&lt;=F21)),1,0)+IF(AND(7&gt;=E22,OR(F22="",7&lt;=F22)),1,0)+IF(AND(7&gt;=E23,OR(F23="",7&lt;=F23)),1,0)+IF(AND(7&gt;=E24,OR(F24="",7&lt;=F24)),1,0)+IF(AND(7&gt;=E25,OR(F25="",7&lt;=F25)),1,0)+IF(AND(7&gt;=E26,OR(F26="",7&lt;=F26)),1,0)+IF(AND(7&gt;=E27,OR(F27="",7&lt;=F27)),1,0)+IF(AND(7&gt;=E28,OR(F28="",7&lt;=F28)),1,0)+IF(AND(7&gt;=E29,OR(F29="",7&lt;=F29)),1,0)+IF(AND(7&gt;=E30,OR(F30="",7&lt;=F30)),1,0)+IF(AND(7&gt;=E31,OR(F31="",7&lt;=F31)),1,0)+IF(AND(7&gt;=E32,OR(F32="",7&lt;=F32)),1,0)+IF(AND(7&gt;=E33,OR(F33="",7&lt;=F33)),1,0)+IF(AND(7&gt;=E34,OR(F34="",7&lt;=F34)),1,0)+IF(AND(7&gt;=E35,OR(F35="",7&lt;=F35)),1,0)+IF(AND(7&gt;=E36,OR(F36="",7&lt;=F36)),1,0)+IF(AND(7&gt;=E37,OR(F37="",7&lt;=F37)),1,0)+IF(AND(7&gt;=E38,OR(F38="",7&lt;=F38)),1,0)+IF(AND(7&gt;=E39,OR(F39="",7&lt;=F39)),1,0)+IF(AND(7&gt;=E40,OR(F40="",7&lt;=F40)),1,0)+IF(AND(7&gt;=E41,OR(F41="",7&lt;=F41)),1,0)+IF(AND(7&gt;=E42,OR(F42="",7&lt;=F42)),1,0)</f>
        <v>10</v>
      </c>
      <c r="N45" s="52" t="n">
        <f aca="false">IF(AND(8&gt;=E4,OR(F4="",8&lt;=F4)),1,0)+IF(AND(8&gt;=E5,OR(F5="",8&lt;=F5)),1,0)+IF(AND(8&gt;=E6,OR(F6="",8&lt;=F6)),1,0)+IF(AND(8&gt;=E7,OR(F7="",8&lt;=F7)),1,0)+IF(AND(8&gt;=E8,OR(F8="",8&lt;=F8)),1,0)+IF(AND(8&gt;=E9,OR(F9="",8&lt;=F9)),1,0)+IF(AND(8&gt;=E10,OR(F10="",8&lt;=F10)),1,0)+IF(AND(8&gt;=E11,OR(F11="",8&lt;=F11)),1,0)+IF(AND(8&gt;=E12,OR(F12="",8&lt;=F12)),1,0)+IF(AND(8&gt;=E13,OR(F13="",8&lt;=F13)),1,0)+IF(AND(8&gt;=E14,OR(F14="",8&lt;=F14)),1,0)+IF(AND(8&gt;=E15,OR(F15="",8&lt;=F15)),1,0)+IF(AND(8&gt;=E16,OR(F16="",8&lt;=F16)),1,0)+IF(AND(8&gt;=E17,OR(F17="",8&lt;=F17)),1,0)+IF(AND(8&gt;=E18,OR(F18="",8&lt;=F18)),1,0)+IF(AND(8&gt;=E19,OR(F19="",8&lt;=F19)),1,0)+IF(AND(8&gt;=E20,OR(F20="",8&lt;=F20)),1,0)+IF(AND(8&gt;=E21,OR(F21="",8&lt;=F21)),1,0)+IF(AND(8&gt;=E22,OR(F22="",8&lt;=F22)),1,0)+IF(AND(8&gt;=E23,OR(F23="",8&lt;=F23)),1,0)+IF(AND(8&gt;=E24,OR(F24="",8&lt;=F24)),1,0)+IF(AND(8&gt;=E25,OR(F25="",8&lt;=F25)),1,0)+IF(AND(8&gt;=E26,OR(F26="",8&lt;=F26)),1,0)+IF(AND(8&gt;=E27,OR(F27="",8&lt;=F27)),1,0)+IF(AND(8&gt;=E28,OR(F28="",8&lt;=F28)),1,0)+IF(AND(8&gt;=E29,OR(F29="",8&lt;=F29)),1,0)+IF(AND(8&gt;=E30,OR(F30="",8&lt;=F30)),1,0)+IF(AND(8&gt;=E31,OR(F31="",8&lt;=F31)),1,0)+IF(AND(8&gt;=E32,OR(F32="",8&lt;=F32)),1,0)+IF(AND(8&gt;=E33,OR(F33="",8&lt;=F33)),1,0)+IF(AND(8&gt;=E34,OR(F34="",8&lt;=F34)),1,0)+IF(AND(8&gt;=E35,OR(F35="",8&lt;=F35)),1,0)+IF(AND(8&gt;=E36,OR(F36="",8&lt;=F36)),1,0)+IF(AND(8&gt;=E37,OR(F37="",8&lt;=F37)),1,0)+IF(AND(8&gt;=E38,OR(F38="",8&lt;=F38)),1,0)+IF(AND(8&gt;=E39,OR(F39="",8&lt;=F39)),1,0)+IF(AND(8&gt;=E40,OR(F40="",8&lt;=F40)),1,0)+IF(AND(8&gt;=E41,OR(F41="",8&lt;=F41)),1,0)+IF(AND(8&gt;=E42,OR(F42="",8&lt;=F42)),1,0)</f>
        <v>10</v>
      </c>
      <c r="O45" s="52" t="n">
        <f aca="false">IF(AND(9&gt;=E4,OR(F4="",9&lt;=F4)),1,0)+IF(AND(9&gt;=E5,OR(F5="",9&lt;=F5)),1,0)+IF(AND(9&gt;=E6,OR(F6="",9&lt;=F6)),1,0)+IF(AND(9&gt;=E7,OR(F7="",9&lt;=F7)),1,0)+IF(AND(9&gt;=E8,OR(F8="",9&lt;=F8)),1,0)+IF(AND(9&gt;=E9,OR(F9="",9&lt;=F9)),1,0)+IF(AND(9&gt;=E10,OR(F10="",9&lt;=F10)),1,0)+IF(AND(9&gt;=E11,OR(F11="",9&lt;=F11)),1,0)+IF(AND(9&gt;=E12,OR(F12="",9&lt;=F12)),1,0)+IF(AND(9&gt;=E13,OR(F13="",9&lt;=F13)),1,0)+IF(AND(9&gt;=E14,OR(F14="",9&lt;=F14)),1,0)+IF(AND(9&gt;=E15,OR(F15="",9&lt;=F15)),1,0)+IF(AND(9&gt;=E16,OR(F16="",9&lt;=F16)),1,0)+IF(AND(9&gt;=E17,OR(F17="",9&lt;=F17)),1,0)+IF(AND(9&gt;=E18,OR(F18="",9&lt;=F18)),1,0)+IF(AND(9&gt;=E19,OR(F19="",9&lt;=F19)),1,0)+IF(AND(9&gt;=E20,OR(F20="",9&lt;=F20)),1,0)+IF(AND(9&gt;=E21,OR(F21="",9&lt;=F21)),1,0)+IF(AND(9&gt;=E22,OR(F22="",9&lt;=F22)),1,0)+IF(AND(9&gt;=E23,OR(F23="",9&lt;=F23)),1,0)+IF(AND(9&gt;=E24,OR(F24="",9&lt;=F24)),1,0)+IF(AND(9&gt;=E25,OR(F25="",9&lt;=F25)),1,0)+IF(AND(9&gt;=E26,OR(F26="",9&lt;=F26)),1,0)+IF(AND(9&gt;=E27,OR(F27="",9&lt;=F27)),1,0)+IF(AND(9&gt;=E28,OR(F28="",9&lt;=F28)),1,0)+IF(AND(9&gt;=E29,OR(F29="",9&lt;=F29)),1,0)+IF(AND(9&gt;=E30,OR(F30="",9&lt;=F30)),1,0)+IF(AND(9&gt;=E31,OR(F31="",9&lt;=F31)),1,0)+IF(AND(9&gt;=E32,OR(F32="",9&lt;=F32)),1,0)+IF(AND(9&gt;=E33,OR(F33="",9&lt;=F33)),1,0)+IF(AND(9&gt;=E34,OR(F34="",9&lt;=F34)),1,0)+IF(AND(9&gt;=E35,OR(F35="",9&lt;=F35)),1,0)+IF(AND(9&gt;=E36,OR(F36="",9&lt;=F36)),1,0)+IF(AND(9&gt;=E37,OR(F37="",9&lt;=F37)),1,0)+IF(AND(9&gt;=E38,OR(F38="",9&lt;=F38)),1,0)+IF(AND(9&gt;=E39,OR(F39="",9&lt;=F39)),1,0)+IF(AND(9&gt;=E40,OR(F40="",9&lt;=F40)),1,0)+IF(AND(9&gt;=E41,OR(F41="",9&lt;=F41)),1,0)+IF(AND(9&gt;=E42,OR(F42="",9&lt;=F42)),1,0)</f>
        <v>13</v>
      </c>
      <c r="P45" s="52" t="n">
        <f aca="false">IF(AND(10&gt;=E4,OR(F4="",10&lt;=F4)),1,0)+IF(AND(10&gt;=E5,OR(F5="",10&lt;=F5)),1,0)+IF(AND(10&gt;=E6,OR(F6="",10&lt;=F6)),1,0)+IF(AND(10&gt;=E7,OR(F7="",10&lt;=F7)),1,0)+IF(AND(10&gt;=E8,OR(F8="",10&lt;=F8)),1,0)+IF(AND(10&gt;=E9,OR(F9="",10&lt;=F9)),1,0)+IF(AND(10&gt;=E10,OR(F10="",10&lt;=F10)),1,0)+IF(AND(10&gt;=E11,OR(F11="",10&lt;=F11)),1,0)+IF(AND(10&gt;=E12,OR(F12="",10&lt;=F12)),1,0)+IF(AND(10&gt;=E13,OR(F13="",10&lt;=F13)),1,0)+IF(AND(10&gt;=E14,OR(F14="",10&lt;=F14)),1,0)+IF(AND(10&gt;=E15,OR(F15="",10&lt;=F15)),1,0)+IF(AND(10&gt;=E16,OR(F16="",10&lt;=F16)),1,0)+IF(AND(10&gt;=E17,OR(F17="",10&lt;=F17)),1,0)+IF(AND(10&gt;=E18,OR(F18="",10&lt;=F18)),1,0)+IF(AND(10&gt;=E19,OR(F19="",10&lt;=F19)),1,0)+IF(AND(10&gt;=E20,OR(F20="",10&lt;=F20)),1,0)+IF(AND(10&gt;=E21,OR(F21="",10&lt;=F21)),1,0)+IF(AND(10&gt;=E22,OR(F22="",10&lt;=F22)),1,0)+IF(AND(10&gt;=E23,OR(F23="",10&lt;=F23)),1,0)+IF(AND(10&gt;=E24,OR(F24="",10&lt;=F24)),1,0)+IF(AND(10&gt;=E25,OR(F25="",10&lt;=F25)),1,0)+IF(AND(10&gt;=E26,OR(F26="",10&lt;=F26)),1,0)+IF(AND(10&gt;=E27,OR(F27="",10&lt;=F27)),1,0)+IF(AND(10&gt;=E28,OR(F28="",10&lt;=F28)),1,0)+IF(AND(10&gt;=E29,OR(F29="",10&lt;=F29)),1,0)+IF(AND(10&gt;=E30,OR(F30="",10&lt;=F30)),1,0)+IF(AND(10&gt;=E31,OR(F31="",10&lt;=F31)),1,0)+IF(AND(10&gt;=E32,OR(F32="",10&lt;=F32)),1,0)+IF(AND(10&gt;=E33,OR(F33="",10&lt;=F33)),1,0)+IF(AND(10&gt;=E34,OR(F34="",10&lt;=F34)),1,0)+IF(AND(10&gt;=E35,OR(F35="",10&lt;=F35)),1,0)+IF(AND(10&gt;=E36,OR(F36="",10&lt;=F36)),1,0)+IF(AND(10&gt;=E37,OR(F37="",10&lt;=F37)),1,0)+IF(AND(10&gt;=E38,OR(F38="",10&lt;=F38)),1,0)+IF(AND(10&gt;=E39,OR(F39="",10&lt;=F39)),1,0)+IF(AND(10&gt;=E40,OR(F40="",10&lt;=F40)),1,0)+IF(AND(10&gt;=E41,OR(F41="",10&lt;=F41)),1,0)+IF(AND(10&gt;=E42,OR(F42="",10&lt;=F42)),1,0)</f>
        <v>13</v>
      </c>
      <c r="Q45" s="52" t="n">
        <f aca="false">IF(AND(11&gt;=E4,OR(F4="",11&lt;=F4)),1,0)+IF(AND(11&gt;=E5,OR(F5="",11&lt;=F5)),1,0)+IF(AND(11&gt;=E6,OR(F6="",11&lt;=F6)),1,0)+IF(AND(11&gt;=E7,OR(F7="",11&lt;=F7)),1,0)+IF(AND(11&gt;=E8,OR(F8="",11&lt;=F8)),1,0)+IF(AND(11&gt;=E9,OR(F9="",11&lt;=F9)),1,0)+IF(AND(11&gt;=E10,OR(F10="",11&lt;=F10)),1,0)+IF(AND(11&gt;=E11,OR(F11="",11&lt;=F11)),1,0)+IF(AND(11&gt;=E12,OR(F12="",11&lt;=F12)),1,0)+IF(AND(11&gt;=E13,OR(F13="",11&lt;=F13)),1,0)+IF(AND(11&gt;=E14,OR(F14="",11&lt;=F14)),1,0)+IF(AND(11&gt;=E15,OR(F15="",11&lt;=F15)),1,0)+IF(AND(11&gt;=E16,OR(F16="",11&lt;=F16)),1,0)+IF(AND(11&gt;=E17,OR(F17="",11&lt;=F17)),1,0)+IF(AND(11&gt;=E18,OR(F18="",11&lt;=F18)),1,0)+IF(AND(11&gt;=E19,OR(F19="",11&lt;=F19)),1,0)+IF(AND(11&gt;=E20,OR(F20="",11&lt;=F20)),1,0)+IF(AND(11&gt;=E21,OR(F21="",11&lt;=F21)),1,0)+IF(AND(11&gt;=E22,OR(F22="",11&lt;=F22)),1,0)+IF(AND(11&gt;=E23,OR(F23="",11&lt;=F23)),1,0)+IF(AND(11&gt;=E24,OR(F24="",11&lt;=F24)),1,0)+IF(AND(11&gt;=E25,OR(F25="",11&lt;=F25)),1,0)+IF(AND(11&gt;=E26,OR(F26="",11&lt;=F26)),1,0)+IF(AND(11&gt;=E27,OR(F27="",11&lt;=F27)),1,0)+IF(AND(11&gt;=E28,OR(F28="",11&lt;=F28)),1,0)+IF(AND(11&gt;=E29,OR(F29="",11&lt;=F29)),1,0)+IF(AND(11&gt;=E30,OR(F30="",11&lt;=F30)),1,0)+IF(AND(11&gt;=E31,OR(F31="",11&lt;=F31)),1,0)+IF(AND(11&gt;=E32,OR(F32="",11&lt;=F32)),1,0)+IF(AND(11&gt;=E33,OR(F33="",11&lt;=F33)),1,0)+IF(AND(11&gt;=E34,OR(F34="",11&lt;=F34)),1,0)+IF(AND(11&gt;=E35,OR(F35="",11&lt;=F35)),1,0)+IF(AND(11&gt;=E36,OR(F36="",11&lt;=F36)),1,0)+IF(AND(11&gt;=E37,OR(F37="",11&lt;=F37)),1,0)+IF(AND(11&gt;=E38,OR(F38="",11&lt;=F38)),1,0)+IF(AND(11&gt;=E39,OR(F39="",11&lt;=F39)),1,0)+IF(AND(11&gt;=E40,OR(F40="",11&lt;=F40)),1,0)+IF(AND(11&gt;=E41,OR(F41="",11&lt;=F41)),1,0)+IF(AND(11&gt;=E42,OR(F42="",11&lt;=F42)),1,0)</f>
        <v>13</v>
      </c>
      <c r="R45" s="52" t="n">
        <f aca="false">IF(AND(12&gt;=E4,OR(F4="",12&lt;=F4)),1,0)+IF(AND(12&gt;=E5,OR(F5="",12&lt;=F5)),1,0)+IF(AND(12&gt;=E6,OR(F6="",12&lt;=F6)),1,0)+IF(AND(12&gt;=E7,OR(F7="",12&lt;=F7)),1,0)+IF(AND(12&gt;=E8,OR(F8="",12&lt;=F8)),1,0)+IF(AND(12&gt;=E9,OR(F9="",12&lt;=F9)),1,0)+IF(AND(12&gt;=E10,OR(F10="",12&lt;=F10)),1,0)+IF(AND(12&gt;=E11,OR(F11="",12&lt;=F11)),1,0)+IF(AND(12&gt;=E12,OR(F12="",12&lt;=F12)),1,0)+IF(AND(12&gt;=E13,OR(F13="",12&lt;=F13)),1,0)+IF(AND(12&gt;=E14,OR(F14="",12&lt;=F14)),1,0)+IF(AND(12&gt;=E15,OR(F15="",12&lt;=F15)),1,0)+IF(AND(12&gt;=E16,OR(F16="",12&lt;=F16)),1,0)+IF(AND(12&gt;=E17,OR(F17="",12&lt;=F17)),1,0)+IF(AND(12&gt;=E18,OR(F18="",12&lt;=F18)),1,0)+IF(AND(12&gt;=E19,OR(F19="",12&lt;=F19)),1,0)+IF(AND(12&gt;=E20,OR(F20="",12&lt;=F20)),1,0)+IF(AND(12&gt;=E21,OR(F21="",12&lt;=F21)),1,0)+IF(AND(12&gt;=E22,OR(F22="",12&lt;=F22)),1,0)+IF(AND(12&gt;=E23,OR(F23="",12&lt;=F23)),1,0)+IF(AND(12&gt;=E24,OR(F24="",12&lt;=F24)),1,0)+IF(AND(12&gt;=E25,OR(F25="",12&lt;=F25)),1,0)+IF(AND(12&gt;=E26,OR(F26="",12&lt;=F26)),1,0)+IF(AND(12&gt;=E27,OR(F27="",12&lt;=F27)),1,0)+IF(AND(12&gt;=E28,OR(F28="",12&lt;=F28)),1,0)+IF(AND(12&gt;=E29,OR(F29="",12&lt;=F29)),1,0)+IF(AND(12&gt;=E30,OR(F30="",12&lt;=F30)),1,0)+IF(AND(12&gt;=E31,OR(F31="",12&lt;=F31)),1,0)+IF(AND(12&gt;=E32,OR(F32="",12&lt;=F32)),1,0)+IF(AND(12&gt;=E33,OR(F33="",12&lt;=F33)),1,0)+IF(AND(12&gt;=E34,OR(F34="",12&lt;=F34)),1,0)+IF(AND(12&gt;=E35,OR(F35="",12&lt;=F35)),1,0)+IF(AND(12&gt;=E36,OR(F36="",12&lt;=F36)),1,0)+IF(AND(12&gt;=E37,OR(F37="",12&lt;=F37)),1,0)+IF(AND(12&gt;=E38,OR(F38="",12&lt;=F38)),1,0)+IF(AND(12&gt;=E39,OR(F39="",12&lt;=F39)),1,0)+IF(AND(12&gt;=E40,OR(F40="",12&lt;=F40)),1,0)+IF(AND(12&gt;=E41,OR(F41="",12&lt;=F41)),1,0)+IF(AND(12&gt;=E42,OR(F42="",12&lt;=F42)),1,0)</f>
        <v>16</v>
      </c>
      <c r="S45" s="52" t="n">
        <f aca="false">IF(AND(13&gt;=E4,OR(F4="",13&lt;=F4)),1,0)+IF(AND(13&gt;=E5,OR(F5="",13&lt;=F5)),1,0)+IF(AND(13&gt;=E6,OR(F6="",13&lt;=F6)),1,0)+IF(AND(13&gt;=E7,OR(F7="",13&lt;=F7)),1,0)+IF(AND(13&gt;=E8,OR(F8="",13&lt;=F8)),1,0)+IF(AND(13&gt;=E9,OR(F9="",13&lt;=F9)),1,0)+IF(AND(13&gt;=E10,OR(F10="",13&lt;=F10)),1,0)+IF(AND(13&gt;=E11,OR(F11="",13&lt;=F11)),1,0)+IF(AND(13&gt;=E12,OR(F12="",13&lt;=F12)),1,0)+IF(AND(13&gt;=E13,OR(F13="",13&lt;=F13)),1,0)+IF(AND(13&gt;=E14,OR(F14="",13&lt;=F14)),1,0)+IF(AND(13&gt;=E15,OR(F15="",13&lt;=F15)),1,0)+IF(AND(13&gt;=E16,OR(F16="",13&lt;=F16)),1,0)+IF(AND(13&gt;=E17,OR(F17="",13&lt;=F17)),1,0)+IF(AND(13&gt;=E18,OR(F18="",13&lt;=F18)),1,0)+IF(AND(13&gt;=E19,OR(F19="",13&lt;=F19)),1,0)+IF(AND(13&gt;=E20,OR(F20="",13&lt;=F20)),1,0)+IF(AND(13&gt;=E21,OR(F21="",13&lt;=F21)),1,0)+IF(AND(13&gt;=E22,OR(F22="",13&lt;=F22)),1,0)+IF(AND(13&gt;=E23,OR(F23="",13&lt;=F23)),1,0)+IF(AND(13&gt;=E24,OR(F24="",13&lt;=F24)),1,0)+IF(AND(13&gt;=E25,OR(F25="",13&lt;=F25)),1,0)+IF(AND(13&gt;=E26,OR(F26="",13&lt;=F26)),1,0)+IF(AND(13&gt;=E27,OR(F27="",13&lt;=F27)),1,0)+IF(AND(13&gt;=E28,OR(F28="",13&lt;=F28)),1,0)+IF(AND(13&gt;=E29,OR(F29="",13&lt;=F29)),1,0)+IF(AND(13&gt;=E30,OR(F30="",13&lt;=F30)),1,0)+IF(AND(13&gt;=E31,OR(F31="",13&lt;=F31)),1,0)+IF(AND(13&gt;=E32,OR(F32="",13&lt;=F32)),1,0)+IF(AND(13&gt;=E33,OR(F33="",13&lt;=F33)),1,0)+IF(AND(13&gt;=E34,OR(F34="",13&lt;=F34)),1,0)+IF(AND(13&gt;=E35,OR(F35="",13&lt;=F35)),1,0)+IF(AND(13&gt;=E36,OR(F36="",13&lt;=F36)),1,0)+IF(AND(13&gt;=E37,OR(F37="",13&lt;=F37)),1,0)+IF(AND(13&gt;=E38,OR(F38="",13&lt;=F38)),1,0)+IF(AND(13&gt;=E39,OR(F39="",13&lt;=F39)),1,0)+IF(AND(13&gt;=E40,OR(F40="",13&lt;=F40)),1,0)+IF(AND(13&gt;=E41,OR(F41="",13&lt;=F41)),1,0)+IF(AND(13&gt;=E42,OR(F42="",13&lt;=F42)),1,0)</f>
        <v>16</v>
      </c>
      <c r="T45" s="52" t="n">
        <f aca="false">IF(AND(14&gt;=E4,OR(F4="",14&lt;=F4)),1,0)+IF(AND(14&gt;=E5,OR(F5="",14&lt;=F5)),1,0)+IF(AND(14&gt;=E6,OR(F6="",14&lt;=F6)),1,0)+IF(AND(14&gt;=E7,OR(F7="",14&lt;=F7)),1,0)+IF(AND(14&gt;=E8,OR(F8="",14&lt;=F8)),1,0)+IF(AND(14&gt;=E9,OR(F9="",14&lt;=F9)),1,0)+IF(AND(14&gt;=E10,OR(F10="",14&lt;=F10)),1,0)+IF(AND(14&gt;=E11,OR(F11="",14&lt;=F11)),1,0)+IF(AND(14&gt;=E12,OR(F12="",14&lt;=F12)),1,0)+IF(AND(14&gt;=E13,OR(F13="",14&lt;=F13)),1,0)+IF(AND(14&gt;=E14,OR(F14="",14&lt;=F14)),1,0)+IF(AND(14&gt;=E15,OR(F15="",14&lt;=F15)),1,0)+IF(AND(14&gt;=E16,OR(F16="",14&lt;=F16)),1,0)+IF(AND(14&gt;=E17,OR(F17="",14&lt;=F17)),1,0)+IF(AND(14&gt;=E18,OR(F18="",14&lt;=F18)),1,0)+IF(AND(14&gt;=E19,OR(F19="",14&lt;=F19)),1,0)+IF(AND(14&gt;=E20,OR(F20="",14&lt;=F20)),1,0)+IF(AND(14&gt;=E21,OR(F21="",14&lt;=F21)),1,0)+IF(AND(14&gt;=E22,OR(F22="",14&lt;=F22)),1,0)+IF(AND(14&gt;=E23,OR(F23="",14&lt;=F23)),1,0)+IF(AND(14&gt;=E24,OR(F24="",14&lt;=F24)),1,0)+IF(AND(14&gt;=E25,OR(F25="",14&lt;=F25)),1,0)+IF(AND(14&gt;=E26,OR(F26="",14&lt;=F26)),1,0)+IF(AND(14&gt;=E27,OR(F27="",14&lt;=F27)),1,0)+IF(AND(14&gt;=E28,OR(F28="",14&lt;=F28)),1,0)+IF(AND(14&gt;=E29,OR(F29="",14&lt;=F29)),1,0)+IF(AND(14&gt;=E30,OR(F30="",14&lt;=F30)),1,0)+IF(AND(14&gt;=E31,OR(F31="",14&lt;=F31)),1,0)+IF(AND(14&gt;=E32,OR(F32="",14&lt;=F32)),1,0)+IF(AND(14&gt;=E33,OR(F33="",14&lt;=F33)),1,0)+IF(AND(14&gt;=E34,OR(F34="",14&lt;=F34)),1,0)+IF(AND(14&gt;=E35,OR(F35="",14&lt;=F35)),1,0)+IF(AND(14&gt;=E36,OR(F36="",14&lt;=F36)),1,0)+IF(AND(14&gt;=E37,OR(F37="",14&lt;=F37)),1,0)+IF(AND(14&gt;=E38,OR(F38="",14&lt;=F38)),1,0)+IF(AND(14&gt;=E39,OR(F39="",14&lt;=F39)),1,0)+IF(AND(14&gt;=E40,OR(F40="",14&lt;=F40)),1,0)+IF(AND(14&gt;=E41,OR(F41="",14&lt;=F41)),1,0)+IF(AND(14&gt;=E42,OR(F42="",14&lt;=F42)),1,0)</f>
        <v>16</v>
      </c>
      <c r="U45" s="52" t="n">
        <f aca="false">IF(AND(15&gt;=E4,OR(F4="",15&lt;=F4)),1,0)+IF(AND(15&gt;=E5,OR(F5="",15&lt;=F5)),1,0)+IF(AND(15&gt;=E6,OR(F6="",15&lt;=F6)),1,0)+IF(AND(15&gt;=E7,OR(F7="",15&lt;=F7)),1,0)+IF(AND(15&gt;=E8,OR(F8="",15&lt;=F8)),1,0)+IF(AND(15&gt;=E9,OR(F9="",15&lt;=F9)),1,0)+IF(AND(15&gt;=E10,OR(F10="",15&lt;=F10)),1,0)+IF(AND(15&gt;=E11,OR(F11="",15&lt;=F11)),1,0)+IF(AND(15&gt;=E12,OR(F12="",15&lt;=F12)),1,0)+IF(AND(15&gt;=E13,OR(F13="",15&lt;=F13)),1,0)+IF(AND(15&gt;=E14,OR(F14="",15&lt;=F14)),1,0)+IF(AND(15&gt;=E15,OR(F15="",15&lt;=F15)),1,0)+IF(AND(15&gt;=E16,OR(F16="",15&lt;=F16)),1,0)+IF(AND(15&gt;=E17,OR(F17="",15&lt;=F17)),1,0)+IF(AND(15&gt;=E18,OR(F18="",15&lt;=F18)),1,0)+IF(AND(15&gt;=E19,OR(F19="",15&lt;=F19)),1,0)+IF(AND(15&gt;=E20,OR(F20="",15&lt;=F20)),1,0)+IF(AND(15&gt;=E21,OR(F21="",15&lt;=F21)),1,0)+IF(AND(15&gt;=E22,OR(F22="",15&lt;=F22)),1,0)+IF(AND(15&gt;=E23,OR(F23="",15&lt;=F23)),1,0)+IF(AND(15&gt;=E24,OR(F24="",15&lt;=F24)),1,0)+IF(AND(15&gt;=E25,OR(F25="",15&lt;=F25)),1,0)+IF(AND(15&gt;=E26,OR(F26="",15&lt;=F26)),1,0)+IF(AND(15&gt;=E27,OR(F27="",15&lt;=F27)),1,0)+IF(AND(15&gt;=E28,OR(F28="",15&lt;=F28)),1,0)+IF(AND(15&gt;=E29,OR(F29="",15&lt;=F29)),1,0)+IF(AND(15&gt;=E30,OR(F30="",15&lt;=F30)),1,0)+IF(AND(15&gt;=E31,OR(F31="",15&lt;=F31)),1,0)+IF(AND(15&gt;=E32,OR(F32="",15&lt;=F32)),1,0)+IF(AND(15&gt;=E33,OR(F33="",15&lt;=F33)),1,0)+IF(AND(15&gt;=E34,OR(F34="",15&lt;=F34)),1,0)+IF(AND(15&gt;=E35,OR(F35="",15&lt;=F35)),1,0)+IF(AND(15&gt;=E36,OR(F36="",15&lt;=F36)),1,0)+IF(AND(15&gt;=E37,OR(F37="",15&lt;=F37)),1,0)+IF(AND(15&gt;=E38,OR(F38="",15&lt;=F38)),1,0)+IF(AND(15&gt;=E39,OR(F39="",15&lt;=F39)),1,0)+IF(AND(15&gt;=E40,OR(F40="",15&lt;=F40)),1,0)+IF(AND(15&gt;=E41,OR(F41="",15&lt;=F41)),1,0)+IF(AND(15&gt;=E42,OR(F42="",15&lt;=F42)),1,0)</f>
        <v>18</v>
      </c>
      <c r="V45" s="52" t="n">
        <f aca="false">IF(AND(16&gt;=E4,OR(F4="",16&lt;=F4)),1,0)+IF(AND(16&gt;=E5,OR(F5="",16&lt;=F5)),1,0)+IF(AND(16&gt;=E6,OR(F6="",16&lt;=F6)),1,0)+IF(AND(16&gt;=E7,OR(F7="",16&lt;=F7)),1,0)+IF(AND(16&gt;=E8,OR(F8="",16&lt;=F8)),1,0)+IF(AND(16&gt;=E9,OR(F9="",16&lt;=F9)),1,0)+IF(AND(16&gt;=E10,OR(F10="",16&lt;=F10)),1,0)+IF(AND(16&gt;=E11,OR(F11="",16&lt;=F11)),1,0)+IF(AND(16&gt;=E12,OR(F12="",16&lt;=F12)),1,0)+IF(AND(16&gt;=E13,OR(F13="",16&lt;=F13)),1,0)+IF(AND(16&gt;=E14,OR(F14="",16&lt;=F14)),1,0)+IF(AND(16&gt;=E15,OR(F15="",16&lt;=F15)),1,0)+IF(AND(16&gt;=E16,OR(F16="",16&lt;=F16)),1,0)+IF(AND(16&gt;=E17,OR(F17="",16&lt;=F17)),1,0)+IF(AND(16&gt;=E18,OR(F18="",16&lt;=F18)),1,0)+IF(AND(16&gt;=E19,OR(F19="",16&lt;=F19)),1,0)+IF(AND(16&gt;=E20,OR(F20="",16&lt;=F20)),1,0)+IF(AND(16&gt;=E21,OR(F21="",16&lt;=F21)),1,0)+IF(AND(16&gt;=E22,OR(F22="",16&lt;=F22)),1,0)+IF(AND(16&gt;=E23,OR(F23="",16&lt;=F23)),1,0)+IF(AND(16&gt;=E24,OR(F24="",16&lt;=F24)),1,0)+IF(AND(16&gt;=E25,OR(F25="",16&lt;=F25)),1,0)+IF(AND(16&gt;=E26,OR(F26="",16&lt;=F26)),1,0)+IF(AND(16&gt;=E27,OR(F27="",16&lt;=F27)),1,0)+IF(AND(16&gt;=E28,OR(F28="",16&lt;=F28)),1,0)+IF(AND(16&gt;=E29,OR(F29="",16&lt;=F29)),1,0)+IF(AND(16&gt;=E30,OR(F30="",16&lt;=F30)),1,0)+IF(AND(16&gt;=E31,OR(F31="",16&lt;=F31)),1,0)+IF(AND(16&gt;=E32,OR(F32="",16&lt;=F32)),1,0)+IF(AND(16&gt;=E33,OR(F33="",16&lt;=F33)),1,0)+IF(AND(16&gt;=E34,OR(F34="",16&lt;=F34)),1,0)+IF(AND(16&gt;=E35,OR(F35="",16&lt;=F35)),1,0)+IF(AND(16&gt;=E36,OR(F36="",16&lt;=F36)),1,0)+IF(AND(16&gt;=E37,OR(F37="",16&lt;=F37)),1,0)+IF(AND(16&gt;=E38,OR(F38="",16&lt;=F38)),1,0)+IF(AND(16&gt;=E39,OR(F39="",16&lt;=F39)),1,0)+IF(AND(16&gt;=E40,OR(F40="",16&lt;=F40)),1,0)+IF(AND(16&gt;=E41,OR(F41="",16&lt;=F41)),1,0)+IF(AND(16&gt;=E42,OR(F42="",16&lt;=F42)),1,0)</f>
        <v>18</v>
      </c>
      <c r="W45" s="52" t="n">
        <f aca="false">IF(AND(17&gt;=E4,OR(F4="",17&lt;=F4)),1,0)+IF(AND(17&gt;=E5,OR(F5="",17&lt;=F5)),1,0)+IF(AND(17&gt;=E6,OR(F6="",17&lt;=F6)),1,0)+IF(AND(17&gt;=E7,OR(F7="",17&lt;=F7)),1,0)+IF(AND(17&gt;=E8,OR(F8="",17&lt;=F8)),1,0)+IF(AND(17&gt;=E9,OR(F9="",17&lt;=F9)),1,0)+IF(AND(17&gt;=E10,OR(F10="",17&lt;=F10)),1,0)+IF(AND(17&gt;=E11,OR(F11="",17&lt;=F11)),1,0)+IF(AND(17&gt;=E12,OR(F12="",17&lt;=F12)),1,0)+IF(AND(17&gt;=E13,OR(F13="",17&lt;=F13)),1,0)+IF(AND(17&gt;=E14,OR(F14="",17&lt;=F14)),1,0)+IF(AND(17&gt;=E15,OR(F15="",17&lt;=F15)),1,0)+IF(AND(17&gt;=E16,OR(F16="",17&lt;=F16)),1,0)+IF(AND(17&gt;=E17,OR(F17="",17&lt;=F17)),1,0)+IF(AND(17&gt;=E18,OR(F18="",17&lt;=F18)),1,0)+IF(AND(17&gt;=E19,OR(F19="",17&lt;=F19)),1,0)+IF(AND(17&gt;=E20,OR(F20="",17&lt;=F20)),1,0)+IF(AND(17&gt;=E21,OR(F21="",17&lt;=F21)),1,0)+IF(AND(17&gt;=E22,OR(F22="",17&lt;=F22)),1,0)+IF(AND(17&gt;=E23,OR(F23="",17&lt;=F23)),1,0)+IF(AND(17&gt;=E24,OR(F24="",17&lt;=F24)),1,0)+IF(AND(17&gt;=E25,OR(F25="",17&lt;=F25)),1,0)+IF(AND(17&gt;=E26,OR(F26="",17&lt;=F26)),1,0)+IF(AND(17&gt;=E27,OR(F27="",17&lt;=F27)),1,0)+IF(AND(17&gt;=E28,OR(F28="",17&lt;=F28)),1,0)+IF(AND(17&gt;=E29,OR(F29="",17&lt;=F29)),1,0)+IF(AND(17&gt;=E30,OR(F30="",17&lt;=F30)),1,0)+IF(AND(17&gt;=E31,OR(F31="",17&lt;=F31)),1,0)+IF(AND(17&gt;=E32,OR(F32="",17&lt;=F32)),1,0)+IF(AND(17&gt;=E33,OR(F33="",17&lt;=F33)),1,0)+IF(AND(17&gt;=E34,OR(F34="",17&lt;=F34)),1,0)+IF(AND(17&gt;=E35,OR(F35="",17&lt;=F35)),1,0)+IF(AND(17&gt;=E36,OR(F36="",17&lt;=F36)),1,0)+IF(AND(17&gt;=E37,OR(F37="",17&lt;=F37)),1,0)+IF(AND(17&gt;=E38,OR(F38="",17&lt;=F38)),1,0)+IF(AND(17&gt;=E39,OR(F39="",17&lt;=F39)),1,0)+IF(AND(17&gt;=E40,OR(F40="",17&lt;=F40)),1,0)+IF(AND(17&gt;=E41,OR(F41="",17&lt;=F41)),1,0)+IF(AND(17&gt;=E42,OR(F42="",17&lt;=F42)),1,0)</f>
        <v>18</v>
      </c>
      <c r="X45" s="52" t="n">
        <f aca="false">IF(AND(18&gt;=E4,OR(F4="",18&lt;=F4)),1,0)+IF(AND(18&gt;=E5,OR(F5="",18&lt;=F5)),1,0)+IF(AND(18&gt;=E6,OR(F6="",18&lt;=F6)),1,0)+IF(AND(18&gt;=E7,OR(F7="",18&lt;=F7)),1,0)+IF(AND(18&gt;=E8,OR(F8="",18&lt;=F8)),1,0)+IF(AND(18&gt;=E9,OR(F9="",18&lt;=F9)),1,0)+IF(AND(18&gt;=E10,OR(F10="",18&lt;=F10)),1,0)+IF(AND(18&gt;=E11,OR(F11="",18&lt;=F11)),1,0)+IF(AND(18&gt;=E12,OR(F12="",18&lt;=F12)),1,0)+IF(AND(18&gt;=E13,OR(F13="",18&lt;=F13)),1,0)+IF(AND(18&gt;=E14,OR(F14="",18&lt;=F14)),1,0)+IF(AND(18&gt;=E15,OR(F15="",18&lt;=F15)),1,0)+IF(AND(18&gt;=E16,OR(F16="",18&lt;=F16)),1,0)+IF(AND(18&gt;=E17,OR(F17="",18&lt;=F17)),1,0)+IF(AND(18&gt;=E18,OR(F18="",18&lt;=F18)),1,0)+IF(AND(18&gt;=E19,OR(F19="",18&lt;=F19)),1,0)+IF(AND(18&gt;=E20,OR(F20="",18&lt;=F20)),1,0)+IF(AND(18&gt;=E21,OR(F21="",18&lt;=F21)),1,0)+IF(AND(18&gt;=E22,OR(F22="",18&lt;=F22)),1,0)+IF(AND(18&gt;=E23,OR(F23="",18&lt;=F23)),1,0)+IF(AND(18&gt;=E24,OR(F24="",18&lt;=F24)),1,0)+IF(AND(18&gt;=E25,OR(F25="",18&lt;=F25)),1,0)+IF(AND(18&gt;=E26,OR(F26="",18&lt;=F26)),1,0)+IF(AND(18&gt;=E27,OR(F27="",18&lt;=F27)),1,0)+IF(AND(18&gt;=E28,OR(F28="",18&lt;=F28)),1,0)+IF(AND(18&gt;=E29,OR(F29="",18&lt;=F29)),1,0)+IF(AND(18&gt;=E30,OR(F30="",18&lt;=F30)),1,0)+IF(AND(18&gt;=E31,OR(F31="",18&lt;=F31)),1,0)+IF(AND(18&gt;=E32,OR(F32="",18&lt;=F32)),1,0)+IF(AND(18&gt;=E33,OR(F33="",18&lt;=F33)),1,0)+IF(AND(18&gt;=E34,OR(F34="",18&lt;=F34)),1,0)+IF(AND(18&gt;=E35,OR(F35="",18&lt;=F35)),1,0)+IF(AND(18&gt;=E36,OR(F36="",18&lt;=F36)),1,0)+IF(AND(18&gt;=E37,OR(F37="",18&lt;=F37)),1,0)+IF(AND(18&gt;=E38,OR(F38="",18&lt;=F38)),1,0)+IF(AND(18&gt;=E39,OR(F39="",18&lt;=F39)),1,0)+IF(AND(18&gt;=E40,OR(F40="",18&lt;=F40)),1,0)+IF(AND(18&gt;=E41,OR(F41="",18&lt;=F41)),1,0)+IF(AND(18&gt;=E42,OR(F42="",18&lt;=F42)),1,0)</f>
        <v>18</v>
      </c>
      <c r="Y45" s="52" t="n">
        <f aca="false">IF(AND(19&gt;=E4,OR(F4="",19&lt;=F4)),1,0)+IF(AND(19&gt;=E5,OR(F5="",19&lt;=F5)),1,0)+IF(AND(19&gt;=E6,OR(F6="",19&lt;=F6)),1,0)+IF(AND(19&gt;=E7,OR(F7="",19&lt;=F7)),1,0)+IF(AND(19&gt;=E8,OR(F8="",19&lt;=F8)),1,0)+IF(AND(19&gt;=E9,OR(F9="",19&lt;=F9)),1,0)+IF(AND(19&gt;=E10,OR(F10="",19&lt;=F10)),1,0)+IF(AND(19&gt;=E11,OR(F11="",19&lt;=F11)),1,0)+IF(AND(19&gt;=E12,OR(F12="",19&lt;=F12)),1,0)+IF(AND(19&gt;=E13,OR(F13="",19&lt;=F13)),1,0)+IF(AND(19&gt;=E14,OR(F14="",19&lt;=F14)),1,0)+IF(AND(19&gt;=E15,OR(F15="",19&lt;=F15)),1,0)+IF(AND(19&gt;=E16,OR(F16="",19&lt;=F16)),1,0)+IF(AND(19&gt;=E17,OR(F17="",19&lt;=F17)),1,0)+IF(AND(19&gt;=E18,OR(F18="",19&lt;=F18)),1,0)+IF(AND(19&gt;=E19,OR(F19="",19&lt;=F19)),1,0)+IF(AND(19&gt;=E20,OR(F20="",19&lt;=F20)),1,0)+IF(AND(19&gt;=E21,OR(F21="",19&lt;=F21)),1,0)+IF(AND(19&gt;=E22,OR(F22="",19&lt;=F22)),1,0)+IF(AND(19&gt;=E23,OR(F23="",19&lt;=F23)),1,0)+IF(AND(19&gt;=E24,OR(F24="",19&lt;=F24)),1,0)+IF(AND(19&gt;=E25,OR(F25="",19&lt;=F25)),1,0)+IF(AND(19&gt;=E26,OR(F26="",19&lt;=F26)),1,0)+IF(AND(19&gt;=E27,OR(F27="",19&lt;=F27)),1,0)+IF(AND(19&gt;=E28,OR(F28="",19&lt;=F28)),1,0)+IF(AND(19&gt;=E29,OR(F29="",19&lt;=F29)),1,0)+IF(AND(19&gt;=E30,OR(F30="",19&lt;=F30)),1,0)+IF(AND(19&gt;=E31,OR(F31="",19&lt;=F31)),1,0)+IF(AND(19&gt;=E32,OR(F32="",19&lt;=F32)),1,0)+IF(AND(19&gt;=E33,OR(F33="",19&lt;=F33)),1,0)+IF(AND(19&gt;=E34,OR(F34="",19&lt;=F34)),1,0)+IF(AND(19&gt;=E35,OR(F35="",19&lt;=F35)),1,0)+IF(AND(19&gt;=E36,OR(F36="",19&lt;=F36)),1,0)+IF(AND(19&gt;=E37,OR(F37="",19&lt;=F37)),1,0)+IF(AND(19&gt;=E38,OR(F38="",19&lt;=F38)),1,0)+IF(AND(19&gt;=E39,OR(F39="",19&lt;=F39)),1,0)+IF(AND(19&gt;=E40,OR(F40="",19&lt;=F40)),1,0)+IF(AND(19&gt;=E41,OR(F41="",19&lt;=F41)),1,0)+IF(AND(19&gt;=E42,OR(F42="",19&lt;=F42)),1,0)</f>
        <v>18</v>
      </c>
      <c r="Z45" s="52" t="n">
        <f aca="false">IF(AND(20&gt;=E4,OR(F4="",20&lt;=F4)),1,0)+IF(AND(20&gt;=E5,OR(F5="",20&lt;=F5)),1,0)+IF(AND(20&gt;=E6,OR(F6="",20&lt;=F6)),1,0)+IF(AND(20&gt;=E7,OR(F7="",20&lt;=F7)),1,0)+IF(AND(20&gt;=E8,OR(F8="",20&lt;=F8)),1,0)+IF(AND(20&gt;=E9,OR(F9="",20&lt;=F9)),1,0)+IF(AND(20&gt;=E10,OR(F10="",20&lt;=F10)),1,0)+IF(AND(20&gt;=E11,OR(F11="",20&lt;=F11)),1,0)+IF(AND(20&gt;=E12,OR(F12="",20&lt;=F12)),1,0)+IF(AND(20&gt;=E13,OR(F13="",20&lt;=F13)),1,0)+IF(AND(20&gt;=E14,OR(F14="",20&lt;=F14)),1,0)+IF(AND(20&gt;=E15,OR(F15="",20&lt;=F15)),1,0)+IF(AND(20&gt;=E16,OR(F16="",20&lt;=F16)),1,0)+IF(AND(20&gt;=E17,OR(F17="",20&lt;=F17)),1,0)+IF(AND(20&gt;=E18,OR(F18="",20&lt;=F18)),1,0)+IF(AND(20&gt;=E19,OR(F19="",20&lt;=F19)),1,0)+IF(AND(20&gt;=E20,OR(F20="",20&lt;=F20)),1,0)+IF(AND(20&gt;=E21,OR(F21="",20&lt;=F21)),1,0)+IF(AND(20&gt;=E22,OR(F22="",20&lt;=F22)),1,0)+IF(AND(20&gt;=E23,OR(F23="",20&lt;=F23)),1,0)+IF(AND(20&gt;=E24,OR(F24="",20&lt;=F24)),1,0)+IF(AND(20&gt;=E25,OR(F25="",20&lt;=F25)),1,0)+IF(AND(20&gt;=E26,OR(F26="",20&lt;=F26)),1,0)+IF(AND(20&gt;=E27,OR(F27="",20&lt;=F27)),1,0)+IF(AND(20&gt;=E28,OR(F28="",20&lt;=F28)),1,0)+IF(AND(20&gt;=E29,OR(F29="",20&lt;=F29)),1,0)+IF(AND(20&gt;=E30,OR(F30="",20&lt;=F30)),1,0)+IF(AND(20&gt;=E31,OR(F31="",20&lt;=F31)),1,0)+IF(AND(20&gt;=E32,OR(F32="",20&lt;=F32)),1,0)+IF(AND(20&gt;=E33,OR(F33="",20&lt;=F33)),1,0)+IF(AND(20&gt;=E34,OR(F34="",20&lt;=F34)),1,0)+IF(AND(20&gt;=E35,OR(F35="",20&lt;=F35)),1,0)+IF(AND(20&gt;=E36,OR(F36="",20&lt;=F36)),1,0)+IF(AND(20&gt;=E37,OR(F37="",20&lt;=F37)),1,0)+IF(AND(20&gt;=E38,OR(F38="",20&lt;=F38)),1,0)+IF(AND(20&gt;=E39,OR(F39="",20&lt;=F39)),1,0)+IF(AND(20&gt;=E40,OR(F40="",20&lt;=F40)),1,0)+IF(AND(20&gt;=E41,OR(F41="",20&lt;=F41)),1,0)+IF(AND(20&gt;=E42,OR(F42="",20&lt;=F42)),1,0)</f>
        <v>19</v>
      </c>
      <c r="AA45" s="52" t="n">
        <f aca="false">IF(AND(21&gt;=E4,OR(F4="",21&lt;=F4)),1,0)+IF(AND(21&gt;=E5,OR(F5="",21&lt;=F5)),1,0)+IF(AND(21&gt;=E6,OR(F6="",21&lt;=F6)),1,0)+IF(AND(21&gt;=E7,OR(F7="",21&lt;=F7)),1,0)+IF(AND(21&gt;=E8,OR(F8="",21&lt;=F8)),1,0)+IF(AND(21&gt;=E9,OR(F9="",21&lt;=F9)),1,0)+IF(AND(21&gt;=E10,OR(F10="",21&lt;=F10)),1,0)+IF(AND(21&gt;=E11,OR(F11="",21&lt;=F11)),1,0)+IF(AND(21&gt;=E12,OR(F12="",21&lt;=F12)),1,0)+IF(AND(21&gt;=E13,OR(F13="",21&lt;=F13)),1,0)+IF(AND(21&gt;=E14,OR(F14="",21&lt;=F14)),1,0)+IF(AND(21&gt;=E15,OR(F15="",21&lt;=F15)),1,0)+IF(AND(21&gt;=E16,OR(F16="",21&lt;=F16)),1,0)+IF(AND(21&gt;=E17,OR(F17="",21&lt;=F17)),1,0)+IF(AND(21&gt;=E18,OR(F18="",21&lt;=F18)),1,0)+IF(AND(21&gt;=E19,OR(F19="",21&lt;=F19)),1,0)+IF(AND(21&gt;=E20,OR(F20="",21&lt;=F20)),1,0)+IF(AND(21&gt;=E21,OR(F21="",21&lt;=F21)),1,0)+IF(AND(21&gt;=E22,OR(F22="",21&lt;=F22)),1,0)+IF(AND(21&gt;=E23,OR(F23="",21&lt;=F23)),1,0)+IF(AND(21&gt;=E24,OR(F24="",21&lt;=F24)),1,0)+IF(AND(21&gt;=E25,OR(F25="",21&lt;=F25)),1,0)+IF(AND(21&gt;=E26,OR(F26="",21&lt;=F26)),1,0)+IF(AND(21&gt;=E27,OR(F27="",21&lt;=F27)),1,0)+IF(AND(21&gt;=E28,OR(F28="",21&lt;=F28)),1,0)+IF(AND(21&gt;=E29,OR(F29="",21&lt;=F29)),1,0)+IF(AND(21&gt;=E30,OR(F30="",21&lt;=F30)),1,0)+IF(AND(21&gt;=E31,OR(F31="",21&lt;=F31)),1,0)+IF(AND(21&gt;=E32,OR(F32="",21&lt;=F32)),1,0)+IF(AND(21&gt;=E33,OR(F33="",21&lt;=F33)),1,0)+IF(AND(21&gt;=E34,OR(F34="",21&lt;=F34)),1,0)+IF(AND(21&gt;=E35,OR(F35="",21&lt;=F35)),1,0)+IF(AND(21&gt;=E36,OR(F36="",21&lt;=F36)),1,0)+IF(AND(21&gt;=E37,OR(F37="",21&lt;=F37)),1,0)+IF(AND(21&gt;=E38,OR(F38="",21&lt;=F38)),1,0)+IF(AND(21&gt;=E39,OR(F39="",21&lt;=F39)),1,0)+IF(AND(21&gt;=E40,OR(F40="",21&lt;=F40)),1,0)+IF(AND(21&gt;=E41,OR(F41="",21&lt;=F41)),1,0)+IF(AND(21&gt;=E42,OR(F42="",21&lt;=F42)),1,0)</f>
        <v>19</v>
      </c>
      <c r="AB45" s="52" t="n">
        <f aca="false">IF(AND(22&gt;=E4,OR(F4="",22&lt;=F4)),1,0)+IF(AND(22&gt;=E5,OR(F5="",22&lt;=F5)),1,0)+IF(AND(22&gt;=E6,OR(F6="",22&lt;=F6)),1,0)+IF(AND(22&gt;=E7,OR(F7="",22&lt;=F7)),1,0)+IF(AND(22&gt;=E8,OR(F8="",22&lt;=F8)),1,0)+IF(AND(22&gt;=E9,OR(F9="",22&lt;=F9)),1,0)+IF(AND(22&gt;=E10,OR(F10="",22&lt;=F10)),1,0)+IF(AND(22&gt;=E11,OR(F11="",22&lt;=F11)),1,0)+IF(AND(22&gt;=E12,OR(F12="",22&lt;=F12)),1,0)+IF(AND(22&gt;=E13,OR(F13="",22&lt;=F13)),1,0)+IF(AND(22&gt;=E14,OR(F14="",22&lt;=F14)),1,0)+IF(AND(22&gt;=E15,OR(F15="",22&lt;=F15)),1,0)+IF(AND(22&gt;=E16,OR(F16="",22&lt;=F16)),1,0)+IF(AND(22&gt;=E17,OR(F17="",22&lt;=F17)),1,0)+IF(AND(22&gt;=E18,OR(F18="",22&lt;=F18)),1,0)+IF(AND(22&gt;=E19,OR(F19="",22&lt;=F19)),1,0)+IF(AND(22&gt;=E20,OR(F20="",22&lt;=F20)),1,0)+IF(AND(22&gt;=E21,OR(F21="",22&lt;=F21)),1,0)+IF(AND(22&gt;=E22,OR(F22="",22&lt;=F22)),1,0)+IF(AND(22&gt;=E23,OR(F23="",22&lt;=F23)),1,0)+IF(AND(22&gt;=E24,OR(F24="",22&lt;=F24)),1,0)+IF(AND(22&gt;=E25,OR(F25="",22&lt;=F25)),1,0)+IF(AND(22&gt;=E26,OR(F26="",22&lt;=F26)),1,0)+IF(AND(22&gt;=E27,OR(F27="",22&lt;=F27)),1,0)+IF(AND(22&gt;=E28,OR(F28="",22&lt;=F28)),1,0)+IF(AND(22&gt;=E29,OR(F29="",22&lt;=F29)),1,0)+IF(AND(22&gt;=E30,OR(F30="",22&lt;=F30)),1,0)+IF(AND(22&gt;=E31,OR(F31="",22&lt;=F31)),1,0)+IF(AND(22&gt;=E32,OR(F32="",22&lt;=F32)),1,0)+IF(AND(22&gt;=E33,OR(F33="",22&lt;=F33)),1,0)+IF(AND(22&gt;=E34,OR(F34="",22&lt;=F34)),1,0)+IF(AND(22&gt;=E35,OR(F35="",22&lt;=F35)),1,0)+IF(AND(22&gt;=E36,OR(F36="",22&lt;=F36)),1,0)+IF(AND(22&gt;=E37,OR(F37="",22&lt;=F37)),1,0)+IF(AND(22&gt;=E38,OR(F38="",22&lt;=F38)),1,0)+IF(AND(22&gt;=E39,OR(F39="",22&lt;=F39)),1,0)+IF(AND(22&gt;=E40,OR(F40="",22&lt;=F40)),1,0)+IF(AND(22&gt;=E41,OR(F41="",22&lt;=F41)),1,0)+IF(AND(22&gt;=E42,OR(F42="",22&lt;=F42)),1,0)</f>
        <v>20</v>
      </c>
      <c r="AC45" s="52" t="n">
        <f aca="false">IF(AND(23&gt;=E4,OR(F4="",23&lt;=F4)),1,0)+IF(AND(23&gt;=E5,OR(F5="",23&lt;=F5)),1,0)+IF(AND(23&gt;=E6,OR(F6="",23&lt;=F6)),1,0)+IF(AND(23&gt;=E7,OR(F7="",23&lt;=F7)),1,0)+IF(AND(23&gt;=E8,OR(F8="",23&lt;=F8)),1,0)+IF(AND(23&gt;=E9,OR(F9="",23&lt;=F9)),1,0)+IF(AND(23&gt;=E10,OR(F10="",23&lt;=F10)),1,0)+IF(AND(23&gt;=E11,OR(F11="",23&lt;=F11)),1,0)+IF(AND(23&gt;=E12,OR(F12="",23&lt;=F12)),1,0)+IF(AND(23&gt;=E13,OR(F13="",23&lt;=F13)),1,0)+IF(AND(23&gt;=E14,OR(F14="",23&lt;=F14)),1,0)+IF(AND(23&gt;=E15,OR(F15="",23&lt;=F15)),1,0)+IF(AND(23&gt;=E16,OR(F16="",23&lt;=F16)),1,0)+IF(AND(23&gt;=E17,OR(F17="",23&lt;=F17)),1,0)+IF(AND(23&gt;=E18,OR(F18="",23&lt;=F18)),1,0)+IF(AND(23&gt;=E19,OR(F19="",23&lt;=F19)),1,0)+IF(AND(23&gt;=E20,OR(F20="",23&lt;=F20)),1,0)+IF(AND(23&gt;=E21,OR(F21="",23&lt;=F21)),1,0)+IF(AND(23&gt;=E22,OR(F22="",23&lt;=F22)),1,0)+IF(AND(23&gt;=E23,OR(F23="",23&lt;=F23)),1,0)+IF(AND(23&gt;=E24,OR(F24="",23&lt;=F24)),1,0)+IF(AND(23&gt;=E25,OR(F25="",23&lt;=F25)),1,0)+IF(AND(23&gt;=E26,OR(F26="",23&lt;=F26)),1,0)+IF(AND(23&gt;=E27,OR(F27="",23&lt;=F27)),1,0)+IF(AND(23&gt;=E28,OR(F28="",23&lt;=F28)),1,0)+IF(AND(23&gt;=E29,OR(F29="",23&lt;=F29)),1,0)+IF(AND(23&gt;=E30,OR(F30="",23&lt;=F30)),1,0)+IF(AND(23&gt;=E31,OR(F31="",23&lt;=F31)),1,0)+IF(AND(23&gt;=E32,OR(F32="",23&lt;=F32)),1,0)+IF(AND(23&gt;=E33,OR(F33="",23&lt;=F33)),1,0)+IF(AND(23&gt;=E34,OR(F34="",23&lt;=F34)),1,0)+IF(AND(23&gt;=E35,OR(F35="",23&lt;=F35)),1,0)+IF(AND(23&gt;=E36,OR(F36="",23&lt;=F36)),1,0)+IF(AND(23&gt;=E37,OR(F37="",23&lt;=F37)),1,0)+IF(AND(23&gt;=E38,OR(F38="",23&lt;=F38)),1,0)+IF(AND(23&gt;=E39,OR(F39="",23&lt;=F39)),1,0)+IF(AND(23&gt;=E40,OR(F40="",23&lt;=F40)),1,0)+IF(AND(23&gt;=E41,OR(F41="",23&lt;=F41)),1,0)+IF(AND(23&gt;=E42,OR(F42="",23&lt;=F42)),1,0)</f>
        <v>20</v>
      </c>
      <c r="AD45" s="52" t="n">
        <f aca="false">IF(AND(24&gt;=E4,OR(F4="",24&lt;=F4)),1,0)+IF(AND(24&gt;=E5,OR(F5="",24&lt;=F5)),1,0)+IF(AND(24&gt;=E6,OR(F6="",24&lt;=F6)),1,0)+IF(AND(24&gt;=E7,OR(F7="",24&lt;=F7)),1,0)+IF(AND(24&gt;=E8,OR(F8="",24&lt;=F8)),1,0)+IF(AND(24&gt;=E9,OR(F9="",24&lt;=F9)),1,0)+IF(AND(24&gt;=E10,OR(F10="",24&lt;=F10)),1,0)+IF(AND(24&gt;=E11,OR(F11="",24&lt;=F11)),1,0)+IF(AND(24&gt;=E12,OR(F12="",24&lt;=F12)),1,0)+IF(AND(24&gt;=E13,OR(F13="",24&lt;=F13)),1,0)+IF(AND(24&gt;=E14,OR(F14="",24&lt;=F14)),1,0)+IF(AND(24&gt;=E15,OR(F15="",24&lt;=F15)),1,0)+IF(AND(24&gt;=E16,OR(F16="",24&lt;=F16)),1,0)+IF(AND(24&gt;=E17,OR(F17="",24&lt;=F17)),1,0)+IF(AND(24&gt;=E18,OR(F18="",24&lt;=F18)),1,0)+IF(AND(24&gt;=E19,OR(F19="",24&lt;=F19)),1,0)+IF(AND(24&gt;=E20,OR(F20="",24&lt;=F20)),1,0)+IF(AND(24&gt;=E21,OR(F21="",24&lt;=F21)),1,0)+IF(AND(24&gt;=E22,OR(F22="",24&lt;=F22)),1,0)+IF(AND(24&gt;=E23,OR(F23="",24&lt;=F23)),1,0)+IF(AND(24&gt;=E24,OR(F24="",24&lt;=F24)),1,0)+IF(AND(24&gt;=E25,OR(F25="",24&lt;=F25)),1,0)+IF(AND(24&gt;=E26,OR(F26="",24&lt;=F26)),1,0)+IF(AND(24&gt;=E27,OR(F27="",24&lt;=F27)),1,0)+IF(AND(24&gt;=E28,OR(F28="",24&lt;=F28)),1,0)+IF(AND(24&gt;=E29,OR(F29="",24&lt;=F29)),1,0)+IF(AND(24&gt;=E30,OR(F30="",24&lt;=F30)),1,0)+IF(AND(24&gt;=E31,OR(F31="",24&lt;=F31)),1,0)+IF(AND(24&gt;=E32,OR(F32="",24&lt;=F32)),1,0)+IF(AND(24&gt;=E33,OR(F33="",24&lt;=F33)),1,0)+IF(AND(24&gt;=E34,OR(F34="",24&lt;=F34)),1,0)+IF(AND(24&gt;=E35,OR(F35="",24&lt;=F35)),1,0)+IF(AND(24&gt;=E36,OR(F36="",24&lt;=F36)),1,0)+IF(AND(24&gt;=E37,OR(F37="",24&lt;=F37)),1,0)+IF(AND(24&gt;=E38,OR(F38="",24&lt;=F38)),1,0)+IF(AND(24&gt;=E39,OR(F39="",24&lt;=F39)),1,0)+IF(AND(24&gt;=E40,OR(F40="",24&lt;=F40)),1,0)+IF(AND(24&gt;=E41,OR(F41="",24&lt;=F41)),1,0)+IF(AND(24&gt;=E42,OR(F42="",24&lt;=F42)),1,0)</f>
        <v>21</v>
      </c>
      <c r="AE45" s="52" t="n">
        <f aca="false">IF(AND(25&gt;=E4,OR(F4="",25&lt;=F4)),1,0)+IF(AND(25&gt;=E5,OR(F5="",25&lt;=F5)),1,0)+IF(AND(25&gt;=E6,OR(F6="",25&lt;=F6)),1,0)+IF(AND(25&gt;=E7,OR(F7="",25&lt;=F7)),1,0)+IF(AND(25&gt;=E8,OR(F8="",25&lt;=F8)),1,0)+IF(AND(25&gt;=E9,OR(F9="",25&lt;=F9)),1,0)+IF(AND(25&gt;=E10,OR(F10="",25&lt;=F10)),1,0)+IF(AND(25&gt;=E11,OR(F11="",25&lt;=F11)),1,0)+IF(AND(25&gt;=E12,OR(F12="",25&lt;=F12)),1,0)+IF(AND(25&gt;=E13,OR(F13="",25&lt;=F13)),1,0)+IF(AND(25&gt;=E14,OR(F14="",25&lt;=F14)),1,0)+IF(AND(25&gt;=E15,OR(F15="",25&lt;=F15)),1,0)+IF(AND(25&gt;=E16,OR(F16="",25&lt;=F16)),1,0)+IF(AND(25&gt;=E17,OR(F17="",25&lt;=F17)),1,0)+IF(AND(25&gt;=E18,OR(F18="",25&lt;=F18)),1,0)+IF(AND(25&gt;=E19,OR(F19="",25&lt;=F19)),1,0)+IF(AND(25&gt;=E20,OR(F20="",25&lt;=F20)),1,0)+IF(AND(25&gt;=E21,OR(F21="",25&lt;=F21)),1,0)+IF(AND(25&gt;=E22,OR(F22="",25&lt;=F22)),1,0)+IF(AND(25&gt;=E23,OR(F23="",25&lt;=F23)),1,0)+IF(AND(25&gt;=E24,OR(F24="",25&lt;=F24)),1,0)+IF(AND(25&gt;=E25,OR(F25="",25&lt;=F25)),1,0)+IF(AND(25&gt;=E26,OR(F26="",25&lt;=F26)),1,0)+IF(AND(25&gt;=E27,OR(F27="",25&lt;=F27)),1,0)+IF(AND(25&gt;=E28,OR(F28="",25&lt;=F28)),1,0)+IF(AND(25&gt;=E29,OR(F29="",25&lt;=F29)),1,0)+IF(AND(25&gt;=E30,OR(F30="",25&lt;=F30)),1,0)+IF(AND(25&gt;=E31,OR(F31="",25&lt;=F31)),1,0)+IF(AND(25&gt;=E32,OR(F32="",25&lt;=F32)),1,0)+IF(AND(25&gt;=E33,OR(F33="",25&lt;=F33)),1,0)+IF(AND(25&gt;=E34,OR(F34="",25&lt;=F34)),1,0)+IF(AND(25&gt;=E35,OR(F35="",25&lt;=F35)),1,0)+IF(AND(25&gt;=E36,OR(F36="",25&lt;=F36)),1,0)+IF(AND(25&gt;=E37,OR(F37="",25&lt;=F37)),1,0)+IF(AND(25&gt;=E38,OR(F38="",25&lt;=F38)),1,0)+IF(AND(25&gt;=E39,OR(F39="",25&lt;=F39)),1,0)+IF(AND(25&gt;=E40,OR(F40="",25&lt;=F40)),1,0)+IF(AND(25&gt;=E41,OR(F41="",25&lt;=F41)),1,0)+IF(AND(25&gt;=E42,OR(F42="",25&lt;=F42)),1,0)</f>
        <v>21</v>
      </c>
      <c r="AF45" s="52" t="n">
        <f aca="false">IF(AND(26&gt;=E4,OR(F4="",26&lt;=F4)),1,0)+IF(AND(26&gt;=E5,OR(F5="",26&lt;=F5)),1,0)+IF(AND(26&gt;=E6,OR(F6="",26&lt;=F6)),1,0)+IF(AND(26&gt;=E7,OR(F7="",26&lt;=F7)),1,0)+IF(AND(26&gt;=E8,OR(F8="",26&lt;=F8)),1,0)+IF(AND(26&gt;=E9,OR(F9="",26&lt;=F9)),1,0)+IF(AND(26&gt;=E10,OR(F10="",26&lt;=F10)),1,0)+IF(AND(26&gt;=E11,OR(F11="",26&lt;=F11)),1,0)+IF(AND(26&gt;=E12,OR(F12="",26&lt;=F12)),1,0)+IF(AND(26&gt;=E13,OR(F13="",26&lt;=F13)),1,0)+IF(AND(26&gt;=E14,OR(F14="",26&lt;=F14)),1,0)+IF(AND(26&gt;=E15,OR(F15="",26&lt;=F15)),1,0)+IF(AND(26&gt;=E16,OR(F16="",26&lt;=F16)),1,0)+IF(AND(26&gt;=E17,OR(F17="",26&lt;=F17)),1,0)+IF(AND(26&gt;=E18,OR(F18="",26&lt;=F18)),1,0)+IF(AND(26&gt;=E19,OR(F19="",26&lt;=F19)),1,0)+IF(AND(26&gt;=E20,OR(F20="",26&lt;=F20)),1,0)+IF(AND(26&gt;=E21,OR(F21="",26&lt;=F21)),1,0)+IF(AND(26&gt;=E22,OR(F22="",26&lt;=F22)),1,0)+IF(AND(26&gt;=E23,OR(F23="",26&lt;=F23)),1,0)+IF(AND(26&gt;=E24,OR(F24="",26&lt;=F24)),1,0)+IF(AND(26&gt;=E25,OR(F25="",26&lt;=F25)),1,0)+IF(AND(26&gt;=E26,OR(F26="",26&lt;=F26)),1,0)+IF(AND(26&gt;=E27,OR(F27="",26&lt;=F27)),1,0)+IF(AND(26&gt;=E28,OR(F28="",26&lt;=F28)),1,0)+IF(AND(26&gt;=E29,OR(F29="",26&lt;=F29)),1,0)+IF(AND(26&gt;=E30,OR(F30="",26&lt;=F30)),1,0)+IF(AND(26&gt;=E31,OR(F31="",26&lt;=F31)),1,0)+IF(AND(26&gt;=E32,OR(F32="",26&lt;=F32)),1,0)+IF(AND(26&gt;=E33,OR(F33="",26&lt;=F33)),1,0)+IF(AND(26&gt;=E34,OR(F34="",26&lt;=F34)),1,0)+IF(AND(26&gt;=E35,OR(F35="",26&lt;=F35)),1,0)+IF(AND(26&gt;=E36,OR(F36="",26&lt;=F36)),1,0)+IF(AND(26&gt;=E37,OR(F37="",26&lt;=F37)),1,0)+IF(AND(26&gt;=E38,OR(F38="",26&lt;=F38)),1,0)+IF(AND(26&gt;=E39,OR(F39="",26&lt;=F39)),1,0)+IF(AND(26&gt;=E40,OR(F40="",26&lt;=F40)),1,0)+IF(AND(26&gt;=E41,OR(F41="",26&lt;=F41)),1,0)+IF(AND(26&gt;=E42,OR(F42="",26&lt;=F42)),1,0)</f>
        <v>22</v>
      </c>
      <c r="AG45" s="52" t="n">
        <f aca="false">IF(AND(27&gt;=E4,OR(F4="",27&lt;=F4)),1,0)+IF(AND(27&gt;=E5,OR(F5="",27&lt;=F5)),1,0)+IF(AND(27&gt;=E6,OR(F6="",27&lt;=F6)),1,0)+IF(AND(27&gt;=E7,OR(F7="",27&lt;=F7)),1,0)+IF(AND(27&gt;=E8,OR(F8="",27&lt;=F8)),1,0)+IF(AND(27&gt;=E9,OR(F9="",27&lt;=F9)),1,0)+IF(AND(27&gt;=E10,OR(F10="",27&lt;=F10)),1,0)+IF(AND(27&gt;=E11,OR(F11="",27&lt;=F11)),1,0)+IF(AND(27&gt;=E12,OR(F12="",27&lt;=F12)),1,0)+IF(AND(27&gt;=E13,OR(F13="",27&lt;=F13)),1,0)+IF(AND(27&gt;=E14,OR(F14="",27&lt;=F14)),1,0)+IF(AND(27&gt;=E15,OR(F15="",27&lt;=F15)),1,0)+IF(AND(27&gt;=E16,OR(F16="",27&lt;=F16)),1,0)+IF(AND(27&gt;=E17,OR(F17="",27&lt;=F17)),1,0)+IF(AND(27&gt;=E18,OR(F18="",27&lt;=F18)),1,0)+IF(AND(27&gt;=E19,OR(F19="",27&lt;=F19)),1,0)+IF(AND(27&gt;=E20,OR(F20="",27&lt;=F20)),1,0)+IF(AND(27&gt;=E21,OR(F21="",27&lt;=F21)),1,0)+IF(AND(27&gt;=E22,OR(F22="",27&lt;=F22)),1,0)+IF(AND(27&gt;=E23,OR(F23="",27&lt;=F23)),1,0)+IF(AND(27&gt;=E24,OR(F24="",27&lt;=F24)),1,0)+IF(AND(27&gt;=E25,OR(F25="",27&lt;=F25)),1,0)+IF(AND(27&gt;=E26,OR(F26="",27&lt;=F26)),1,0)+IF(AND(27&gt;=E27,OR(F27="",27&lt;=F27)),1,0)+IF(AND(27&gt;=E28,OR(F28="",27&lt;=F28)),1,0)+IF(AND(27&gt;=E29,OR(F29="",27&lt;=F29)),1,0)+IF(AND(27&gt;=E30,OR(F30="",27&lt;=F30)),1,0)+IF(AND(27&gt;=E31,OR(F31="",27&lt;=F31)),1,0)+IF(AND(27&gt;=E32,OR(F32="",27&lt;=F32)),1,0)+IF(AND(27&gt;=E33,OR(F33="",27&lt;=F33)),1,0)+IF(AND(27&gt;=E34,OR(F34="",27&lt;=F34)),1,0)+IF(AND(27&gt;=E35,OR(F35="",27&lt;=F35)),1,0)+IF(AND(27&gt;=E36,OR(F36="",27&lt;=F36)),1,0)+IF(AND(27&gt;=E37,OR(F37="",27&lt;=F37)),1,0)+IF(AND(27&gt;=E38,OR(F38="",27&lt;=F38)),1,0)+IF(AND(27&gt;=E39,OR(F39="",27&lt;=F39)),1,0)+IF(AND(27&gt;=E40,OR(F40="",27&lt;=F40)),1,0)+IF(AND(27&gt;=E41,OR(F41="",27&lt;=F41)),1,0)+IF(AND(27&gt;=E42,OR(F42="",27&lt;=F42)),1,0)</f>
        <v>22</v>
      </c>
      <c r="AH45" s="52" t="n">
        <f aca="false">IF(AND(28&gt;=E4,OR(F4="",28&lt;=F4)),1,0)+IF(AND(28&gt;=E5,OR(F5="",28&lt;=F5)),1,0)+IF(AND(28&gt;=E6,OR(F6="",28&lt;=F6)),1,0)+IF(AND(28&gt;=E7,OR(F7="",28&lt;=F7)),1,0)+IF(AND(28&gt;=E8,OR(F8="",28&lt;=F8)),1,0)+IF(AND(28&gt;=E9,OR(F9="",28&lt;=F9)),1,0)+IF(AND(28&gt;=E10,OR(F10="",28&lt;=F10)),1,0)+IF(AND(28&gt;=E11,OR(F11="",28&lt;=F11)),1,0)+IF(AND(28&gt;=E12,OR(F12="",28&lt;=F12)),1,0)+IF(AND(28&gt;=E13,OR(F13="",28&lt;=F13)),1,0)+IF(AND(28&gt;=E14,OR(F14="",28&lt;=F14)),1,0)+IF(AND(28&gt;=E15,OR(F15="",28&lt;=F15)),1,0)+IF(AND(28&gt;=E16,OR(F16="",28&lt;=F16)),1,0)+IF(AND(28&gt;=E17,OR(F17="",28&lt;=F17)),1,0)+IF(AND(28&gt;=E18,OR(F18="",28&lt;=F18)),1,0)+IF(AND(28&gt;=E19,OR(F19="",28&lt;=F19)),1,0)+IF(AND(28&gt;=E20,OR(F20="",28&lt;=F20)),1,0)+IF(AND(28&gt;=E21,OR(F21="",28&lt;=F21)),1,0)+IF(AND(28&gt;=E22,OR(F22="",28&lt;=F22)),1,0)+IF(AND(28&gt;=E23,OR(F23="",28&lt;=F23)),1,0)+IF(AND(28&gt;=E24,OR(F24="",28&lt;=F24)),1,0)+IF(AND(28&gt;=E25,OR(F25="",28&lt;=F25)),1,0)+IF(AND(28&gt;=E26,OR(F26="",28&lt;=F26)),1,0)+IF(AND(28&gt;=E27,OR(F27="",28&lt;=F27)),1,0)+IF(AND(28&gt;=E28,OR(F28="",28&lt;=F28)),1,0)+IF(AND(28&gt;=E29,OR(F29="",28&lt;=F29)),1,0)+IF(AND(28&gt;=E30,OR(F30="",28&lt;=F30)),1,0)+IF(AND(28&gt;=E31,OR(F31="",28&lt;=F31)),1,0)+IF(AND(28&gt;=E32,OR(F32="",28&lt;=F32)),1,0)+IF(AND(28&gt;=E33,OR(F33="",28&lt;=F33)),1,0)+IF(AND(28&gt;=E34,OR(F34="",28&lt;=F34)),1,0)+IF(AND(28&gt;=E35,OR(F35="",28&lt;=F35)),1,0)+IF(AND(28&gt;=E36,OR(F36="",28&lt;=F36)),1,0)+IF(AND(28&gt;=E37,OR(F37="",28&lt;=F37)),1,0)+IF(AND(28&gt;=E38,OR(F38="",28&lt;=F38)),1,0)+IF(AND(28&gt;=E39,OR(F39="",28&lt;=F39)),1,0)+IF(AND(28&gt;=E40,OR(F40="",28&lt;=F40)),1,0)+IF(AND(28&gt;=E41,OR(F41="",28&lt;=F41)),1,0)+IF(AND(28&gt;=E42,OR(F42="",28&lt;=F42)),1,0)</f>
        <v>23</v>
      </c>
      <c r="AI45" s="52" t="n">
        <f aca="false">IF(AND(29&gt;=E4,OR(F4="",29&lt;=F4)),1,0)+IF(AND(29&gt;=E5,OR(F5="",29&lt;=F5)),1,0)+IF(AND(29&gt;=E6,OR(F6="",29&lt;=F6)),1,0)+IF(AND(29&gt;=E7,OR(F7="",29&lt;=F7)),1,0)+IF(AND(29&gt;=E8,OR(F8="",29&lt;=F8)),1,0)+IF(AND(29&gt;=E9,OR(F9="",29&lt;=F9)),1,0)+IF(AND(29&gt;=E10,OR(F10="",29&lt;=F10)),1,0)+IF(AND(29&gt;=E11,OR(F11="",29&lt;=F11)),1,0)+IF(AND(29&gt;=E12,OR(F12="",29&lt;=F12)),1,0)+IF(AND(29&gt;=E13,OR(F13="",29&lt;=F13)),1,0)+IF(AND(29&gt;=E14,OR(F14="",29&lt;=F14)),1,0)+IF(AND(29&gt;=E15,OR(F15="",29&lt;=F15)),1,0)+IF(AND(29&gt;=E16,OR(F16="",29&lt;=F16)),1,0)+IF(AND(29&gt;=E17,OR(F17="",29&lt;=F17)),1,0)+IF(AND(29&gt;=E18,OR(F18="",29&lt;=F18)),1,0)+IF(AND(29&gt;=E19,OR(F19="",29&lt;=F19)),1,0)+IF(AND(29&gt;=E20,OR(F20="",29&lt;=F20)),1,0)+IF(AND(29&gt;=E21,OR(F21="",29&lt;=F21)),1,0)+IF(AND(29&gt;=E22,OR(F22="",29&lt;=F22)),1,0)+IF(AND(29&gt;=E23,OR(F23="",29&lt;=F23)),1,0)+IF(AND(29&gt;=E24,OR(F24="",29&lt;=F24)),1,0)+IF(AND(29&gt;=E25,OR(F25="",29&lt;=F25)),1,0)+IF(AND(29&gt;=E26,OR(F26="",29&lt;=F26)),1,0)+IF(AND(29&gt;=E27,OR(F27="",29&lt;=F27)),1,0)+IF(AND(29&gt;=E28,OR(F28="",29&lt;=F28)),1,0)+IF(AND(29&gt;=E29,OR(F29="",29&lt;=F29)),1,0)+IF(AND(29&gt;=E30,OR(F30="",29&lt;=F30)),1,0)+IF(AND(29&gt;=E31,OR(F31="",29&lt;=F31)),1,0)+IF(AND(29&gt;=E32,OR(F32="",29&lt;=F32)),1,0)+IF(AND(29&gt;=E33,OR(F33="",29&lt;=F33)),1,0)+IF(AND(29&gt;=E34,OR(F34="",29&lt;=F34)),1,0)+IF(AND(29&gt;=E35,OR(F35="",29&lt;=F35)),1,0)+IF(AND(29&gt;=E36,OR(F36="",29&lt;=F36)),1,0)+IF(AND(29&gt;=E37,OR(F37="",29&lt;=F37)),1,0)+IF(AND(29&gt;=E38,OR(F38="",29&lt;=F38)),1,0)+IF(AND(29&gt;=E39,OR(F39="",29&lt;=F39)),1,0)+IF(AND(29&gt;=E40,OR(F40="",29&lt;=F40)),1,0)+IF(AND(29&gt;=E41,OR(F41="",29&lt;=F41)),1,0)+IF(AND(29&gt;=E42,OR(F42="",29&lt;=F42)),1,0)</f>
        <v>23</v>
      </c>
      <c r="AJ45" s="52" t="n">
        <f aca="false">IF(AND(30&gt;=E4,OR(F4="",30&lt;=F4)),1,0)+IF(AND(30&gt;=E5,OR(F5="",30&lt;=F5)),1,0)+IF(AND(30&gt;=E6,OR(F6="",30&lt;=F6)),1,0)+IF(AND(30&gt;=E7,OR(F7="",30&lt;=F7)),1,0)+IF(AND(30&gt;=E8,OR(F8="",30&lt;=F8)),1,0)+IF(AND(30&gt;=E9,OR(F9="",30&lt;=F9)),1,0)+IF(AND(30&gt;=E10,OR(F10="",30&lt;=F10)),1,0)+IF(AND(30&gt;=E11,OR(F11="",30&lt;=F11)),1,0)+IF(AND(30&gt;=E12,OR(F12="",30&lt;=F12)),1,0)+IF(AND(30&gt;=E13,OR(F13="",30&lt;=F13)),1,0)+IF(AND(30&gt;=E14,OR(F14="",30&lt;=F14)),1,0)+IF(AND(30&gt;=E15,OR(F15="",30&lt;=F15)),1,0)+IF(AND(30&gt;=E16,OR(F16="",30&lt;=F16)),1,0)+IF(AND(30&gt;=E17,OR(F17="",30&lt;=F17)),1,0)+IF(AND(30&gt;=E18,OR(F18="",30&lt;=F18)),1,0)+IF(AND(30&gt;=E19,OR(F19="",30&lt;=F19)),1,0)+IF(AND(30&gt;=E20,OR(F20="",30&lt;=F20)),1,0)+IF(AND(30&gt;=E21,OR(F21="",30&lt;=F21)),1,0)+IF(AND(30&gt;=E22,OR(F22="",30&lt;=F22)),1,0)+IF(AND(30&gt;=E23,OR(F23="",30&lt;=F23)),1,0)+IF(AND(30&gt;=E24,OR(F24="",30&lt;=F24)),1,0)+IF(AND(30&gt;=E25,OR(F25="",30&lt;=F25)),1,0)+IF(AND(30&gt;=E26,OR(F26="",30&lt;=F26)),1,0)+IF(AND(30&gt;=E27,OR(F27="",30&lt;=F27)),1,0)+IF(AND(30&gt;=E28,OR(F28="",30&lt;=F28)),1,0)+IF(AND(30&gt;=E29,OR(F29="",30&lt;=F29)),1,0)+IF(AND(30&gt;=E30,OR(F30="",30&lt;=F30)),1,0)+IF(AND(30&gt;=E31,OR(F31="",30&lt;=F31)),1,0)+IF(AND(30&gt;=E32,OR(F32="",30&lt;=F32)),1,0)+IF(AND(30&gt;=E33,OR(F33="",30&lt;=F33)),1,0)+IF(AND(30&gt;=E34,OR(F34="",30&lt;=F34)),1,0)+IF(AND(30&gt;=E35,OR(F35="",30&lt;=F35)),1,0)+IF(AND(30&gt;=E36,OR(F36="",30&lt;=F36)),1,0)+IF(AND(30&gt;=E37,OR(F37="",30&lt;=F37)),1,0)+IF(AND(30&gt;=E38,OR(F38="",30&lt;=F38)),1,0)+IF(AND(30&gt;=E39,OR(F39="",30&lt;=F39)),1,0)+IF(AND(30&gt;=E40,OR(F40="",30&lt;=F40)),1,0)+IF(AND(30&gt;=E41,OR(F41="",30&lt;=F41)),1,0)+IF(AND(30&gt;=E42,OR(F42="",30&lt;=F42)),1,0)</f>
        <v>24</v>
      </c>
      <c r="AK45" s="52" t="n">
        <f aca="false">IF(AND(31&gt;=E4,OR(F4="",31&lt;=F4)),1,0)+IF(AND(31&gt;=E5,OR(F5="",31&lt;=F5)),1,0)+IF(AND(31&gt;=E6,OR(F6="",31&lt;=F6)),1,0)+IF(AND(31&gt;=E7,OR(F7="",31&lt;=F7)),1,0)+IF(AND(31&gt;=E8,OR(F8="",31&lt;=F8)),1,0)+IF(AND(31&gt;=E9,OR(F9="",31&lt;=F9)),1,0)+IF(AND(31&gt;=E10,OR(F10="",31&lt;=F10)),1,0)+IF(AND(31&gt;=E11,OR(F11="",31&lt;=F11)),1,0)+IF(AND(31&gt;=E12,OR(F12="",31&lt;=F12)),1,0)+IF(AND(31&gt;=E13,OR(F13="",31&lt;=F13)),1,0)+IF(AND(31&gt;=E14,OR(F14="",31&lt;=F14)),1,0)+IF(AND(31&gt;=E15,OR(F15="",31&lt;=F15)),1,0)+IF(AND(31&gt;=E16,OR(F16="",31&lt;=F16)),1,0)+IF(AND(31&gt;=E17,OR(F17="",31&lt;=F17)),1,0)+IF(AND(31&gt;=E18,OR(F18="",31&lt;=F18)),1,0)+IF(AND(31&gt;=E19,OR(F19="",31&lt;=F19)),1,0)+IF(AND(31&gt;=E20,OR(F20="",31&lt;=F20)),1,0)+IF(AND(31&gt;=E21,OR(F21="",31&lt;=F21)),1,0)+IF(AND(31&gt;=E22,OR(F22="",31&lt;=F22)),1,0)+IF(AND(31&gt;=E23,OR(F23="",31&lt;=F23)),1,0)+IF(AND(31&gt;=E24,OR(F24="",31&lt;=F24)),1,0)+IF(AND(31&gt;=E25,OR(F25="",31&lt;=F25)),1,0)+IF(AND(31&gt;=E26,OR(F26="",31&lt;=F26)),1,0)+IF(AND(31&gt;=E27,OR(F27="",31&lt;=F27)),1,0)+IF(AND(31&gt;=E28,OR(F28="",31&lt;=F28)),1,0)+IF(AND(31&gt;=E29,OR(F29="",31&lt;=F29)),1,0)+IF(AND(31&gt;=E30,OR(F30="",31&lt;=F30)),1,0)+IF(AND(31&gt;=E31,OR(F31="",31&lt;=F31)),1,0)+IF(AND(31&gt;=E32,OR(F32="",31&lt;=F32)),1,0)+IF(AND(31&gt;=E33,OR(F33="",31&lt;=F33)),1,0)+IF(AND(31&gt;=E34,OR(F34="",31&lt;=F34)),1,0)+IF(AND(31&gt;=E35,OR(F35="",31&lt;=F35)),1,0)+IF(AND(31&gt;=E36,OR(F36="",31&lt;=F36)),1,0)+IF(AND(31&gt;=E37,OR(F37="",31&lt;=F37)),1,0)+IF(AND(31&gt;=E38,OR(F38="",31&lt;=F38)),1,0)+IF(AND(31&gt;=E39,OR(F39="",31&lt;=F39)),1,0)+IF(AND(31&gt;=E40,OR(F40="",31&lt;=F40)),1,0)+IF(AND(31&gt;=E41,OR(F41="",31&lt;=F41)),1,0)+IF(AND(31&gt;=E42,OR(F42="",31&lt;=F42)),1,0)</f>
        <v>24</v>
      </c>
      <c r="AL45" s="52" t="n">
        <f aca="false">IF(AND(32&gt;=E4,OR(F4="",32&lt;=F4)),1,0)+IF(AND(32&gt;=E5,OR(F5="",32&lt;=F5)),1,0)+IF(AND(32&gt;=E6,OR(F6="",32&lt;=F6)),1,0)+IF(AND(32&gt;=E7,OR(F7="",32&lt;=F7)),1,0)+IF(AND(32&gt;=E8,OR(F8="",32&lt;=F8)),1,0)+IF(AND(32&gt;=E9,OR(F9="",32&lt;=F9)),1,0)+IF(AND(32&gt;=E10,OR(F10="",32&lt;=F10)),1,0)+IF(AND(32&gt;=E11,OR(F11="",32&lt;=F11)),1,0)+IF(AND(32&gt;=E12,OR(F12="",32&lt;=F12)),1,0)+IF(AND(32&gt;=E13,OR(F13="",32&lt;=F13)),1,0)+IF(AND(32&gt;=E14,OR(F14="",32&lt;=F14)),1,0)+IF(AND(32&gt;=E15,OR(F15="",32&lt;=F15)),1,0)+IF(AND(32&gt;=E16,OR(F16="",32&lt;=F16)),1,0)+IF(AND(32&gt;=E17,OR(F17="",32&lt;=F17)),1,0)+IF(AND(32&gt;=E18,OR(F18="",32&lt;=F18)),1,0)+IF(AND(32&gt;=E19,OR(F19="",32&lt;=F19)),1,0)+IF(AND(32&gt;=E20,OR(F20="",32&lt;=F20)),1,0)+IF(AND(32&gt;=E21,OR(F21="",32&lt;=F21)),1,0)+IF(AND(32&gt;=E22,OR(F22="",32&lt;=F22)),1,0)+IF(AND(32&gt;=E23,OR(F23="",32&lt;=F23)),1,0)+IF(AND(32&gt;=E24,OR(F24="",32&lt;=F24)),1,0)+IF(AND(32&gt;=E25,OR(F25="",32&lt;=F25)),1,0)+IF(AND(32&gt;=E26,OR(F26="",32&lt;=F26)),1,0)+IF(AND(32&gt;=E27,OR(F27="",32&lt;=F27)),1,0)+IF(AND(32&gt;=E28,OR(F28="",32&lt;=F28)),1,0)+IF(AND(32&gt;=E29,OR(F29="",32&lt;=F29)),1,0)+IF(AND(32&gt;=E30,OR(F30="",32&lt;=F30)),1,0)+IF(AND(32&gt;=E31,OR(F31="",32&lt;=F31)),1,0)+IF(AND(32&gt;=E32,OR(F32="",32&lt;=F32)),1,0)+IF(AND(32&gt;=E33,OR(F33="",32&lt;=F33)),1,0)+IF(AND(32&gt;=E34,OR(F34="",32&lt;=F34)),1,0)+IF(AND(32&gt;=E35,OR(F35="",32&lt;=F35)),1,0)+IF(AND(32&gt;=E36,OR(F36="",32&lt;=F36)),1,0)+IF(AND(32&gt;=E37,OR(F37="",32&lt;=F37)),1,0)+IF(AND(32&gt;=E38,OR(F38="",32&lt;=F38)),1,0)+IF(AND(32&gt;=E39,OR(F39="",32&lt;=F39)),1,0)+IF(AND(32&gt;=E40,OR(F40="",32&lt;=F40)),1,0)+IF(AND(32&gt;=E41,OR(F41="",32&lt;=F41)),1,0)+IF(AND(32&gt;=E42,OR(F42="",32&lt;=F42)),1,0)</f>
        <v>25</v>
      </c>
      <c r="AM45" s="52" t="n">
        <f aca="false">IF(AND(33&gt;=E4,OR(F4="",33&lt;=F4)),1,0)+IF(AND(33&gt;=E5,OR(F5="",33&lt;=F5)),1,0)+IF(AND(33&gt;=E6,OR(F6="",33&lt;=F6)),1,0)+IF(AND(33&gt;=E7,OR(F7="",33&lt;=F7)),1,0)+IF(AND(33&gt;=E8,OR(F8="",33&lt;=F8)),1,0)+IF(AND(33&gt;=E9,OR(F9="",33&lt;=F9)),1,0)+IF(AND(33&gt;=E10,OR(F10="",33&lt;=F10)),1,0)+IF(AND(33&gt;=E11,OR(F11="",33&lt;=F11)),1,0)+IF(AND(33&gt;=E12,OR(F12="",33&lt;=F12)),1,0)+IF(AND(33&gt;=E13,OR(F13="",33&lt;=F13)),1,0)+IF(AND(33&gt;=E14,OR(F14="",33&lt;=F14)),1,0)+IF(AND(33&gt;=E15,OR(F15="",33&lt;=F15)),1,0)+IF(AND(33&gt;=E16,OR(F16="",33&lt;=F16)),1,0)+IF(AND(33&gt;=E17,OR(F17="",33&lt;=F17)),1,0)+IF(AND(33&gt;=E18,OR(F18="",33&lt;=F18)),1,0)+IF(AND(33&gt;=E19,OR(F19="",33&lt;=F19)),1,0)+IF(AND(33&gt;=E20,OR(F20="",33&lt;=F20)),1,0)+IF(AND(33&gt;=E21,OR(F21="",33&lt;=F21)),1,0)+IF(AND(33&gt;=E22,OR(F22="",33&lt;=F22)),1,0)+IF(AND(33&gt;=E23,OR(F23="",33&lt;=F23)),1,0)+IF(AND(33&gt;=E24,OR(F24="",33&lt;=F24)),1,0)+IF(AND(33&gt;=E25,OR(F25="",33&lt;=F25)),1,0)+IF(AND(33&gt;=E26,OR(F26="",33&lt;=F26)),1,0)+IF(AND(33&gt;=E27,OR(F27="",33&lt;=F27)),1,0)+IF(AND(33&gt;=E28,OR(F28="",33&lt;=F28)),1,0)+IF(AND(33&gt;=E29,OR(F29="",33&lt;=F29)),1,0)+IF(AND(33&gt;=E30,OR(F30="",33&lt;=F30)),1,0)+IF(AND(33&gt;=E31,OR(F31="",33&lt;=F31)),1,0)+IF(AND(33&gt;=E32,OR(F32="",33&lt;=F32)),1,0)+IF(AND(33&gt;=E33,OR(F33="",33&lt;=F33)),1,0)+IF(AND(33&gt;=E34,OR(F34="",33&lt;=F34)),1,0)+IF(AND(33&gt;=E35,OR(F35="",33&lt;=F35)),1,0)+IF(AND(33&gt;=E36,OR(F36="",33&lt;=F36)),1,0)+IF(AND(33&gt;=E37,OR(F37="",33&lt;=F37)),1,0)+IF(AND(33&gt;=E38,OR(F38="",33&lt;=F38)),1,0)+IF(AND(33&gt;=E39,OR(F39="",33&lt;=F39)),1,0)+IF(AND(33&gt;=E40,OR(F40="",33&lt;=F40)),1,0)+IF(AND(33&gt;=E41,OR(F41="",33&lt;=F41)),1,0)+IF(AND(33&gt;=E42,OR(F42="",33&lt;=F42)),1,0)</f>
        <v>25</v>
      </c>
      <c r="AN45" s="52" t="n">
        <f aca="false">IF(AND(34&gt;=E4,OR(F4="",34&lt;=F4)),1,0)+IF(AND(34&gt;=E5,OR(F5="",34&lt;=F5)),1,0)+IF(AND(34&gt;=E6,OR(F6="",34&lt;=F6)),1,0)+IF(AND(34&gt;=E7,OR(F7="",34&lt;=F7)),1,0)+IF(AND(34&gt;=E8,OR(F8="",34&lt;=F8)),1,0)+IF(AND(34&gt;=E9,OR(F9="",34&lt;=F9)),1,0)+IF(AND(34&gt;=E10,OR(F10="",34&lt;=F10)),1,0)+IF(AND(34&gt;=E11,OR(F11="",34&lt;=F11)),1,0)+IF(AND(34&gt;=E12,OR(F12="",34&lt;=F12)),1,0)+IF(AND(34&gt;=E13,OR(F13="",34&lt;=F13)),1,0)+IF(AND(34&gt;=E14,OR(F14="",34&lt;=F14)),1,0)+IF(AND(34&gt;=E15,OR(F15="",34&lt;=F15)),1,0)+IF(AND(34&gt;=E16,OR(F16="",34&lt;=F16)),1,0)+IF(AND(34&gt;=E17,OR(F17="",34&lt;=F17)),1,0)+IF(AND(34&gt;=E18,OR(F18="",34&lt;=F18)),1,0)+IF(AND(34&gt;=E19,OR(F19="",34&lt;=F19)),1,0)+IF(AND(34&gt;=E20,OR(F20="",34&lt;=F20)),1,0)+IF(AND(34&gt;=E21,OR(F21="",34&lt;=F21)),1,0)+IF(AND(34&gt;=E22,OR(F22="",34&lt;=F22)),1,0)+IF(AND(34&gt;=E23,OR(F23="",34&lt;=F23)),1,0)+IF(AND(34&gt;=E24,OR(F24="",34&lt;=F24)),1,0)+IF(AND(34&gt;=E25,OR(F25="",34&lt;=F25)),1,0)+IF(AND(34&gt;=E26,OR(F26="",34&lt;=F26)),1,0)+IF(AND(34&gt;=E27,OR(F27="",34&lt;=F27)),1,0)+IF(AND(34&gt;=E28,OR(F28="",34&lt;=F28)),1,0)+IF(AND(34&gt;=E29,OR(F29="",34&lt;=F29)),1,0)+IF(AND(34&gt;=E30,OR(F30="",34&lt;=F30)),1,0)+IF(AND(34&gt;=E31,OR(F31="",34&lt;=F31)),1,0)+IF(AND(34&gt;=E32,OR(F32="",34&lt;=F32)),1,0)+IF(AND(34&gt;=E33,OR(F33="",34&lt;=F33)),1,0)+IF(AND(34&gt;=E34,OR(F34="",34&lt;=F34)),1,0)+IF(AND(34&gt;=E35,OR(F35="",34&lt;=F35)),1,0)+IF(AND(34&gt;=E36,OR(F36="",34&lt;=F36)),1,0)+IF(AND(34&gt;=E37,OR(F37="",34&lt;=F37)),1,0)+IF(AND(34&gt;=E38,OR(F38="",34&lt;=F38)),1,0)+IF(AND(34&gt;=E39,OR(F39="",34&lt;=F39)),1,0)+IF(AND(34&gt;=E40,OR(F40="",34&lt;=F40)),1,0)+IF(AND(34&gt;=E41,OR(F41="",34&lt;=F41)),1,0)+IF(AND(34&gt;=E42,OR(F42="",34&lt;=F42)),1,0)</f>
        <v>26</v>
      </c>
      <c r="AO45" s="52" t="n">
        <f aca="false">IF(AND(35&gt;=E4,OR(F4="",35&lt;=F4)),1,0)+IF(AND(35&gt;=E5,OR(F5="",35&lt;=F5)),1,0)+IF(AND(35&gt;=E6,OR(F6="",35&lt;=F6)),1,0)+IF(AND(35&gt;=E7,OR(F7="",35&lt;=F7)),1,0)+IF(AND(35&gt;=E8,OR(F8="",35&lt;=F8)),1,0)+IF(AND(35&gt;=E9,OR(F9="",35&lt;=F9)),1,0)+IF(AND(35&gt;=E10,OR(F10="",35&lt;=F10)),1,0)+IF(AND(35&gt;=E11,OR(F11="",35&lt;=F11)),1,0)+IF(AND(35&gt;=E12,OR(F12="",35&lt;=F12)),1,0)+IF(AND(35&gt;=E13,OR(F13="",35&lt;=F13)),1,0)+IF(AND(35&gt;=E14,OR(F14="",35&lt;=F14)),1,0)+IF(AND(35&gt;=E15,OR(F15="",35&lt;=F15)),1,0)+IF(AND(35&gt;=E16,OR(F16="",35&lt;=F16)),1,0)+IF(AND(35&gt;=E17,OR(F17="",35&lt;=F17)),1,0)+IF(AND(35&gt;=E18,OR(F18="",35&lt;=F18)),1,0)+IF(AND(35&gt;=E19,OR(F19="",35&lt;=F19)),1,0)+IF(AND(35&gt;=E20,OR(F20="",35&lt;=F20)),1,0)+IF(AND(35&gt;=E21,OR(F21="",35&lt;=F21)),1,0)+IF(AND(35&gt;=E22,OR(F22="",35&lt;=F22)),1,0)+IF(AND(35&gt;=E23,OR(F23="",35&lt;=F23)),1,0)+IF(AND(35&gt;=E24,OR(F24="",35&lt;=F24)),1,0)+IF(AND(35&gt;=E25,OR(F25="",35&lt;=F25)),1,0)+IF(AND(35&gt;=E26,OR(F26="",35&lt;=F26)),1,0)+IF(AND(35&gt;=E27,OR(F27="",35&lt;=F27)),1,0)+IF(AND(35&gt;=E28,OR(F28="",35&lt;=F28)),1,0)+IF(AND(35&gt;=E29,OR(F29="",35&lt;=F29)),1,0)+IF(AND(35&gt;=E30,OR(F30="",35&lt;=F30)),1,0)+IF(AND(35&gt;=E31,OR(F31="",35&lt;=F31)),1,0)+IF(AND(35&gt;=E32,OR(F32="",35&lt;=F32)),1,0)+IF(AND(35&gt;=E33,OR(F33="",35&lt;=F33)),1,0)+IF(AND(35&gt;=E34,OR(F34="",35&lt;=F34)),1,0)+IF(AND(35&gt;=E35,OR(F35="",35&lt;=F35)),1,0)+IF(AND(35&gt;=E36,OR(F36="",35&lt;=F36)),1,0)+IF(AND(35&gt;=E37,OR(F37="",35&lt;=F37)),1,0)+IF(AND(35&gt;=E38,OR(F38="",35&lt;=F38)),1,0)+IF(AND(35&gt;=E39,OR(F39="",35&lt;=F39)),1,0)+IF(AND(35&gt;=E40,OR(F40="",35&lt;=F40)),1,0)+IF(AND(35&gt;=E41,OR(F41="",35&lt;=F41)),1,0)+IF(AND(35&gt;=E42,OR(F42="",35&lt;=F42)),1,0)</f>
        <v>26</v>
      </c>
      <c r="AP45" s="52" t="n">
        <f aca="false">IF(AND(36&gt;=E4,OR(F4="",36&lt;=F4)),1,0)+IF(AND(36&gt;=E5,OR(F5="",36&lt;=F5)),1,0)+IF(AND(36&gt;=E6,OR(F6="",36&lt;=F6)),1,0)+IF(AND(36&gt;=E7,OR(F7="",36&lt;=F7)),1,0)+IF(AND(36&gt;=E8,OR(F8="",36&lt;=F8)),1,0)+IF(AND(36&gt;=E9,OR(F9="",36&lt;=F9)),1,0)+IF(AND(36&gt;=E10,OR(F10="",36&lt;=F10)),1,0)+IF(AND(36&gt;=E11,OR(F11="",36&lt;=F11)),1,0)+IF(AND(36&gt;=E12,OR(F12="",36&lt;=F12)),1,0)+IF(AND(36&gt;=E13,OR(F13="",36&lt;=F13)),1,0)+IF(AND(36&gt;=E14,OR(F14="",36&lt;=F14)),1,0)+IF(AND(36&gt;=E15,OR(F15="",36&lt;=F15)),1,0)+IF(AND(36&gt;=E16,OR(F16="",36&lt;=F16)),1,0)+IF(AND(36&gt;=E17,OR(F17="",36&lt;=F17)),1,0)+IF(AND(36&gt;=E18,OR(F18="",36&lt;=F18)),1,0)+IF(AND(36&gt;=E19,OR(F19="",36&lt;=F19)),1,0)+IF(AND(36&gt;=E20,OR(F20="",36&lt;=F20)),1,0)+IF(AND(36&gt;=E21,OR(F21="",36&lt;=F21)),1,0)+IF(AND(36&gt;=E22,OR(F22="",36&lt;=F22)),1,0)+IF(AND(36&gt;=E23,OR(F23="",36&lt;=F23)),1,0)+IF(AND(36&gt;=E24,OR(F24="",36&lt;=F24)),1,0)+IF(AND(36&gt;=E25,OR(F25="",36&lt;=F25)),1,0)+IF(AND(36&gt;=E26,OR(F26="",36&lt;=F26)),1,0)+IF(AND(36&gt;=E27,OR(F27="",36&lt;=F27)),1,0)+IF(AND(36&gt;=E28,OR(F28="",36&lt;=F28)),1,0)+IF(AND(36&gt;=E29,OR(F29="",36&lt;=F29)),1,0)+IF(AND(36&gt;=E30,OR(F30="",36&lt;=F30)),1,0)+IF(AND(36&gt;=E31,OR(F31="",36&lt;=F31)),1,0)+IF(AND(36&gt;=E32,OR(F32="",36&lt;=F32)),1,0)+IF(AND(36&gt;=E33,OR(F33="",36&lt;=F33)),1,0)+IF(AND(36&gt;=E34,OR(F34="",36&lt;=F34)),1,0)+IF(AND(36&gt;=E35,OR(F35="",36&lt;=F35)),1,0)+IF(AND(36&gt;=E36,OR(F36="",36&lt;=F36)),1,0)+IF(AND(36&gt;=E37,OR(F37="",36&lt;=F37)),1,0)+IF(AND(36&gt;=E38,OR(F38="",36&lt;=F38)),1,0)+IF(AND(36&gt;=E39,OR(F39="",36&lt;=F39)),1,0)+IF(AND(36&gt;=E40,OR(F40="",36&lt;=F40)),1,0)+IF(AND(36&gt;=E41,OR(F41="",36&lt;=F41)),1,0)+IF(AND(36&gt;=E42,OR(F42="",36&lt;=F42)),1,0)</f>
        <v>27</v>
      </c>
      <c r="AQ45" s="52" t="n">
        <f aca="false">IF(AND(37&gt;=E4,OR(F4="",37&lt;=F4)),1,0)+IF(AND(37&gt;=E5,OR(F5="",37&lt;=F5)),1,0)+IF(AND(37&gt;=E6,OR(F6="",37&lt;=F6)),1,0)+IF(AND(37&gt;=E7,OR(F7="",37&lt;=F7)),1,0)+IF(AND(37&gt;=E8,OR(F8="",37&lt;=F8)),1,0)+IF(AND(37&gt;=E9,OR(F9="",37&lt;=F9)),1,0)+IF(AND(37&gt;=E10,OR(F10="",37&lt;=F10)),1,0)+IF(AND(37&gt;=E11,OR(F11="",37&lt;=F11)),1,0)+IF(AND(37&gt;=E12,OR(F12="",37&lt;=F12)),1,0)+IF(AND(37&gt;=E13,OR(F13="",37&lt;=F13)),1,0)+IF(AND(37&gt;=E14,OR(F14="",37&lt;=F14)),1,0)+IF(AND(37&gt;=E15,OR(F15="",37&lt;=F15)),1,0)+IF(AND(37&gt;=E16,OR(F16="",37&lt;=F16)),1,0)+IF(AND(37&gt;=E17,OR(F17="",37&lt;=F17)),1,0)+IF(AND(37&gt;=E18,OR(F18="",37&lt;=F18)),1,0)+IF(AND(37&gt;=E19,OR(F19="",37&lt;=F19)),1,0)+IF(AND(37&gt;=E20,OR(F20="",37&lt;=F20)),1,0)+IF(AND(37&gt;=E21,OR(F21="",37&lt;=F21)),1,0)+IF(AND(37&gt;=E22,OR(F22="",37&lt;=F22)),1,0)+IF(AND(37&gt;=E23,OR(F23="",37&lt;=F23)),1,0)+IF(AND(37&gt;=E24,OR(F24="",37&lt;=F24)),1,0)+IF(AND(37&gt;=E25,OR(F25="",37&lt;=F25)),1,0)+IF(AND(37&gt;=E26,OR(F26="",37&lt;=F26)),1,0)+IF(AND(37&gt;=E27,OR(F27="",37&lt;=F27)),1,0)+IF(AND(37&gt;=E28,OR(F28="",37&lt;=F28)),1,0)+IF(AND(37&gt;=E29,OR(F29="",37&lt;=F29)),1,0)+IF(AND(37&gt;=E30,OR(F30="",37&lt;=F30)),1,0)+IF(AND(37&gt;=E31,OR(F31="",37&lt;=F31)),1,0)+IF(AND(37&gt;=E32,OR(F32="",37&lt;=F32)),1,0)+IF(AND(37&gt;=E33,OR(F33="",37&lt;=F33)),1,0)+IF(AND(37&gt;=E34,OR(F34="",37&lt;=F34)),1,0)+IF(AND(37&gt;=E35,OR(F35="",37&lt;=F35)),1,0)+IF(AND(37&gt;=E36,OR(F36="",37&lt;=F36)),1,0)+IF(AND(37&gt;=E37,OR(F37="",37&lt;=F37)),1,0)+IF(AND(37&gt;=E38,OR(F38="",37&lt;=F38)),1,0)+IF(AND(37&gt;=E39,OR(F39="",37&lt;=F39)),1,0)+IF(AND(37&gt;=E40,OR(F40="",37&lt;=F40)),1,0)+IF(AND(37&gt;=E41,OR(F41="",37&lt;=F41)),1,0)+IF(AND(37&gt;=E42,OR(F42="",37&lt;=F42)),1,0)</f>
        <v>27</v>
      </c>
      <c r="AR45" s="52" t="n">
        <f aca="false">IF(AND(38&gt;=E4,OR(F4="",38&lt;=F4)),1,0)+IF(AND(38&gt;=E5,OR(F5="",38&lt;=F5)),1,0)+IF(AND(38&gt;=E6,OR(F6="",38&lt;=F6)),1,0)+IF(AND(38&gt;=E7,OR(F7="",38&lt;=F7)),1,0)+IF(AND(38&gt;=E8,OR(F8="",38&lt;=F8)),1,0)+IF(AND(38&gt;=E9,OR(F9="",38&lt;=F9)),1,0)+IF(AND(38&gt;=E10,OR(F10="",38&lt;=F10)),1,0)+IF(AND(38&gt;=E11,OR(F11="",38&lt;=F11)),1,0)+IF(AND(38&gt;=E12,OR(F12="",38&lt;=F12)),1,0)+IF(AND(38&gt;=E13,OR(F13="",38&lt;=F13)),1,0)+IF(AND(38&gt;=E14,OR(F14="",38&lt;=F14)),1,0)+IF(AND(38&gt;=E15,OR(F15="",38&lt;=F15)),1,0)+IF(AND(38&gt;=E16,OR(F16="",38&lt;=F16)),1,0)+IF(AND(38&gt;=E17,OR(F17="",38&lt;=F17)),1,0)+IF(AND(38&gt;=E18,OR(F18="",38&lt;=F18)),1,0)+IF(AND(38&gt;=E19,OR(F19="",38&lt;=F19)),1,0)+IF(AND(38&gt;=E20,OR(F20="",38&lt;=F20)),1,0)+IF(AND(38&gt;=E21,OR(F21="",38&lt;=F21)),1,0)+IF(AND(38&gt;=E22,OR(F22="",38&lt;=F22)),1,0)+IF(AND(38&gt;=E23,OR(F23="",38&lt;=F23)),1,0)+IF(AND(38&gt;=E24,OR(F24="",38&lt;=F24)),1,0)+IF(AND(38&gt;=E25,OR(F25="",38&lt;=F25)),1,0)+IF(AND(38&gt;=E26,OR(F26="",38&lt;=F26)),1,0)+IF(AND(38&gt;=E27,OR(F27="",38&lt;=F27)),1,0)+IF(AND(38&gt;=E28,OR(F28="",38&lt;=F28)),1,0)+IF(AND(38&gt;=E29,OR(F29="",38&lt;=F29)),1,0)+IF(AND(38&gt;=E30,OR(F30="",38&lt;=F30)),1,0)+IF(AND(38&gt;=E31,OR(F31="",38&lt;=F31)),1,0)+IF(AND(38&gt;=E32,OR(F32="",38&lt;=F32)),1,0)+IF(AND(38&gt;=E33,OR(F33="",38&lt;=F33)),1,0)+IF(AND(38&gt;=E34,OR(F34="",38&lt;=F34)),1,0)+IF(AND(38&gt;=E35,OR(F35="",38&lt;=F35)),1,0)+IF(AND(38&gt;=E36,OR(F36="",38&lt;=F36)),1,0)+IF(AND(38&gt;=E37,OR(F37="",38&lt;=F37)),1,0)+IF(AND(38&gt;=E38,OR(F38="",38&lt;=F38)),1,0)+IF(AND(38&gt;=E39,OR(F39="",38&lt;=F39)),1,0)+IF(AND(38&gt;=E40,OR(F40="",38&lt;=F40)),1,0)+IF(AND(38&gt;=E41,OR(F41="",38&lt;=F41)),1,0)+IF(AND(38&gt;=E42,OR(F42="",38&lt;=F42)),1,0)</f>
        <v>28</v>
      </c>
      <c r="AS45" s="52" t="n">
        <f aca="false">IF(AND(39&gt;=E4,OR(F4="",39&lt;=F4)),1,0)+IF(AND(39&gt;=E5,OR(F5="",39&lt;=F5)),1,0)+IF(AND(39&gt;=E6,OR(F6="",39&lt;=F6)),1,0)+IF(AND(39&gt;=E7,OR(F7="",39&lt;=F7)),1,0)+IF(AND(39&gt;=E8,OR(F8="",39&lt;=F8)),1,0)+IF(AND(39&gt;=E9,OR(F9="",39&lt;=F9)),1,0)+IF(AND(39&gt;=E10,OR(F10="",39&lt;=F10)),1,0)+IF(AND(39&gt;=E11,OR(F11="",39&lt;=F11)),1,0)+IF(AND(39&gt;=E12,OR(F12="",39&lt;=F12)),1,0)+IF(AND(39&gt;=E13,OR(F13="",39&lt;=F13)),1,0)+IF(AND(39&gt;=E14,OR(F14="",39&lt;=F14)),1,0)+IF(AND(39&gt;=E15,OR(F15="",39&lt;=F15)),1,0)+IF(AND(39&gt;=E16,OR(F16="",39&lt;=F16)),1,0)+IF(AND(39&gt;=E17,OR(F17="",39&lt;=F17)),1,0)+IF(AND(39&gt;=E18,OR(F18="",39&lt;=F18)),1,0)+IF(AND(39&gt;=E19,OR(F19="",39&lt;=F19)),1,0)+IF(AND(39&gt;=E20,OR(F20="",39&lt;=F20)),1,0)+IF(AND(39&gt;=E21,OR(F21="",39&lt;=F21)),1,0)+IF(AND(39&gt;=E22,OR(F22="",39&lt;=F22)),1,0)+IF(AND(39&gt;=E23,OR(F23="",39&lt;=F23)),1,0)+IF(AND(39&gt;=E24,OR(F24="",39&lt;=F24)),1,0)+IF(AND(39&gt;=E25,OR(F25="",39&lt;=F25)),1,0)+IF(AND(39&gt;=E26,OR(F26="",39&lt;=F26)),1,0)+IF(AND(39&gt;=E27,OR(F27="",39&lt;=F27)),1,0)+IF(AND(39&gt;=E28,OR(F28="",39&lt;=F28)),1,0)+IF(AND(39&gt;=E29,OR(F29="",39&lt;=F29)),1,0)+IF(AND(39&gt;=E30,OR(F30="",39&lt;=F30)),1,0)+IF(AND(39&gt;=E31,OR(F31="",39&lt;=F31)),1,0)+IF(AND(39&gt;=E32,OR(F32="",39&lt;=F32)),1,0)+IF(AND(39&gt;=E33,OR(F33="",39&lt;=F33)),1,0)+IF(AND(39&gt;=E34,OR(F34="",39&lt;=F34)),1,0)+IF(AND(39&gt;=E35,OR(F35="",39&lt;=F35)),1,0)+IF(AND(39&gt;=E36,OR(F36="",39&lt;=F36)),1,0)+IF(AND(39&gt;=E37,OR(F37="",39&lt;=F37)),1,0)+IF(AND(39&gt;=E38,OR(F38="",39&lt;=F38)),1,0)+IF(AND(39&gt;=E39,OR(F39="",39&lt;=F39)),1,0)+IF(AND(39&gt;=E40,OR(F40="",39&lt;=F40)),1,0)+IF(AND(39&gt;=E41,OR(F41="",39&lt;=F41)),1,0)+IF(AND(39&gt;=E42,OR(F42="",39&lt;=F42)),1,0)</f>
        <v>28</v>
      </c>
      <c r="AT45" s="52" t="n">
        <f aca="false">IF(AND(40&gt;=E4,OR(F4="",40&lt;=F4)),1,0)+IF(AND(40&gt;=E5,OR(F5="",40&lt;=F5)),1,0)+IF(AND(40&gt;=E6,OR(F6="",40&lt;=F6)),1,0)+IF(AND(40&gt;=E7,OR(F7="",40&lt;=F7)),1,0)+IF(AND(40&gt;=E8,OR(F8="",40&lt;=F8)),1,0)+IF(AND(40&gt;=E9,OR(F9="",40&lt;=F9)),1,0)+IF(AND(40&gt;=E10,OR(F10="",40&lt;=F10)),1,0)+IF(AND(40&gt;=E11,OR(F11="",40&lt;=F11)),1,0)+IF(AND(40&gt;=E12,OR(F12="",40&lt;=F12)),1,0)+IF(AND(40&gt;=E13,OR(F13="",40&lt;=F13)),1,0)+IF(AND(40&gt;=E14,OR(F14="",40&lt;=F14)),1,0)+IF(AND(40&gt;=E15,OR(F15="",40&lt;=F15)),1,0)+IF(AND(40&gt;=E16,OR(F16="",40&lt;=F16)),1,0)+IF(AND(40&gt;=E17,OR(F17="",40&lt;=F17)),1,0)+IF(AND(40&gt;=E18,OR(F18="",40&lt;=F18)),1,0)+IF(AND(40&gt;=E19,OR(F19="",40&lt;=F19)),1,0)+IF(AND(40&gt;=E20,OR(F20="",40&lt;=F20)),1,0)+IF(AND(40&gt;=E21,OR(F21="",40&lt;=F21)),1,0)+IF(AND(40&gt;=E22,OR(F22="",40&lt;=F22)),1,0)+IF(AND(40&gt;=E23,OR(F23="",40&lt;=F23)),1,0)+IF(AND(40&gt;=E24,OR(F24="",40&lt;=F24)),1,0)+IF(AND(40&gt;=E25,OR(F25="",40&lt;=F25)),1,0)+IF(AND(40&gt;=E26,OR(F26="",40&lt;=F26)),1,0)+IF(AND(40&gt;=E27,OR(F27="",40&lt;=F27)),1,0)+IF(AND(40&gt;=E28,OR(F28="",40&lt;=F28)),1,0)+IF(AND(40&gt;=E29,OR(F29="",40&lt;=F29)),1,0)+IF(AND(40&gt;=E30,OR(F30="",40&lt;=F30)),1,0)+IF(AND(40&gt;=E31,OR(F31="",40&lt;=F31)),1,0)+IF(AND(40&gt;=E32,OR(F32="",40&lt;=F32)),1,0)+IF(AND(40&gt;=E33,OR(F33="",40&lt;=F33)),1,0)+IF(AND(40&gt;=E34,OR(F34="",40&lt;=F34)),1,0)+IF(AND(40&gt;=E35,OR(F35="",40&lt;=F35)),1,0)+IF(AND(40&gt;=E36,OR(F36="",40&lt;=F36)),1,0)+IF(AND(40&gt;=E37,OR(F37="",40&lt;=F37)),1,0)+IF(AND(40&gt;=E38,OR(F38="",40&lt;=F38)),1,0)+IF(AND(40&gt;=E39,OR(F39="",40&lt;=F39)),1,0)+IF(AND(40&gt;=E40,OR(F40="",40&lt;=F40)),1,0)+IF(AND(40&gt;=E41,OR(F41="",40&lt;=F41)),1,0)+IF(AND(40&gt;=E42,OR(F42="",40&lt;=F42)),1,0)</f>
        <v>29</v>
      </c>
      <c r="AU45" s="52" t="n">
        <f aca="false">IF(AND(41&gt;=E4,OR(F4="",41&lt;=F4)),1,0)+IF(AND(41&gt;=E5,OR(F5="",41&lt;=F5)),1,0)+IF(AND(41&gt;=E6,OR(F6="",41&lt;=F6)),1,0)+IF(AND(41&gt;=E7,OR(F7="",41&lt;=F7)),1,0)+IF(AND(41&gt;=E8,OR(F8="",41&lt;=F8)),1,0)+IF(AND(41&gt;=E9,OR(F9="",41&lt;=F9)),1,0)+IF(AND(41&gt;=E10,OR(F10="",41&lt;=F10)),1,0)+IF(AND(41&gt;=E11,OR(F11="",41&lt;=F11)),1,0)+IF(AND(41&gt;=E12,OR(F12="",41&lt;=F12)),1,0)+IF(AND(41&gt;=E13,OR(F13="",41&lt;=F13)),1,0)+IF(AND(41&gt;=E14,OR(F14="",41&lt;=F14)),1,0)+IF(AND(41&gt;=E15,OR(F15="",41&lt;=F15)),1,0)+IF(AND(41&gt;=E16,OR(F16="",41&lt;=F16)),1,0)+IF(AND(41&gt;=E17,OR(F17="",41&lt;=F17)),1,0)+IF(AND(41&gt;=E18,OR(F18="",41&lt;=F18)),1,0)+IF(AND(41&gt;=E19,OR(F19="",41&lt;=F19)),1,0)+IF(AND(41&gt;=E20,OR(F20="",41&lt;=F20)),1,0)+IF(AND(41&gt;=E21,OR(F21="",41&lt;=F21)),1,0)+IF(AND(41&gt;=E22,OR(F22="",41&lt;=F22)),1,0)+IF(AND(41&gt;=E23,OR(F23="",41&lt;=F23)),1,0)+IF(AND(41&gt;=E24,OR(F24="",41&lt;=F24)),1,0)+IF(AND(41&gt;=E25,OR(F25="",41&lt;=F25)),1,0)+IF(AND(41&gt;=E26,OR(F26="",41&lt;=F26)),1,0)+IF(AND(41&gt;=E27,OR(F27="",41&lt;=F27)),1,0)+IF(AND(41&gt;=E28,OR(F28="",41&lt;=F28)),1,0)+IF(AND(41&gt;=E29,OR(F29="",41&lt;=F29)),1,0)+IF(AND(41&gt;=E30,OR(F30="",41&lt;=F30)),1,0)+IF(AND(41&gt;=E31,OR(F31="",41&lt;=F31)),1,0)+IF(AND(41&gt;=E32,OR(F32="",41&lt;=F32)),1,0)+IF(AND(41&gt;=E33,OR(F33="",41&lt;=F33)),1,0)+IF(AND(41&gt;=E34,OR(F34="",41&lt;=F34)),1,0)+IF(AND(41&gt;=E35,OR(F35="",41&lt;=F35)),1,0)+IF(AND(41&gt;=E36,OR(F36="",41&lt;=F36)),1,0)+IF(AND(41&gt;=E37,OR(F37="",41&lt;=F37)),1,0)+IF(AND(41&gt;=E38,OR(F38="",41&lt;=F38)),1,0)+IF(AND(41&gt;=E39,OR(F39="",41&lt;=F39)),1,0)+IF(AND(41&gt;=E40,OR(F40="",41&lt;=F40)),1,0)+IF(AND(41&gt;=E41,OR(F41="",41&lt;=F41)),1,0)+IF(AND(41&gt;=E42,OR(F42="",41&lt;=F42)),1,0)</f>
        <v>29</v>
      </c>
      <c r="AV45" s="52" t="n">
        <f aca="false">IF(AND(42&gt;=E4,OR(F4="",42&lt;=F4)),1,0)+IF(AND(42&gt;=E5,OR(F5="",42&lt;=F5)),1,0)+IF(AND(42&gt;=E6,OR(F6="",42&lt;=F6)),1,0)+IF(AND(42&gt;=E7,OR(F7="",42&lt;=F7)),1,0)+IF(AND(42&gt;=E8,OR(F8="",42&lt;=F8)),1,0)+IF(AND(42&gt;=E9,OR(F9="",42&lt;=F9)),1,0)+IF(AND(42&gt;=E10,OR(F10="",42&lt;=F10)),1,0)+IF(AND(42&gt;=E11,OR(F11="",42&lt;=F11)),1,0)+IF(AND(42&gt;=E12,OR(F12="",42&lt;=F12)),1,0)+IF(AND(42&gt;=E13,OR(F13="",42&lt;=F13)),1,0)+IF(AND(42&gt;=E14,OR(F14="",42&lt;=F14)),1,0)+IF(AND(42&gt;=E15,OR(F15="",42&lt;=F15)),1,0)+IF(AND(42&gt;=E16,OR(F16="",42&lt;=F16)),1,0)+IF(AND(42&gt;=E17,OR(F17="",42&lt;=F17)),1,0)+IF(AND(42&gt;=E18,OR(F18="",42&lt;=F18)),1,0)+IF(AND(42&gt;=E19,OR(F19="",42&lt;=F19)),1,0)+IF(AND(42&gt;=E20,OR(F20="",42&lt;=F20)),1,0)+IF(AND(42&gt;=E21,OR(F21="",42&lt;=F21)),1,0)+IF(AND(42&gt;=E22,OR(F22="",42&lt;=F22)),1,0)+IF(AND(42&gt;=E23,OR(F23="",42&lt;=F23)),1,0)+IF(AND(42&gt;=E24,OR(F24="",42&lt;=F24)),1,0)+IF(AND(42&gt;=E25,OR(F25="",42&lt;=F25)),1,0)+IF(AND(42&gt;=E26,OR(F26="",42&lt;=F26)),1,0)+IF(AND(42&gt;=E27,OR(F27="",42&lt;=F27)),1,0)+IF(AND(42&gt;=E28,OR(F28="",42&lt;=F28)),1,0)+IF(AND(42&gt;=E29,OR(F29="",42&lt;=F29)),1,0)+IF(AND(42&gt;=E30,OR(F30="",42&lt;=F30)),1,0)+IF(AND(42&gt;=E31,OR(F31="",42&lt;=F31)),1,0)+IF(AND(42&gt;=E32,OR(F32="",42&lt;=F32)),1,0)+IF(AND(42&gt;=E33,OR(F33="",42&lt;=F33)),1,0)+IF(AND(42&gt;=E34,OR(F34="",42&lt;=F34)),1,0)+IF(AND(42&gt;=E35,OR(F35="",42&lt;=F35)),1,0)+IF(AND(42&gt;=E36,OR(F36="",42&lt;=F36)),1,0)+IF(AND(42&gt;=E37,OR(F37="",42&lt;=F37)),1,0)+IF(AND(42&gt;=E38,OR(F38="",42&lt;=F38)),1,0)+IF(AND(42&gt;=E39,OR(F39="",42&lt;=F39)),1,0)+IF(AND(42&gt;=E40,OR(F40="",42&lt;=F40)),1,0)+IF(AND(42&gt;=E41,OR(F41="",42&lt;=F41)),1,0)+IF(AND(42&gt;=E42,OR(F42="",42&lt;=F42)),1,0)</f>
        <v>30</v>
      </c>
      <c r="AW45" s="52" t="n">
        <f aca="false">IF(AND(43&gt;=E4,OR(F4="",43&lt;=F4)),1,0)+IF(AND(43&gt;=E5,OR(F5="",43&lt;=F5)),1,0)+IF(AND(43&gt;=E6,OR(F6="",43&lt;=F6)),1,0)+IF(AND(43&gt;=E7,OR(F7="",43&lt;=F7)),1,0)+IF(AND(43&gt;=E8,OR(F8="",43&lt;=F8)),1,0)+IF(AND(43&gt;=E9,OR(F9="",43&lt;=F9)),1,0)+IF(AND(43&gt;=E10,OR(F10="",43&lt;=F10)),1,0)+IF(AND(43&gt;=E11,OR(F11="",43&lt;=F11)),1,0)+IF(AND(43&gt;=E12,OR(F12="",43&lt;=F12)),1,0)+IF(AND(43&gt;=E13,OR(F13="",43&lt;=F13)),1,0)+IF(AND(43&gt;=E14,OR(F14="",43&lt;=F14)),1,0)+IF(AND(43&gt;=E15,OR(F15="",43&lt;=F15)),1,0)+IF(AND(43&gt;=E16,OR(F16="",43&lt;=F16)),1,0)+IF(AND(43&gt;=E17,OR(F17="",43&lt;=F17)),1,0)+IF(AND(43&gt;=E18,OR(F18="",43&lt;=F18)),1,0)+IF(AND(43&gt;=E19,OR(F19="",43&lt;=F19)),1,0)+IF(AND(43&gt;=E20,OR(F20="",43&lt;=F20)),1,0)+IF(AND(43&gt;=E21,OR(F21="",43&lt;=F21)),1,0)+IF(AND(43&gt;=E22,OR(F22="",43&lt;=F22)),1,0)+IF(AND(43&gt;=E23,OR(F23="",43&lt;=F23)),1,0)+IF(AND(43&gt;=E24,OR(F24="",43&lt;=F24)),1,0)+IF(AND(43&gt;=E25,OR(F25="",43&lt;=F25)),1,0)+IF(AND(43&gt;=E26,OR(F26="",43&lt;=F26)),1,0)+IF(AND(43&gt;=E27,OR(F27="",43&lt;=F27)),1,0)+IF(AND(43&gt;=E28,OR(F28="",43&lt;=F28)),1,0)+IF(AND(43&gt;=E29,OR(F29="",43&lt;=F29)),1,0)+IF(AND(43&gt;=E30,OR(F30="",43&lt;=F30)),1,0)+IF(AND(43&gt;=E31,OR(F31="",43&lt;=F31)),1,0)+IF(AND(43&gt;=E32,OR(F32="",43&lt;=F32)),1,0)+IF(AND(43&gt;=E33,OR(F33="",43&lt;=F33)),1,0)+IF(AND(43&gt;=E34,OR(F34="",43&lt;=F34)),1,0)+IF(AND(43&gt;=E35,OR(F35="",43&lt;=F35)),1,0)+IF(AND(43&gt;=E36,OR(F36="",43&lt;=F36)),1,0)+IF(AND(43&gt;=E37,OR(F37="",43&lt;=F37)),1,0)+IF(AND(43&gt;=E38,OR(F38="",43&lt;=F38)),1,0)+IF(AND(43&gt;=E39,OR(F39="",43&lt;=F39)),1,0)+IF(AND(43&gt;=E40,OR(F40="",43&lt;=F40)),1,0)+IF(AND(43&gt;=E41,OR(F41="",43&lt;=F41)),1,0)+IF(AND(43&gt;=E42,OR(F42="",43&lt;=F42)),1,0)</f>
        <v>30</v>
      </c>
      <c r="AX45" s="52" t="n">
        <f aca="false">IF(AND(44&gt;=E4,OR(F4="",44&lt;=F4)),1,0)+IF(AND(44&gt;=E5,OR(F5="",44&lt;=F5)),1,0)+IF(AND(44&gt;=E6,OR(F6="",44&lt;=F6)),1,0)+IF(AND(44&gt;=E7,OR(F7="",44&lt;=F7)),1,0)+IF(AND(44&gt;=E8,OR(F8="",44&lt;=F8)),1,0)+IF(AND(44&gt;=E9,OR(F9="",44&lt;=F9)),1,0)+IF(AND(44&gt;=E10,OR(F10="",44&lt;=F10)),1,0)+IF(AND(44&gt;=E11,OR(F11="",44&lt;=F11)),1,0)+IF(AND(44&gt;=E12,OR(F12="",44&lt;=F12)),1,0)+IF(AND(44&gt;=E13,OR(F13="",44&lt;=F13)),1,0)+IF(AND(44&gt;=E14,OR(F14="",44&lt;=F14)),1,0)+IF(AND(44&gt;=E15,OR(F15="",44&lt;=F15)),1,0)+IF(AND(44&gt;=E16,OR(F16="",44&lt;=F16)),1,0)+IF(AND(44&gt;=E17,OR(F17="",44&lt;=F17)),1,0)+IF(AND(44&gt;=E18,OR(F18="",44&lt;=F18)),1,0)+IF(AND(44&gt;=E19,OR(F19="",44&lt;=F19)),1,0)+IF(AND(44&gt;=E20,OR(F20="",44&lt;=F20)),1,0)+IF(AND(44&gt;=E21,OR(F21="",44&lt;=F21)),1,0)+IF(AND(44&gt;=E22,OR(F22="",44&lt;=F22)),1,0)+IF(AND(44&gt;=E23,OR(F23="",44&lt;=F23)),1,0)+IF(AND(44&gt;=E24,OR(F24="",44&lt;=F24)),1,0)+IF(AND(44&gt;=E25,OR(F25="",44&lt;=F25)),1,0)+IF(AND(44&gt;=E26,OR(F26="",44&lt;=F26)),1,0)+IF(AND(44&gt;=E27,OR(F27="",44&lt;=F27)),1,0)+IF(AND(44&gt;=E28,OR(F28="",44&lt;=F28)),1,0)+IF(AND(44&gt;=E29,OR(F29="",44&lt;=F29)),1,0)+IF(AND(44&gt;=E30,OR(F30="",44&lt;=F30)),1,0)+IF(AND(44&gt;=E31,OR(F31="",44&lt;=F31)),1,0)+IF(AND(44&gt;=E32,OR(F32="",44&lt;=F32)),1,0)+IF(AND(44&gt;=E33,OR(F33="",44&lt;=F33)),1,0)+IF(AND(44&gt;=E34,OR(F34="",44&lt;=F34)),1,0)+IF(AND(44&gt;=E35,OR(F35="",44&lt;=F35)),1,0)+IF(AND(44&gt;=E36,OR(F36="",44&lt;=F36)),1,0)+IF(AND(44&gt;=E37,OR(F37="",44&lt;=F37)),1,0)+IF(AND(44&gt;=E38,OR(F38="",44&lt;=F38)),1,0)+IF(AND(44&gt;=E39,OR(F39="",44&lt;=F39)),1,0)+IF(AND(44&gt;=E40,OR(F40="",44&lt;=F40)),1,0)+IF(AND(44&gt;=E41,OR(F41="",44&lt;=F41)),1,0)+IF(AND(44&gt;=E42,OR(F42="",44&lt;=F42)),1,0)</f>
        <v>31</v>
      </c>
      <c r="AY45" s="52" t="n">
        <f aca="false">IF(AND(45&gt;=E4,OR(F4="",45&lt;=F4)),1,0)+IF(AND(45&gt;=E5,OR(F5="",45&lt;=F5)),1,0)+IF(AND(45&gt;=E6,OR(F6="",45&lt;=F6)),1,0)+IF(AND(45&gt;=E7,OR(F7="",45&lt;=F7)),1,0)+IF(AND(45&gt;=E8,OR(F8="",45&lt;=F8)),1,0)+IF(AND(45&gt;=E9,OR(F9="",45&lt;=F9)),1,0)+IF(AND(45&gt;=E10,OR(F10="",45&lt;=F10)),1,0)+IF(AND(45&gt;=E11,OR(F11="",45&lt;=F11)),1,0)+IF(AND(45&gt;=E12,OR(F12="",45&lt;=F12)),1,0)+IF(AND(45&gt;=E13,OR(F13="",45&lt;=F13)),1,0)+IF(AND(45&gt;=E14,OR(F14="",45&lt;=F14)),1,0)+IF(AND(45&gt;=E15,OR(F15="",45&lt;=F15)),1,0)+IF(AND(45&gt;=E16,OR(F16="",45&lt;=F16)),1,0)+IF(AND(45&gt;=E17,OR(F17="",45&lt;=F17)),1,0)+IF(AND(45&gt;=E18,OR(F18="",45&lt;=F18)),1,0)+IF(AND(45&gt;=E19,OR(F19="",45&lt;=F19)),1,0)+IF(AND(45&gt;=E20,OR(F20="",45&lt;=F20)),1,0)+IF(AND(45&gt;=E21,OR(F21="",45&lt;=F21)),1,0)+IF(AND(45&gt;=E22,OR(F22="",45&lt;=F22)),1,0)+IF(AND(45&gt;=E23,OR(F23="",45&lt;=F23)),1,0)+IF(AND(45&gt;=E24,OR(F24="",45&lt;=F24)),1,0)+IF(AND(45&gt;=E25,OR(F25="",45&lt;=F25)),1,0)+IF(AND(45&gt;=E26,OR(F26="",45&lt;=F26)),1,0)+IF(AND(45&gt;=E27,OR(F27="",45&lt;=F27)),1,0)+IF(AND(45&gt;=E28,OR(F28="",45&lt;=F28)),1,0)+IF(AND(45&gt;=E29,OR(F29="",45&lt;=F29)),1,0)+IF(AND(45&gt;=E30,OR(F30="",45&lt;=F30)),1,0)+IF(AND(45&gt;=E31,OR(F31="",45&lt;=F31)),1,0)+IF(AND(45&gt;=E32,OR(F32="",45&lt;=F32)),1,0)+IF(AND(45&gt;=E33,OR(F33="",45&lt;=F33)),1,0)+IF(AND(45&gt;=E34,OR(F34="",45&lt;=F34)),1,0)+IF(AND(45&gt;=E35,OR(F35="",45&lt;=F35)),1,0)+IF(AND(45&gt;=E36,OR(F36="",45&lt;=F36)),1,0)+IF(AND(45&gt;=E37,OR(F37="",45&lt;=F37)),1,0)+IF(AND(45&gt;=E38,OR(F38="",45&lt;=F38)),1,0)+IF(AND(45&gt;=E39,OR(F39="",45&lt;=F39)),1,0)+IF(AND(45&gt;=E40,OR(F40="",45&lt;=F40)),1,0)+IF(AND(45&gt;=E41,OR(F41="",45&lt;=F41)),1,0)+IF(AND(45&gt;=E42,OR(F42="",45&lt;=F42)),1,0)</f>
        <v>31</v>
      </c>
      <c r="AZ45" s="52" t="n">
        <f aca="false">IF(AND(46&gt;=E4,OR(F4="",46&lt;=F4)),1,0)+IF(AND(46&gt;=E5,OR(F5="",46&lt;=F5)),1,0)+IF(AND(46&gt;=E6,OR(F6="",46&lt;=F6)),1,0)+IF(AND(46&gt;=E7,OR(F7="",46&lt;=F7)),1,0)+IF(AND(46&gt;=E8,OR(F8="",46&lt;=F8)),1,0)+IF(AND(46&gt;=E9,OR(F9="",46&lt;=F9)),1,0)+IF(AND(46&gt;=E10,OR(F10="",46&lt;=F10)),1,0)+IF(AND(46&gt;=E11,OR(F11="",46&lt;=F11)),1,0)+IF(AND(46&gt;=E12,OR(F12="",46&lt;=F12)),1,0)+IF(AND(46&gt;=E13,OR(F13="",46&lt;=F13)),1,0)+IF(AND(46&gt;=E14,OR(F14="",46&lt;=F14)),1,0)+IF(AND(46&gt;=E15,OR(F15="",46&lt;=F15)),1,0)+IF(AND(46&gt;=E16,OR(F16="",46&lt;=F16)),1,0)+IF(AND(46&gt;=E17,OR(F17="",46&lt;=F17)),1,0)+IF(AND(46&gt;=E18,OR(F18="",46&lt;=F18)),1,0)+IF(AND(46&gt;=E19,OR(F19="",46&lt;=F19)),1,0)+IF(AND(46&gt;=E20,OR(F20="",46&lt;=F20)),1,0)+IF(AND(46&gt;=E21,OR(F21="",46&lt;=F21)),1,0)+IF(AND(46&gt;=E22,OR(F22="",46&lt;=F22)),1,0)+IF(AND(46&gt;=E23,OR(F23="",46&lt;=F23)),1,0)+IF(AND(46&gt;=E24,OR(F24="",46&lt;=F24)),1,0)+IF(AND(46&gt;=E25,OR(F25="",46&lt;=F25)),1,0)+IF(AND(46&gt;=E26,OR(F26="",46&lt;=F26)),1,0)+IF(AND(46&gt;=E27,OR(F27="",46&lt;=F27)),1,0)+IF(AND(46&gt;=E28,OR(F28="",46&lt;=F28)),1,0)+IF(AND(46&gt;=E29,OR(F29="",46&lt;=F29)),1,0)+IF(AND(46&gt;=E30,OR(F30="",46&lt;=F30)),1,0)+IF(AND(46&gt;=E31,OR(F31="",46&lt;=F31)),1,0)+IF(AND(46&gt;=E32,OR(F32="",46&lt;=F32)),1,0)+IF(AND(46&gt;=E33,OR(F33="",46&lt;=F33)),1,0)+IF(AND(46&gt;=E34,OR(F34="",46&lt;=F34)),1,0)+IF(AND(46&gt;=E35,OR(F35="",46&lt;=F35)),1,0)+IF(AND(46&gt;=E36,OR(F36="",46&lt;=F36)),1,0)+IF(AND(46&gt;=E37,OR(F37="",46&lt;=F37)),1,0)+IF(AND(46&gt;=E38,OR(F38="",46&lt;=F38)),1,0)+IF(AND(46&gt;=E39,OR(F39="",46&lt;=F39)),1,0)+IF(AND(46&gt;=E40,OR(F40="",46&lt;=F40)),1,0)+IF(AND(46&gt;=E41,OR(F41="",46&lt;=F41)),1,0)+IF(AND(46&gt;=E42,OR(F42="",46&lt;=F42)),1,0)</f>
        <v>32</v>
      </c>
      <c r="BA45" s="52" t="n">
        <f aca="false">IF(AND(47&gt;=E4,OR(F4="",47&lt;=F4)),1,0)+IF(AND(47&gt;=E5,OR(F5="",47&lt;=F5)),1,0)+IF(AND(47&gt;=E6,OR(F6="",47&lt;=F6)),1,0)+IF(AND(47&gt;=E7,OR(F7="",47&lt;=F7)),1,0)+IF(AND(47&gt;=E8,OR(F8="",47&lt;=F8)),1,0)+IF(AND(47&gt;=E9,OR(F9="",47&lt;=F9)),1,0)+IF(AND(47&gt;=E10,OR(F10="",47&lt;=F10)),1,0)+IF(AND(47&gt;=E11,OR(F11="",47&lt;=F11)),1,0)+IF(AND(47&gt;=E12,OR(F12="",47&lt;=F12)),1,0)+IF(AND(47&gt;=E13,OR(F13="",47&lt;=F13)),1,0)+IF(AND(47&gt;=E14,OR(F14="",47&lt;=F14)),1,0)+IF(AND(47&gt;=E15,OR(F15="",47&lt;=F15)),1,0)+IF(AND(47&gt;=E16,OR(F16="",47&lt;=F16)),1,0)+IF(AND(47&gt;=E17,OR(F17="",47&lt;=F17)),1,0)+IF(AND(47&gt;=E18,OR(F18="",47&lt;=F18)),1,0)+IF(AND(47&gt;=E19,OR(F19="",47&lt;=F19)),1,0)+IF(AND(47&gt;=E20,OR(F20="",47&lt;=F20)),1,0)+IF(AND(47&gt;=E21,OR(F21="",47&lt;=F21)),1,0)+IF(AND(47&gt;=E22,OR(F22="",47&lt;=F22)),1,0)+IF(AND(47&gt;=E23,OR(F23="",47&lt;=F23)),1,0)+IF(AND(47&gt;=E24,OR(F24="",47&lt;=F24)),1,0)+IF(AND(47&gt;=E25,OR(F25="",47&lt;=F25)),1,0)+IF(AND(47&gt;=E26,OR(F26="",47&lt;=F26)),1,0)+IF(AND(47&gt;=E27,OR(F27="",47&lt;=F27)),1,0)+IF(AND(47&gt;=E28,OR(F28="",47&lt;=F28)),1,0)+IF(AND(47&gt;=E29,OR(F29="",47&lt;=F29)),1,0)+IF(AND(47&gt;=E30,OR(F30="",47&lt;=F30)),1,0)+IF(AND(47&gt;=E31,OR(F31="",47&lt;=F31)),1,0)+IF(AND(47&gt;=E32,OR(F32="",47&lt;=F32)),1,0)+IF(AND(47&gt;=E33,OR(F33="",47&lt;=F33)),1,0)+IF(AND(47&gt;=E34,OR(F34="",47&lt;=F34)),1,0)+IF(AND(47&gt;=E35,OR(F35="",47&lt;=F35)),1,0)+IF(AND(47&gt;=E36,OR(F36="",47&lt;=F36)),1,0)+IF(AND(47&gt;=E37,OR(F37="",47&lt;=F37)),1,0)+IF(AND(47&gt;=E38,OR(F38="",47&lt;=F38)),1,0)+IF(AND(47&gt;=E39,OR(F39="",47&lt;=F39)),1,0)+IF(AND(47&gt;=E40,OR(F40="",47&lt;=F40)),1,0)+IF(AND(47&gt;=E41,OR(F41="",47&lt;=F41)),1,0)+IF(AND(47&gt;=E42,OR(F42="",47&lt;=F42)),1,0)</f>
        <v>32</v>
      </c>
      <c r="BB45" s="52" t="n">
        <f aca="false">IF(AND(48&gt;=E4,OR(F4="",48&lt;=F4)),1,0)+IF(AND(48&gt;=E5,OR(F5="",48&lt;=F5)),1,0)+IF(AND(48&gt;=E6,OR(F6="",48&lt;=F6)),1,0)+IF(AND(48&gt;=E7,OR(F7="",48&lt;=F7)),1,0)+IF(AND(48&gt;=E8,OR(F8="",48&lt;=F8)),1,0)+IF(AND(48&gt;=E9,OR(F9="",48&lt;=F9)),1,0)+IF(AND(48&gt;=E10,OR(F10="",48&lt;=F10)),1,0)+IF(AND(48&gt;=E11,OR(F11="",48&lt;=F11)),1,0)+IF(AND(48&gt;=E12,OR(F12="",48&lt;=F12)),1,0)+IF(AND(48&gt;=E13,OR(F13="",48&lt;=F13)),1,0)+IF(AND(48&gt;=E14,OR(F14="",48&lt;=F14)),1,0)+IF(AND(48&gt;=E15,OR(F15="",48&lt;=F15)),1,0)+IF(AND(48&gt;=E16,OR(F16="",48&lt;=F16)),1,0)+IF(AND(48&gt;=E17,OR(F17="",48&lt;=F17)),1,0)+IF(AND(48&gt;=E18,OR(F18="",48&lt;=F18)),1,0)+IF(AND(48&gt;=E19,OR(F19="",48&lt;=F19)),1,0)+IF(AND(48&gt;=E20,OR(F20="",48&lt;=F20)),1,0)+IF(AND(48&gt;=E21,OR(F21="",48&lt;=F21)),1,0)+IF(AND(48&gt;=E22,OR(F22="",48&lt;=F22)),1,0)+IF(AND(48&gt;=E23,OR(F23="",48&lt;=F23)),1,0)+IF(AND(48&gt;=E24,OR(F24="",48&lt;=F24)),1,0)+IF(AND(48&gt;=E25,OR(F25="",48&lt;=F25)),1,0)+IF(AND(48&gt;=E26,OR(F26="",48&lt;=F26)),1,0)+IF(AND(48&gt;=E27,OR(F27="",48&lt;=F27)),1,0)+IF(AND(48&gt;=E28,OR(F28="",48&lt;=F28)),1,0)+IF(AND(48&gt;=E29,OR(F29="",48&lt;=F29)),1,0)+IF(AND(48&gt;=E30,OR(F30="",48&lt;=F30)),1,0)+IF(AND(48&gt;=E31,OR(F31="",48&lt;=F31)),1,0)+IF(AND(48&gt;=E32,OR(F32="",48&lt;=F32)),1,0)+IF(AND(48&gt;=E33,OR(F33="",48&lt;=F33)),1,0)+IF(AND(48&gt;=E34,OR(F34="",48&lt;=F34)),1,0)+IF(AND(48&gt;=E35,OR(F35="",48&lt;=F35)),1,0)+IF(AND(48&gt;=E36,OR(F36="",48&lt;=F36)),1,0)+IF(AND(48&gt;=E37,OR(F37="",48&lt;=F37)),1,0)+IF(AND(48&gt;=E38,OR(F38="",48&lt;=F38)),1,0)+IF(AND(48&gt;=E39,OR(F39="",48&lt;=F39)),1,0)+IF(AND(48&gt;=E40,OR(F40="",48&lt;=F40)),1,0)+IF(AND(48&gt;=E41,OR(F41="",48&lt;=F41)),1,0)+IF(AND(48&gt;=E42,OR(F42="",48&lt;=F42)),1,0)</f>
        <v>33</v>
      </c>
      <c r="BC45" s="52" t="n">
        <f aca="false">IF(AND(49&gt;=E4,OR(F4="",49&lt;=F4)),1,0)+IF(AND(49&gt;=E5,OR(F5="",49&lt;=F5)),1,0)+IF(AND(49&gt;=E6,OR(F6="",49&lt;=F6)),1,0)+IF(AND(49&gt;=E7,OR(F7="",49&lt;=F7)),1,0)+IF(AND(49&gt;=E8,OR(F8="",49&lt;=F8)),1,0)+IF(AND(49&gt;=E9,OR(F9="",49&lt;=F9)),1,0)+IF(AND(49&gt;=E10,OR(F10="",49&lt;=F10)),1,0)+IF(AND(49&gt;=E11,OR(F11="",49&lt;=F11)),1,0)+IF(AND(49&gt;=E12,OR(F12="",49&lt;=F12)),1,0)+IF(AND(49&gt;=E13,OR(F13="",49&lt;=F13)),1,0)+IF(AND(49&gt;=E14,OR(F14="",49&lt;=F14)),1,0)+IF(AND(49&gt;=E15,OR(F15="",49&lt;=F15)),1,0)+IF(AND(49&gt;=E16,OR(F16="",49&lt;=F16)),1,0)+IF(AND(49&gt;=E17,OR(F17="",49&lt;=F17)),1,0)+IF(AND(49&gt;=E18,OR(F18="",49&lt;=F18)),1,0)+IF(AND(49&gt;=E19,OR(F19="",49&lt;=F19)),1,0)+IF(AND(49&gt;=E20,OR(F20="",49&lt;=F20)),1,0)+IF(AND(49&gt;=E21,OR(F21="",49&lt;=F21)),1,0)+IF(AND(49&gt;=E22,OR(F22="",49&lt;=F22)),1,0)+IF(AND(49&gt;=E23,OR(F23="",49&lt;=F23)),1,0)+IF(AND(49&gt;=E24,OR(F24="",49&lt;=F24)),1,0)+IF(AND(49&gt;=E25,OR(F25="",49&lt;=F25)),1,0)+IF(AND(49&gt;=E26,OR(F26="",49&lt;=F26)),1,0)+IF(AND(49&gt;=E27,OR(F27="",49&lt;=F27)),1,0)+IF(AND(49&gt;=E28,OR(F28="",49&lt;=F28)),1,0)+IF(AND(49&gt;=E29,OR(F29="",49&lt;=F29)),1,0)+IF(AND(49&gt;=E30,OR(F30="",49&lt;=F30)),1,0)+IF(AND(49&gt;=E31,OR(F31="",49&lt;=F31)),1,0)+IF(AND(49&gt;=E32,OR(F32="",49&lt;=F32)),1,0)+IF(AND(49&gt;=E33,OR(F33="",49&lt;=F33)),1,0)+IF(AND(49&gt;=E34,OR(F34="",49&lt;=F34)),1,0)+IF(AND(49&gt;=E35,OR(F35="",49&lt;=F35)),1,0)+IF(AND(49&gt;=E36,OR(F36="",49&lt;=F36)),1,0)+IF(AND(49&gt;=E37,OR(F37="",49&lt;=F37)),1,0)+IF(AND(49&gt;=E38,OR(F38="",49&lt;=F38)),1,0)+IF(AND(49&gt;=E39,OR(F39="",49&lt;=F39)),1,0)+IF(AND(49&gt;=E40,OR(F40="",49&lt;=F40)),1,0)+IF(AND(49&gt;=E41,OR(F41="",49&lt;=F41)),1,0)+IF(AND(49&gt;=E42,OR(F42="",49&lt;=F42)),1,0)</f>
        <v>33</v>
      </c>
      <c r="BD45" s="52" t="n">
        <f aca="false">IF(AND(50&gt;=E4,OR(F4="",50&lt;=F4)),1,0)+IF(AND(50&gt;=E5,OR(F5="",50&lt;=F5)),1,0)+IF(AND(50&gt;=E6,OR(F6="",50&lt;=F6)),1,0)+IF(AND(50&gt;=E7,OR(F7="",50&lt;=F7)),1,0)+IF(AND(50&gt;=E8,OR(F8="",50&lt;=F8)),1,0)+IF(AND(50&gt;=E9,OR(F9="",50&lt;=F9)),1,0)+IF(AND(50&gt;=E10,OR(F10="",50&lt;=F10)),1,0)+IF(AND(50&gt;=E11,OR(F11="",50&lt;=F11)),1,0)+IF(AND(50&gt;=E12,OR(F12="",50&lt;=F12)),1,0)+IF(AND(50&gt;=E13,OR(F13="",50&lt;=F13)),1,0)+IF(AND(50&gt;=E14,OR(F14="",50&lt;=F14)),1,0)+IF(AND(50&gt;=E15,OR(F15="",50&lt;=F15)),1,0)+IF(AND(50&gt;=E16,OR(F16="",50&lt;=F16)),1,0)+IF(AND(50&gt;=E17,OR(F17="",50&lt;=F17)),1,0)+IF(AND(50&gt;=E18,OR(F18="",50&lt;=F18)),1,0)+IF(AND(50&gt;=E19,OR(F19="",50&lt;=F19)),1,0)+IF(AND(50&gt;=E20,OR(F20="",50&lt;=F20)),1,0)+IF(AND(50&gt;=E21,OR(F21="",50&lt;=F21)),1,0)+IF(AND(50&gt;=E22,OR(F22="",50&lt;=F22)),1,0)+IF(AND(50&gt;=E23,OR(F23="",50&lt;=F23)),1,0)+IF(AND(50&gt;=E24,OR(F24="",50&lt;=F24)),1,0)+IF(AND(50&gt;=E25,OR(F25="",50&lt;=F25)),1,0)+IF(AND(50&gt;=E26,OR(F26="",50&lt;=F26)),1,0)+IF(AND(50&gt;=E27,OR(F27="",50&lt;=F27)),1,0)+IF(AND(50&gt;=E28,OR(F28="",50&lt;=F28)),1,0)+IF(AND(50&gt;=E29,OR(F29="",50&lt;=F29)),1,0)+IF(AND(50&gt;=E30,OR(F30="",50&lt;=F30)),1,0)+IF(AND(50&gt;=E31,OR(F31="",50&lt;=F31)),1,0)+IF(AND(50&gt;=E32,OR(F32="",50&lt;=F32)),1,0)+IF(AND(50&gt;=E33,OR(F33="",50&lt;=F33)),1,0)+IF(AND(50&gt;=E34,OR(F34="",50&lt;=F34)),1,0)+IF(AND(50&gt;=E35,OR(F35="",50&lt;=F35)),1,0)+IF(AND(50&gt;=E36,OR(F36="",50&lt;=F36)),1,0)+IF(AND(50&gt;=E37,OR(F37="",50&lt;=F37)),1,0)+IF(AND(50&gt;=E38,OR(F38="",50&lt;=F38)),1,0)+IF(AND(50&gt;=E39,OR(F39="",50&lt;=F39)),1,0)+IF(AND(50&gt;=E40,OR(F40="",50&lt;=F40)),1,0)+IF(AND(50&gt;=E41,OR(F41="",50&lt;=F41)),1,0)+IF(AND(50&gt;=E42,OR(F42="",50&lt;=F42)),1,0)</f>
        <v>34</v>
      </c>
      <c r="BE45" s="52" t="n">
        <f aca="false">IF(AND(51&gt;=E4,OR(F4="",51&lt;=F4)),1,0)+IF(AND(51&gt;=E5,OR(F5="",51&lt;=F5)),1,0)+IF(AND(51&gt;=E6,OR(F6="",51&lt;=F6)),1,0)+IF(AND(51&gt;=E7,OR(F7="",51&lt;=F7)),1,0)+IF(AND(51&gt;=E8,OR(F8="",51&lt;=F8)),1,0)+IF(AND(51&gt;=E9,OR(F9="",51&lt;=F9)),1,0)+IF(AND(51&gt;=E10,OR(F10="",51&lt;=F10)),1,0)+IF(AND(51&gt;=E11,OR(F11="",51&lt;=F11)),1,0)+IF(AND(51&gt;=E12,OR(F12="",51&lt;=F12)),1,0)+IF(AND(51&gt;=E13,OR(F13="",51&lt;=F13)),1,0)+IF(AND(51&gt;=E14,OR(F14="",51&lt;=F14)),1,0)+IF(AND(51&gt;=E15,OR(F15="",51&lt;=F15)),1,0)+IF(AND(51&gt;=E16,OR(F16="",51&lt;=F16)),1,0)+IF(AND(51&gt;=E17,OR(F17="",51&lt;=F17)),1,0)+IF(AND(51&gt;=E18,OR(F18="",51&lt;=F18)),1,0)+IF(AND(51&gt;=E19,OR(F19="",51&lt;=F19)),1,0)+IF(AND(51&gt;=E20,OR(F20="",51&lt;=F20)),1,0)+IF(AND(51&gt;=E21,OR(F21="",51&lt;=F21)),1,0)+IF(AND(51&gt;=E22,OR(F22="",51&lt;=F22)),1,0)+IF(AND(51&gt;=E23,OR(F23="",51&lt;=F23)),1,0)+IF(AND(51&gt;=E24,OR(F24="",51&lt;=F24)),1,0)+IF(AND(51&gt;=E25,OR(F25="",51&lt;=F25)),1,0)+IF(AND(51&gt;=E26,OR(F26="",51&lt;=F26)),1,0)+IF(AND(51&gt;=E27,OR(F27="",51&lt;=F27)),1,0)+IF(AND(51&gt;=E28,OR(F28="",51&lt;=F28)),1,0)+IF(AND(51&gt;=E29,OR(F29="",51&lt;=F29)),1,0)+IF(AND(51&gt;=E30,OR(F30="",51&lt;=F30)),1,0)+IF(AND(51&gt;=E31,OR(F31="",51&lt;=F31)),1,0)+IF(AND(51&gt;=E32,OR(F32="",51&lt;=F32)),1,0)+IF(AND(51&gt;=E33,OR(F33="",51&lt;=F33)),1,0)+IF(AND(51&gt;=E34,OR(F34="",51&lt;=F34)),1,0)+IF(AND(51&gt;=E35,OR(F35="",51&lt;=F35)),1,0)+IF(AND(51&gt;=E36,OR(F36="",51&lt;=F36)),1,0)+IF(AND(51&gt;=E37,OR(F37="",51&lt;=F37)),1,0)+IF(AND(51&gt;=E38,OR(F38="",51&lt;=F38)),1,0)+IF(AND(51&gt;=E39,OR(F39="",51&lt;=F39)),1,0)+IF(AND(51&gt;=E40,OR(F40="",51&lt;=F40)),1,0)+IF(AND(51&gt;=E41,OR(F41="",51&lt;=F41)),1,0)+IF(AND(51&gt;=E42,OR(F42="",51&lt;=F42)),1,0)</f>
        <v>34</v>
      </c>
      <c r="BF45" s="52" t="n">
        <f aca="false">IF(AND(52&gt;=E4,OR(F4="",52&lt;=F4)),1,0)+IF(AND(52&gt;=E5,OR(F5="",52&lt;=F5)),1,0)+IF(AND(52&gt;=E6,OR(F6="",52&lt;=F6)),1,0)+IF(AND(52&gt;=E7,OR(F7="",52&lt;=F7)),1,0)+IF(AND(52&gt;=E8,OR(F8="",52&lt;=F8)),1,0)+IF(AND(52&gt;=E9,OR(F9="",52&lt;=F9)),1,0)+IF(AND(52&gt;=E10,OR(F10="",52&lt;=F10)),1,0)+IF(AND(52&gt;=E11,OR(F11="",52&lt;=F11)),1,0)+IF(AND(52&gt;=E12,OR(F12="",52&lt;=F12)),1,0)+IF(AND(52&gt;=E13,OR(F13="",52&lt;=F13)),1,0)+IF(AND(52&gt;=E14,OR(F14="",52&lt;=F14)),1,0)+IF(AND(52&gt;=E15,OR(F15="",52&lt;=F15)),1,0)+IF(AND(52&gt;=E16,OR(F16="",52&lt;=F16)),1,0)+IF(AND(52&gt;=E17,OR(F17="",52&lt;=F17)),1,0)+IF(AND(52&gt;=E18,OR(F18="",52&lt;=F18)),1,0)+IF(AND(52&gt;=E19,OR(F19="",52&lt;=F19)),1,0)+IF(AND(52&gt;=E20,OR(F20="",52&lt;=F20)),1,0)+IF(AND(52&gt;=E21,OR(F21="",52&lt;=F21)),1,0)+IF(AND(52&gt;=E22,OR(F22="",52&lt;=F22)),1,0)+IF(AND(52&gt;=E23,OR(F23="",52&lt;=F23)),1,0)+IF(AND(52&gt;=E24,OR(F24="",52&lt;=F24)),1,0)+IF(AND(52&gt;=E25,OR(F25="",52&lt;=F25)),1,0)+IF(AND(52&gt;=E26,OR(F26="",52&lt;=F26)),1,0)+IF(AND(52&gt;=E27,OR(F27="",52&lt;=F27)),1,0)+IF(AND(52&gt;=E28,OR(F28="",52&lt;=F28)),1,0)+IF(AND(52&gt;=E29,OR(F29="",52&lt;=F29)),1,0)+IF(AND(52&gt;=E30,OR(F30="",52&lt;=F30)),1,0)+IF(AND(52&gt;=E31,OR(F31="",52&lt;=F31)),1,0)+IF(AND(52&gt;=E32,OR(F32="",52&lt;=F32)),1,0)+IF(AND(52&gt;=E33,OR(F33="",52&lt;=F33)),1,0)+IF(AND(52&gt;=E34,OR(F34="",52&lt;=F34)),1,0)+IF(AND(52&gt;=E35,OR(F35="",52&lt;=F35)),1,0)+IF(AND(52&gt;=E36,OR(F36="",52&lt;=F36)),1,0)+IF(AND(52&gt;=E37,OR(F37="",52&lt;=F37)),1,0)+IF(AND(52&gt;=E38,OR(F38="",52&lt;=F38)),1,0)+IF(AND(52&gt;=E39,OR(F39="",52&lt;=F39)),1,0)+IF(AND(52&gt;=E40,OR(F40="",52&lt;=F40)),1,0)+IF(AND(52&gt;=E41,OR(F41="",52&lt;=F41)),1,0)+IF(AND(52&gt;=E42,OR(F42="",52&lt;=F42)),1,0)</f>
        <v>35</v>
      </c>
      <c r="BG45" s="52" t="n">
        <f aca="false">IF(AND(53&gt;=E4,OR(F4="",53&lt;=F4)),1,0)+IF(AND(53&gt;=E5,OR(F5="",53&lt;=F5)),1,0)+IF(AND(53&gt;=E6,OR(F6="",53&lt;=F6)),1,0)+IF(AND(53&gt;=E7,OR(F7="",53&lt;=F7)),1,0)+IF(AND(53&gt;=E8,OR(F8="",53&lt;=F8)),1,0)+IF(AND(53&gt;=E9,OR(F9="",53&lt;=F9)),1,0)+IF(AND(53&gt;=E10,OR(F10="",53&lt;=F10)),1,0)+IF(AND(53&gt;=E11,OR(F11="",53&lt;=F11)),1,0)+IF(AND(53&gt;=E12,OR(F12="",53&lt;=F12)),1,0)+IF(AND(53&gt;=E13,OR(F13="",53&lt;=F13)),1,0)+IF(AND(53&gt;=E14,OR(F14="",53&lt;=F14)),1,0)+IF(AND(53&gt;=E15,OR(F15="",53&lt;=F15)),1,0)+IF(AND(53&gt;=E16,OR(F16="",53&lt;=F16)),1,0)+IF(AND(53&gt;=E17,OR(F17="",53&lt;=F17)),1,0)+IF(AND(53&gt;=E18,OR(F18="",53&lt;=F18)),1,0)+IF(AND(53&gt;=E19,OR(F19="",53&lt;=F19)),1,0)+IF(AND(53&gt;=E20,OR(F20="",53&lt;=F20)),1,0)+IF(AND(53&gt;=E21,OR(F21="",53&lt;=F21)),1,0)+IF(AND(53&gt;=E22,OR(F22="",53&lt;=F22)),1,0)+IF(AND(53&gt;=E23,OR(F23="",53&lt;=F23)),1,0)+IF(AND(53&gt;=E24,OR(F24="",53&lt;=F24)),1,0)+IF(AND(53&gt;=E25,OR(F25="",53&lt;=F25)),1,0)+IF(AND(53&gt;=E26,OR(F26="",53&lt;=F26)),1,0)+IF(AND(53&gt;=E27,OR(F27="",53&lt;=F27)),1,0)+IF(AND(53&gt;=E28,OR(F28="",53&lt;=F28)),1,0)+IF(AND(53&gt;=E29,OR(F29="",53&lt;=F29)),1,0)+IF(AND(53&gt;=E30,OR(F30="",53&lt;=F30)),1,0)+IF(AND(53&gt;=E31,OR(F31="",53&lt;=F31)),1,0)+IF(AND(53&gt;=E32,OR(F32="",53&lt;=F32)),1,0)+IF(AND(53&gt;=E33,OR(F33="",53&lt;=F33)),1,0)+IF(AND(53&gt;=E34,OR(F34="",53&lt;=F34)),1,0)+IF(AND(53&gt;=E35,OR(F35="",53&lt;=F35)),1,0)+IF(AND(53&gt;=E36,OR(F36="",53&lt;=F36)),1,0)+IF(AND(53&gt;=E37,OR(F37="",53&lt;=F37)),1,0)+IF(AND(53&gt;=E38,OR(F38="",53&lt;=F38)),1,0)+IF(AND(53&gt;=E39,OR(F39="",53&lt;=F39)),1,0)+IF(AND(53&gt;=E40,OR(F40="",53&lt;=F40)),1,0)+IF(AND(53&gt;=E41,OR(F41="",53&lt;=F41)),1,0)+IF(AND(53&gt;=E42,OR(F42="",53&lt;=F42)),1,0)</f>
        <v>35</v>
      </c>
      <c r="BH45" s="52" t="n">
        <f aca="false">IF(AND(54&gt;=E4,OR(F4="",54&lt;=F4)),1,0)+IF(AND(54&gt;=E5,OR(F5="",54&lt;=F5)),1,0)+IF(AND(54&gt;=E6,OR(F6="",54&lt;=F6)),1,0)+IF(AND(54&gt;=E7,OR(F7="",54&lt;=F7)),1,0)+IF(AND(54&gt;=E8,OR(F8="",54&lt;=F8)),1,0)+IF(AND(54&gt;=E9,OR(F9="",54&lt;=F9)),1,0)+IF(AND(54&gt;=E10,OR(F10="",54&lt;=F10)),1,0)+IF(AND(54&gt;=E11,OR(F11="",54&lt;=F11)),1,0)+IF(AND(54&gt;=E12,OR(F12="",54&lt;=F12)),1,0)+IF(AND(54&gt;=E13,OR(F13="",54&lt;=F13)),1,0)+IF(AND(54&gt;=E14,OR(F14="",54&lt;=F14)),1,0)+IF(AND(54&gt;=E15,OR(F15="",54&lt;=F15)),1,0)+IF(AND(54&gt;=E16,OR(F16="",54&lt;=F16)),1,0)+IF(AND(54&gt;=E17,OR(F17="",54&lt;=F17)),1,0)+IF(AND(54&gt;=E18,OR(F18="",54&lt;=F18)),1,0)+IF(AND(54&gt;=E19,OR(F19="",54&lt;=F19)),1,0)+IF(AND(54&gt;=E20,OR(F20="",54&lt;=F20)),1,0)+IF(AND(54&gt;=E21,OR(F21="",54&lt;=F21)),1,0)+IF(AND(54&gt;=E22,OR(F22="",54&lt;=F22)),1,0)+IF(AND(54&gt;=E23,OR(F23="",54&lt;=F23)),1,0)+IF(AND(54&gt;=E24,OR(F24="",54&lt;=F24)),1,0)+IF(AND(54&gt;=E25,OR(F25="",54&lt;=F25)),1,0)+IF(AND(54&gt;=E26,OR(F26="",54&lt;=F26)),1,0)+IF(AND(54&gt;=E27,OR(F27="",54&lt;=F27)),1,0)+IF(AND(54&gt;=E28,OR(F28="",54&lt;=F28)),1,0)+IF(AND(54&gt;=E29,OR(F29="",54&lt;=F29)),1,0)+IF(AND(54&gt;=E30,OR(F30="",54&lt;=F30)),1,0)+IF(AND(54&gt;=E31,OR(F31="",54&lt;=F31)),1,0)+IF(AND(54&gt;=E32,OR(F32="",54&lt;=F32)),1,0)+IF(AND(54&gt;=E33,OR(F33="",54&lt;=F33)),1,0)+IF(AND(54&gt;=E34,OR(F34="",54&lt;=F34)),1,0)+IF(AND(54&gt;=E35,OR(F35="",54&lt;=F35)),1,0)+IF(AND(54&gt;=E36,OR(F36="",54&lt;=F36)),1,0)+IF(AND(54&gt;=E37,OR(F37="",54&lt;=F37)),1,0)+IF(AND(54&gt;=E38,OR(F38="",54&lt;=F38)),1,0)+IF(AND(54&gt;=E39,OR(F39="",54&lt;=F39)),1,0)+IF(AND(54&gt;=E40,OR(F40="",54&lt;=F40)),1,0)+IF(AND(54&gt;=E41,OR(F41="",54&lt;=F41)),1,0)+IF(AND(54&gt;=E42,OR(F42="",54&lt;=F42)),1,0)</f>
        <v>36</v>
      </c>
      <c r="BI45" s="52" t="n">
        <f aca="false">IF(AND(55&gt;=E4,OR(F4="",55&lt;=F4)),1,0)+IF(AND(55&gt;=E5,OR(F5="",55&lt;=F5)),1,0)+IF(AND(55&gt;=E6,OR(F6="",55&lt;=F6)),1,0)+IF(AND(55&gt;=E7,OR(F7="",55&lt;=F7)),1,0)+IF(AND(55&gt;=E8,OR(F8="",55&lt;=F8)),1,0)+IF(AND(55&gt;=E9,OR(F9="",55&lt;=F9)),1,0)+IF(AND(55&gt;=E10,OR(F10="",55&lt;=F10)),1,0)+IF(AND(55&gt;=E11,OR(F11="",55&lt;=F11)),1,0)+IF(AND(55&gt;=E12,OR(F12="",55&lt;=F12)),1,0)+IF(AND(55&gt;=E13,OR(F13="",55&lt;=F13)),1,0)+IF(AND(55&gt;=E14,OR(F14="",55&lt;=F14)),1,0)+IF(AND(55&gt;=E15,OR(F15="",55&lt;=F15)),1,0)+IF(AND(55&gt;=E16,OR(F16="",55&lt;=F16)),1,0)+IF(AND(55&gt;=E17,OR(F17="",55&lt;=F17)),1,0)+IF(AND(55&gt;=E18,OR(F18="",55&lt;=F18)),1,0)+IF(AND(55&gt;=E19,OR(F19="",55&lt;=F19)),1,0)+IF(AND(55&gt;=E20,OR(F20="",55&lt;=F20)),1,0)+IF(AND(55&gt;=E21,OR(F21="",55&lt;=F21)),1,0)+IF(AND(55&gt;=E22,OR(F22="",55&lt;=F22)),1,0)+IF(AND(55&gt;=E23,OR(F23="",55&lt;=F23)),1,0)+IF(AND(55&gt;=E24,OR(F24="",55&lt;=F24)),1,0)+IF(AND(55&gt;=E25,OR(F25="",55&lt;=F25)),1,0)+IF(AND(55&gt;=E26,OR(F26="",55&lt;=F26)),1,0)+IF(AND(55&gt;=E27,OR(F27="",55&lt;=F27)),1,0)+IF(AND(55&gt;=E28,OR(F28="",55&lt;=F28)),1,0)+IF(AND(55&gt;=E29,OR(F29="",55&lt;=F29)),1,0)+IF(AND(55&gt;=E30,OR(F30="",55&lt;=F30)),1,0)+IF(AND(55&gt;=E31,OR(F31="",55&lt;=F31)),1,0)+IF(AND(55&gt;=E32,OR(F32="",55&lt;=F32)),1,0)+IF(AND(55&gt;=E33,OR(F33="",55&lt;=F33)),1,0)+IF(AND(55&gt;=E34,OR(F34="",55&lt;=F34)),1,0)+IF(AND(55&gt;=E35,OR(F35="",55&lt;=F35)),1,0)+IF(AND(55&gt;=E36,OR(F36="",55&lt;=F36)),1,0)+IF(AND(55&gt;=E37,OR(F37="",55&lt;=F37)),1,0)+IF(AND(55&gt;=E38,OR(F38="",55&lt;=F38)),1,0)+IF(AND(55&gt;=E39,OR(F39="",55&lt;=F39)),1,0)+IF(AND(55&gt;=E40,OR(F40="",55&lt;=F40)),1,0)+IF(AND(55&gt;=E41,OR(F41="",55&lt;=F41)),1,0)+IF(AND(55&gt;=E42,OR(F42="",55&lt;=F42)),1,0)</f>
        <v>36</v>
      </c>
      <c r="BJ45" s="52" t="n">
        <f aca="false">IF(AND(56&gt;=E4,OR(F4="",56&lt;=F4)),1,0)+IF(AND(56&gt;=E5,OR(F5="",56&lt;=F5)),1,0)+IF(AND(56&gt;=E6,OR(F6="",56&lt;=F6)),1,0)+IF(AND(56&gt;=E7,OR(F7="",56&lt;=F7)),1,0)+IF(AND(56&gt;=E8,OR(F8="",56&lt;=F8)),1,0)+IF(AND(56&gt;=E9,OR(F9="",56&lt;=F9)),1,0)+IF(AND(56&gt;=E10,OR(F10="",56&lt;=F10)),1,0)+IF(AND(56&gt;=E11,OR(F11="",56&lt;=F11)),1,0)+IF(AND(56&gt;=E12,OR(F12="",56&lt;=F12)),1,0)+IF(AND(56&gt;=E13,OR(F13="",56&lt;=F13)),1,0)+IF(AND(56&gt;=E14,OR(F14="",56&lt;=F14)),1,0)+IF(AND(56&gt;=E15,OR(F15="",56&lt;=F15)),1,0)+IF(AND(56&gt;=E16,OR(F16="",56&lt;=F16)),1,0)+IF(AND(56&gt;=E17,OR(F17="",56&lt;=F17)),1,0)+IF(AND(56&gt;=E18,OR(F18="",56&lt;=F18)),1,0)+IF(AND(56&gt;=E19,OR(F19="",56&lt;=F19)),1,0)+IF(AND(56&gt;=E20,OR(F20="",56&lt;=F20)),1,0)+IF(AND(56&gt;=E21,OR(F21="",56&lt;=F21)),1,0)+IF(AND(56&gt;=E22,OR(F22="",56&lt;=F22)),1,0)+IF(AND(56&gt;=E23,OR(F23="",56&lt;=F23)),1,0)+IF(AND(56&gt;=E24,OR(F24="",56&lt;=F24)),1,0)+IF(AND(56&gt;=E25,OR(F25="",56&lt;=F25)),1,0)+IF(AND(56&gt;=E26,OR(F26="",56&lt;=F26)),1,0)+IF(AND(56&gt;=E27,OR(F27="",56&lt;=F27)),1,0)+IF(AND(56&gt;=E28,OR(F28="",56&lt;=F28)),1,0)+IF(AND(56&gt;=E29,OR(F29="",56&lt;=F29)),1,0)+IF(AND(56&gt;=E30,OR(F30="",56&lt;=F30)),1,0)+IF(AND(56&gt;=E31,OR(F31="",56&lt;=F31)),1,0)+IF(AND(56&gt;=E32,OR(F32="",56&lt;=F32)),1,0)+IF(AND(56&gt;=E33,OR(F33="",56&lt;=F33)),1,0)+IF(AND(56&gt;=E34,OR(F34="",56&lt;=F34)),1,0)+IF(AND(56&gt;=E35,OR(F35="",56&lt;=F35)),1,0)+IF(AND(56&gt;=E36,OR(F36="",56&lt;=F36)),1,0)+IF(AND(56&gt;=E37,OR(F37="",56&lt;=F37)),1,0)+IF(AND(56&gt;=E38,OR(F38="",56&lt;=F38)),1,0)+IF(AND(56&gt;=E39,OR(F39="",56&lt;=F39)),1,0)+IF(AND(56&gt;=E40,OR(F40="",56&lt;=F40)),1,0)+IF(AND(56&gt;=E41,OR(F41="",56&lt;=F41)),1,0)+IF(AND(56&gt;=E42,OR(F42="",56&lt;=F42)),1,0)</f>
        <v>37</v>
      </c>
      <c r="BK45" s="52" t="n">
        <f aca="false">IF(AND(57&gt;=E4,OR(F4="",57&lt;=F4)),1,0)+IF(AND(57&gt;=E5,OR(F5="",57&lt;=F5)),1,0)+IF(AND(57&gt;=E6,OR(F6="",57&lt;=F6)),1,0)+IF(AND(57&gt;=E7,OR(F7="",57&lt;=F7)),1,0)+IF(AND(57&gt;=E8,OR(F8="",57&lt;=F8)),1,0)+IF(AND(57&gt;=E9,OR(F9="",57&lt;=F9)),1,0)+IF(AND(57&gt;=E10,OR(F10="",57&lt;=F10)),1,0)+IF(AND(57&gt;=E11,OR(F11="",57&lt;=F11)),1,0)+IF(AND(57&gt;=E12,OR(F12="",57&lt;=F12)),1,0)+IF(AND(57&gt;=E13,OR(F13="",57&lt;=F13)),1,0)+IF(AND(57&gt;=E14,OR(F14="",57&lt;=F14)),1,0)+IF(AND(57&gt;=E15,OR(F15="",57&lt;=F15)),1,0)+IF(AND(57&gt;=E16,OR(F16="",57&lt;=F16)),1,0)+IF(AND(57&gt;=E17,OR(F17="",57&lt;=F17)),1,0)+IF(AND(57&gt;=E18,OR(F18="",57&lt;=F18)),1,0)+IF(AND(57&gt;=E19,OR(F19="",57&lt;=F19)),1,0)+IF(AND(57&gt;=E20,OR(F20="",57&lt;=F20)),1,0)+IF(AND(57&gt;=E21,OR(F21="",57&lt;=F21)),1,0)+IF(AND(57&gt;=E22,OR(F22="",57&lt;=F22)),1,0)+IF(AND(57&gt;=E23,OR(F23="",57&lt;=F23)),1,0)+IF(AND(57&gt;=E24,OR(F24="",57&lt;=F24)),1,0)+IF(AND(57&gt;=E25,OR(F25="",57&lt;=F25)),1,0)+IF(AND(57&gt;=E26,OR(F26="",57&lt;=F26)),1,0)+IF(AND(57&gt;=E27,OR(F27="",57&lt;=F27)),1,0)+IF(AND(57&gt;=E28,OR(F28="",57&lt;=F28)),1,0)+IF(AND(57&gt;=E29,OR(F29="",57&lt;=F29)),1,0)+IF(AND(57&gt;=E30,OR(F30="",57&lt;=F30)),1,0)+IF(AND(57&gt;=E31,OR(F31="",57&lt;=F31)),1,0)+IF(AND(57&gt;=E32,OR(F32="",57&lt;=F32)),1,0)+IF(AND(57&gt;=E33,OR(F33="",57&lt;=F33)),1,0)+IF(AND(57&gt;=E34,OR(F34="",57&lt;=F34)),1,0)+IF(AND(57&gt;=E35,OR(F35="",57&lt;=F35)),1,0)+IF(AND(57&gt;=E36,OR(F36="",57&lt;=F36)),1,0)+IF(AND(57&gt;=E37,OR(F37="",57&lt;=F37)),1,0)+IF(AND(57&gt;=E38,OR(F38="",57&lt;=F38)),1,0)+IF(AND(57&gt;=E39,OR(F39="",57&lt;=F39)),1,0)+IF(AND(57&gt;=E40,OR(F40="",57&lt;=F40)),1,0)+IF(AND(57&gt;=E41,OR(F41="",57&lt;=F41)),1,0)+IF(AND(57&gt;=E42,OR(F42="",57&lt;=F42)),1,0)</f>
        <v>37</v>
      </c>
      <c r="BL45" s="52" t="n">
        <f aca="false">IF(AND(58&gt;=E4,OR(F4="",58&lt;=F4)),1,0)+IF(AND(58&gt;=E5,OR(F5="",58&lt;=F5)),1,0)+IF(AND(58&gt;=E6,OR(F6="",58&lt;=F6)),1,0)+IF(AND(58&gt;=E7,OR(F7="",58&lt;=F7)),1,0)+IF(AND(58&gt;=E8,OR(F8="",58&lt;=F8)),1,0)+IF(AND(58&gt;=E9,OR(F9="",58&lt;=F9)),1,0)+IF(AND(58&gt;=E10,OR(F10="",58&lt;=F10)),1,0)+IF(AND(58&gt;=E11,OR(F11="",58&lt;=F11)),1,0)+IF(AND(58&gt;=E12,OR(F12="",58&lt;=F12)),1,0)+IF(AND(58&gt;=E13,OR(F13="",58&lt;=F13)),1,0)+IF(AND(58&gt;=E14,OR(F14="",58&lt;=F14)),1,0)+IF(AND(58&gt;=E15,OR(F15="",58&lt;=F15)),1,0)+IF(AND(58&gt;=E16,OR(F16="",58&lt;=F16)),1,0)+IF(AND(58&gt;=E17,OR(F17="",58&lt;=F17)),1,0)+IF(AND(58&gt;=E18,OR(F18="",58&lt;=F18)),1,0)+IF(AND(58&gt;=E19,OR(F19="",58&lt;=F19)),1,0)+IF(AND(58&gt;=E20,OR(F20="",58&lt;=F20)),1,0)+IF(AND(58&gt;=E21,OR(F21="",58&lt;=F21)),1,0)+IF(AND(58&gt;=E22,OR(F22="",58&lt;=F22)),1,0)+IF(AND(58&gt;=E23,OR(F23="",58&lt;=F23)),1,0)+IF(AND(58&gt;=E24,OR(F24="",58&lt;=F24)),1,0)+IF(AND(58&gt;=E25,OR(F25="",58&lt;=F25)),1,0)+IF(AND(58&gt;=E26,OR(F26="",58&lt;=F26)),1,0)+IF(AND(58&gt;=E27,OR(F27="",58&lt;=F27)),1,0)+IF(AND(58&gt;=E28,OR(F28="",58&lt;=F28)),1,0)+IF(AND(58&gt;=E29,OR(F29="",58&lt;=F29)),1,0)+IF(AND(58&gt;=E30,OR(F30="",58&lt;=F30)),1,0)+IF(AND(58&gt;=E31,OR(F31="",58&lt;=F31)),1,0)+IF(AND(58&gt;=E32,OR(F32="",58&lt;=F32)),1,0)+IF(AND(58&gt;=E33,OR(F33="",58&lt;=F33)),1,0)+IF(AND(58&gt;=E34,OR(F34="",58&lt;=F34)),1,0)+IF(AND(58&gt;=E35,OR(F35="",58&lt;=F35)),1,0)+IF(AND(58&gt;=E36,OR(F36="",58&lt;=F36)),1,0)+IF(AND(58&gt;=E37,OR(F37="",58&lt;=F37)),1,0)+IF(AND(58&gt;=E38,OR(F38="",58&lt;=F38)),1,0)+IF(AND(58&gt;=E39,OR(F39="",58&lt;=F39)),1,0)+IF(AND(58&gt;=E40,OR(F40="",58&lt;=F40)),1,0)+IF(AND(58&gt;=E41,OR(F41="",58&lt;=F41)),1,0)+IF(AND(58&gt;=E42,OR(F42="",58&lt;=F42)),1,0)</f>
        <v>38</v>
      </c>
      <c r="BM45" s="52" t="n">
        <f aca="false">IF(AND(59&gt;=E4,OR(F4="",59&lt;=F4)),1,0)+IF(AND(59&gt;=E5,OR(F5="",59&lt;=F5)),1,0)+IF(AND(59&gt;=E6,OR(F6="",59&lt;=F6)),1,0)+IF(AND(59&gt;=E7,OR(F7="",59&lt;=F7)),1,0)+IF(AND(59&gt;=E8,OR(F8="",59&lt;=F8)),1,0)+IF(AND(59&gt;=E9,OR(F9="",59&lt;=F9)),1,0)+IF(AND(59&gt;=E10,OR(F10="",59&lt;=F10)),1,0)+IF(AND(59&gt;=E11,OR(F11="",59&lt;=F11)),1,0)+IF(AND(59&gt;=E12,OR(F12="",59&lt;=F12)),1,0)+IF(AND(59&gt;=E13,OR(F13="",59&lt;=F13)),1,0)+IF(AND(59&gt;=E14,OR(F14="",59&lt;=F14)),1,0)+IF(AND(59&gt;=E15,OR(F15="",59&lt;=F15)),1,0)+IF(AND(59&gt;=E16,OR(F16="",59&lt;=F16)),1,0)+IF(AND(59&gt;=E17,OR(F17="",59&lt;=F17)),1,0)+IF(AND(59&gt;=E18,OR(F18="",59&lt;=F18)),1,0)+IF(AND(59&gt;=E19,OR(F19="",59&lt;=F19)),1,0)+IF(AND(59&gt;=E20,OR(F20="",59&lt;=F20)),1,0)+IF(AND(59&gt;=E21,OR(F21="",59&lt;=F21)),1,0)+IF(AND(59&gt;=E22,OR(F22="",59&lt;=F22)),1,0)+IF(AND(59&gt;=E23,OR(F23="",59&lt;=F23)),1,0)+IF(AND(59&gt;=E24,OR(F24="",59&lt;=F24)),1,0)+IF(AND(59&gt;=E25,OR(F25="",59&lt;=F25)),1,0)+IF(AND(59&gt;=E26,OR(F26="",59&lt;=F26)),1,0)+IF(AND(59&gt;=E27,OR(F27="",59&lt;=F27)),1,0)+IF(AND(59&gt;=E28,OR(F28="",59&lt;=F28)),1,0)+IF(AND(59&gt;=E29,OR(F29="",59&lt;=F29)),1,0)+IF(AND(59&gt;=E30,OR(F30="",59&lt;=F30)),1,0)+IF(AND(59&gt;=E31,OR(F31="",59&lt;=F31)),1,0)+IF(AND(59&gt;=E32,OR(F32="",59&lt;=F32)),1,0)+IF(AND(59&gt;=E33,OR(F33="",59&lt;=F33)),1,0)+IF(AND(59&gt;=E34,OR(F34="",59&lt;=F34)),1,0)+IF(AND(59&gt;=E35,OR(F35="",59&lt;=F35)),1,0)+IF(AND(59&gt;=E36,OR(F36="",59&lt;=F36)),1,0)+IF(AND(59&gt;=E37,OR(F37="",59&lt;=F37)),1,0)+IF(AND(59&gt;=E38,OR(F38="",59&lt;=F38)),1,0)+IF(AND(59&gt;=E39,OR(F39="",59&lt;=F39)),1,0)+IF(AND(59&gt;=E40,OR(F40="",59&lt;=F40)),1,0)+IF(AND(59&gt;=E41,OR(F41="",59&lt;=F41)),1,0)+IF(AND(59&gt;=E42,OR(F42="",59&lt;=F42)),1,0)</f>
        <v>38</v>
      </c>
      <c r="BN45" s="52" t="n">
        <f aca="false">IF(AND(60&gt;=E4,OR(F4="",60&lt;=F4)),1,0)+IF(AND(60&gt;=E5,OR(F5="",60&lt;=F5)),1,0)+IF(AND(60&gt;=E6,OR(F6="",60&lt;=F6)),1,0)+IF(AND(60&gt;=E7,OR(F7="",60&lt;=F7)),1,0)+IF(AND(60&gt;=E8,OR(F8="",60&lt;=F8)),1,0)+IF(AND(60&gt;=E9,OR(F9="",60&lt;=F9)),1,0)+IF(AND(60&gt;=E10,OR(F10="",60&lt;=F10)),1,0)+IF(AND(60&gt;=E11,OR(F11="",60&lt;=F11)),1,0)+IF(AND(60&gt;=E12,OR(F12="",60&lt;=F12)),1,0)+IF(AND(60&gt;=E13,OR(F13="",60&lt;=F13)),1,0)+IF(AND(60&gt;=E14,OR(F14="",60&lt;=F14)),1,0)+IF(AND(60&gt;=E15,OR(F15="",60&lt;=F15)),1,0)+IF(AND(60&gt;=E16,OR(F16="",60&lt;=F16)),1,0)+IF(AND(60&gt;=E17,OR(F17="",60&lt;=F17)),1,0)+IF(AND(60&gt;=E18,OR(F18="",60&lt;=F18)),1,0)+IF(AND(60&gt;=E19,OR(F19="",60&lt;=F19)),1,0)+IF(AND(60&gt;=E20,OR(F20="",60&lt;=F20)),1,0)+IF(AND(60&gt;=E21,OR(F21="",60&lt;=F21)),1,0)+IF(AND(60&gt;=E22,OR(F22="",60&lt;=F22)),1,0)+IF(AND(60&gt;=E23,OR(F23="",60&lt;=F23)),1,0)+IF(AND(60&gt;=E24,OR(F24="",60&lt;=F24)),1,0)+IF(AND(60&gt;=E25,OR(F25="",60&lt;=F25)),1,0)+IF(AND(60&gt;=E26,OR(F26="",60&lt;=F26)),1,0)+IF(AND(60&gt;=E27,OR(F27="",60&lt;=F27)),1,0)+IF(AND(60&gt;=E28,OR(F28="",60&lt;=F28)),1,0)+IF(AND(60&gt;=E29,OR(F29="",60&lt;=F29)),1,0)+IF(AND(60&gt;=E30,OR(F30="",60&lt;=F30)),1,0)+IF(AND(60&gt;=E31,OR(F31="",60&lt;=F31)),1,0)+IF(AND(60&gt;=E32,OR(F32="",60&lt;=F32)),1,0)+IF(AND(60&gt;=E33,OR(F33="",60&lt;=F33)),1,0)+IF(AND(60&gt;=E34,OR(F34="",60&lt;=F34)),1,0)+IF(AND(60&gt;=E35,OR(F35="",60&lt;=F35)),1,0)+IF(AND(60&gt;=E36,OR(F36="",60&lt;=F36)),1,0)+IF(AND(60&gt;=E37,OR(F37="",60&lt;=F37)),1,0)+IF(AND(60&gt;=E38,OR(F38="",60&lt;=F38)),1,0)+IF(AND(60&gt;=E39,OR(F39="",60&lt;=F39)),1,0)+IF(AND(60&gt;=E40,OR(F40="",60&lt;=F40)),1,0)+IF(AND(60&gt;=E41,OR(F41="",60&lt;=F41)),1,0)+IF(AND(60&gt;=E42,OR(F42="",60&lt;=F42)),1,0)</f>
        <v>39</v>
      </c>
    </row>
    <row r="46" customFormat="false" ht="14.25" hidden="false" customHeight="false" outlineLevel="0" collapsed="false">
      <c r="B46" s="53" t="s">
        <v>385</v>
      </c>
    </row>
    <row r="47" customFormat="false" ht="14.25" hidden="false" customHeight="false" outlineLevel="0" collapsed="false">
      <c r="B47" s="7" t="s">
        <v>386</v>
      </c>
      <c r="G47" s="16" t="n">
        <f aca="false">IF(AND(1&gt;=E4,OR(F4="",1&lt;=F4)),1,0)+IF(AND(1&gt;=E5,OR(F5="",1&lt;=F5)),1,0)+IF(AND(1&gt;=E33,OR(F33="",1&lt;=F33)),1,0)+IF(AND(1&gt;=E34,OR(F34="",1&lt;=F34)),1,0)+IF(AND(1&gt;=E42,OR(F42="",1&lt;=F42)),1,0)</f>
        <v>2</v>
      </c>
      <c r="H47" s="16" t="n">
        <f aca="false">IF(AND(2&gt;=E4,OR(F4="",2&lt;=F4)),1,0)+IF(AND(2&gt;=E5,OR(F5="",2&lt;=F5)),1,0)+IF(AND(2&gt;=E33,OR(F33="",2&lt;=F33)),1,0)+IF(AND(2&gt;=E34,OR(F34="",2&lt;=F34)),1,0)+IF(AND(2&gt;=E42,OR(F42="",2&lt;=F42)),1,0)</f>
        <v>2</v>
      </c>
      <c r="I47" s="16" t="n">
        <f aca="false">IF(AND(3&gt;=E4,OR(F4="",3&lt;=F4)),1,0)+IF(AND(3&gt;=E5,OR(F5="",3&lt;=F5)),1,0)+IF(AND(3&gt;=E33,OR(F33="",3&lt;=F33)),1,0)+IF(AND(3&gt;=E34,OR(F34="",3&lt;=F34)),1,0)+IF(AND(3&gt;=E42,OR(F42="",3&lt;=F42)),1,0)</f>
        <v>2</v>
      </c>
      <c r="J47" s="16" t="n">
        <f aca="false">IF(AND(4&gt;=E4,OR(F4="",4&lt;=F4)),1,0)+IF(AND(4&gt;=E5,OR(F5="",4&lt;=F5)),1,0)+IF(AND(4&gt;=E33,OR(F33="",4&lt;=F33)),1,0)+IF(AND(4&gt;=E34,OR(F34="",4&lt;=F34)),1,0)+IF(AND(4&gt;=E42,OR(F42="",4&lt;=F42)),1,0)</f>
        <v>2</v>
      </c>
      <c r="K47" s="16" t="n">
        <f aca="false">IF(AND(5&gt;=E4,OR(F4="",5&lt;=F4)),1,0)+IF(AND(5&gt;=E5,OR(F5="",5&lt;=F5)),1,0)+IF(AND(5&gt;=E33,OR(F33="",5&lt;=F33)),1,0)+IF(AND(5&gt;=E34,OR(F34="",5&lt;=F34)),1,0)+IF(AND(5&gt;=E42,OR(F42="",5&lt;=F42)),1,0)</f>
        <v>2</v>
      </c>
      <c r="L47" s="16" t="n">
        <f aca="false">IF(AND(6&gt;=E4,OR(F4="",6&lt;=F4)),1,0)+IF(AND(6&gt;=E5,OR(F5="",6&lt;=F5)),1,0)+IF(AND(6&gt;=E33,OR(F33="",6&lt;=F33)),1,0)+IF(AND(6&gt;=E34,OR(F34="",6&lt;=F34)),1,0)+IF(AND(6&gt;=E42,OR(F42="",6&lt;=F42)),1,0)</f>
        <v>2</v>
      </c>
      <c r="M47" s="16" t="n">
        <f aca="false">IF(AND(7&gt;=E4,OR(F4="",7&lt;=F4)),1,0)+IF(AND(7&gt;=E5,OR(F5="",7&lt;=F5)),1,0)+IF(AND(7&gt;=E33,OR(F33="",7&lt;=F33)),1,0)+IF(AND(7&gt;=E34,OR(F34="",7&lt;=F34)),1,0)+IF(AND(7&gt;=E42,OR(F42="",7&lt;=F42)),1,0)</f>
        <v>2</v>
      </c>
      <c r="N47" s="16" t="n">
        <f aca="false">IF(AND(8&gt;=E4,OR(F4="",8&lt;=F4)),1,0)+IF(AND(8&gt;=E5,OR(F5="",8&lt;=F5)),1,0)+IF(AND(8&gt;=E33,OR(F33="",8&lt;=F33)),1,0)+IF(AND(8&gt;=E34,OR(F34="",8&lt;=F34)),1,0)+IF(AND(8&gt;=E42,OR(F42="",8&lt;=F42)),1,0)</f>
        <v>2</v>
      </c>
      <c r="O47" s="16" t="n">
        <f aca="false">IF(AND(9&gt;=E4,OR(F4="",9&lt;=F4)),1,0)+IF(AND(9&gt;=E5,OR(F5="",9&lt;=F5)),1,0)+IF(AND(9&gt;=E33,OR(F33="",9&lt;=F33)),1,0)+IF(AND(9&gt;=E34,OR(F34="",9&lt;=F34)),1,0)+IF(AND(9&gt;=E42,OR(F42="",9&lt;=F42)),1,0)</f>
        <v>2</v>
      </c>
      <c r="P47" s="16" t="n">
        <f aca="false">IF(AND(10&gt;=E4,OR(F4="",10&lt;=F4)),1,0)+IF(AND(10&gt;=E5,OR(F5="",10&lt;=F5)),1,0)+IF(AND(10&gt;=E33,OR(F33="",10&lt;=F33)),1,0)+IF(AND(10&gt;=E34,OR(F34="",10&lt;=F34)),1,0)+IF(AND(10&gt;=E42,OR(F42="",10&lt;=F42)),1,0)</f>
        <v>2</v>
      </c>
      <c r="Q47" s="16" t="n">
        <f aca="false">IF(AND(11&gt;=E4,OR(F4="",11&lt;=F4)),1,0)+IF(AND(11&gt;=E5,OR(F5="",11&lt;=F5)),1,0)+IF(AND(11&gt;=E33,OR(F33="",11&lt;=F33)),1,0)+IF(AND(11&gt;=E34,OR(F34="",11&lt;=F34)),1,0)+IF(AND(11&gt;=E42,OR(F42="",11&lt;=F42)),1,0)</f>
        <v>2</v>
      </c>
      <c r="R47" s="16" t="n">
        <f aca="false">IF(AND(12&gt;=E4,OR(F4="",12&lt;=F4)),1,0)+IF(AND(12&gt;=E5,OR(F5="",12&lt;=F5)),1,0)+IF(AND(12&gt;=E33,OR(F33="",12&lt;=F33)),1,0)+IF(AND(12&gt;=E34,OR(F34="",12&lt;=F34)),1,0)+IF(AND(12&gt;=E42,OR(F42="",12&lt;=F42)),1,0)</f>
        <v>2</v>
      </c>
      <c r="S47" s="16" t="n">
        <f aca="false">IF(AND(13&gt;=E4,OR(F4="",13&lt;=F4)),1,0)+IF(AND(13&gt;=E5,OR(F5="",13&lt;=F5)),1,0)+IF(AND(13&gt;=E33,OR(F33="",13&lt;=F33)),1,0)+IF(AND(13&gt;=E34,OR(F34="",13&lt;=F34)),1,0)+IF(AND(13&gt;=E42,OR(F42="",13&lt;=F42)),1,0)</f>
        <v>2</v>
      </c>
      <c r="T47" s="16" t="n">
        <f aca="false">IF(AND(14&gt;=E4,OR(F4="",14&lt;=F4)),1,0)+IF(AND(14&gt;=E5,OR(F5="",14&lt;=F5)),1,0)+IF(AND(14&gt;=E33,OR(F33="",14&lt;=F33)),1,0)+IF(AND(14&gt;=E34,OR(F34="",14&lt;=F34)),1,0)+IF(AND(14&gt;=E42,OR(F42="",14&lt;=F42)),1,0)</f>
        <v>2</v>
      </c>
      <c r="U47" s="16" t="n">
        <f aca="false">IF(AND(15&gt;=E4,OR(F4="",15&lt;=F4)),1,0)+IF(AND(15&gt;=E5,OR(F5="",15&lt;=F5)),1,0)+IF(AND(15&gt;=E33,OR(F33="",15&lt;=F33)),1,0)+IF(AND(15&gt;=E34,OR(F34="",15&lt;=F34)),1,0)+IF(AND(15&gt;=E42,OR(F42="",15&lt;=F42)),1,0)</f>
        <v>2</v>
      </c>
      <c r="V47" s="16" t="n">
        <f aca="false">IF(AND(16&gt;=E4,OR(F4="",16&lt;=F4)),1,0)+IF(AND(16&gt;=E5,OR(F5="",16&lt;=F5)),1,0)+IF(AND(16&gt;=E33,OR(F33="",16&lt;=F33)),1,0)+IF(AND(16&gt;=E34,OR(F34="",16&lt;=F34)),1,0)+IF(AND(16&gt;=E42,OR(F42="",16&lt;=F42)),1,0)</f>
        <v>2</v>
      </c>
      <c r="W47" s="16" t="n">
        <f aca="false">IF(AND(17&gt;=E4,OR(F4="",17&lt;=F4)),1,0)+IF(AND(17&gt;=E5,OR(F5="",17&lt;=F5)),1,0)+IF(AND(17&gt;=E33,OR(F33="",17&lt;=F33)),1,0)+IF(AND(17&gt;=E34,OR(F34="",17&lt;=F34)),1,0)+IF(AND(17&gt;=E42,OR(F42="",17&lt;=F42)),1,0)</f>
        <v>2</v>
      </c>
      <c r="X47" s="16" t="n">
        <f aca="false">IF(AND(18&gt;=E4,OR(F4="",18&lt;=F4)),1,0)+IF(AND(18&gt;=E5,OR(F5="",18&lt;=F5)),1,0)+IF(AND(18&gt;=E33,OR(F33="",18&lt;=F33)),1,0)+IF(AND(18&gt;=E34,OR(F34="",18&lt;=F34)),1,0)+IF(AND(18&gt;=E42,OR(F42="",18&lt;=F42)),1,0)</f>
        <v>2</v>
      </c>
      <c r="Y47" s="16" t="n">
        <f aca="false">IF(AND(19&gt;=E4,OR(F4="",19&lt;=F4)),1,0)+IF(AND(19&gt;=E5,OR(F5="",19&lt;=F5)),1,0)+IF(AND(19&gt;=E33,OR(F33="",19&lt;=F33)),1,0)+IF(AND(19&gt;=E34,OR(F34="",19&lt;=F34)),1,0)+IF(AND(19&gt;=E42,OR(F42="",19&lt;=F42)),1,0)</f>
        <v>2</v>
      </c>
      <c r="Z47" s="16" t="n">
        <f aca="false">IF(AND(20&gt;=E4,OR(F4="",20&lt;=F4)),1,0)+IF(AND(20&gt;=E5,OR(F5="",20&lt;=F5)),1,0)+IF(AND(20&gt;=E33,OR(F33="",20&lt;=F33)),1,0)+IF(AND(20&gt;=E34,OR(F34="",20&lt;=F34)),1,0)+IF(AND(20&gt;=E42,OR(F42="",20&lt;=F42)),1,0)</f>
        <v>2</v>
      </c>
      <c r="AA47" s="16" t="n">
        <f aca="false">IF(AND(21&gt;=E4,OR(F4="",21&lt;=F4)),1,0)+IF(AND(21&gt;=E5,OR(F5="",21&lt;=F5)),1,0)+IF(AND(21&gt;=E33,OR(F33="",21&lt;=F33)),1,0)+IF(AND(21&gt;=E34,OR(F34="",21&lt;=F34)),1,0)+IF(AND(21&gt;=E42,OR(F42="",21&lt;=F42)),1,0)</f>
        <v>2</v>
      </c>
      <c r="AB47" s="16" t="n">
        <f aca="false">IF(AND(22&gt;=E4,OR(F4="",22&lt;=F4)),1,0)+IF(AND(22&gt;=E5,OR(F5="",22&lt;=F5)),1,0)+IF(AND(22&gt;=E33,OR(F33="",22&lt;=F33)),1,0)+IF(AND(22&gt;=E34,OR(F34="",22&lt;=F34)),1,0)+IF(AND(22&gt;=E42,OR(F42="",22&lt;=F42)),1,0)</f>
        <v>2</v>
      </c>
      <c r="AC47" s="16" t="n">
        <f aca="false">IF(AND(23&gt;=E4,OR(F4="",23&lt;=F4)),1,0)+IF(AND(23&gt;=E5,OR(F5="",23&lt;=F5)),1,0)+IF(AND(23&gt;=E33,OR(F33="",23&lt;=F33)),1,0)+IF(AND(23&gt;=E34,OR(F34="",23&lt;=F34)),1,0)+IF(AND(23&gt;=E42,OR(F42="",23&lt;=F42)),1,0)</f>
        <v>2</v>
      </c>
      <c r="AD47" s="16" t="n">
        <f aca="false">IF(AND(24&gt;=E4,OR(F4="",24&lt;=F4)),1,0)+IF(AND(24&gt;=E5,OR(F5="",24&lt;=F5)),1,0)+IF(AND(24&gt;=E33,OR(F33="",24&lt;=F33)),1,0)+IF(AND(24&gt;=E34,OR(F34="",24&lt;=F34)),1,0)+IF(AND(24&gt;=E42,OR(F42="",24&lt;=F42)),1,0)</f>
        <v>2</v>
      </c>
      <c r="AE47" s="16" t="n">
        <f aca="false">IF(AND(25&gt;=E4,OR(F4="",25&lt;=F4)),1,0)+IF(AND(25&gt;=E5,OR(F5="",25&lt;=F5)),1,0)+IF(AND(25&gt;=E33,OR(F33="",25&lt;=F33)),1,0)+IF(AND(25&gt;=E34,OR(F34="",25&lt;=F34)),1,0)+IF(AND(25&gt;=E42,OR(F42="",25&lt;=F42)),1,0)</f>
        <v>2</v>
      </c>
      <c r="AF47" s="16" t="n">
        <f aca="false">IF(AND(26&gt;=E4,OR(F4="",26&lt;=F4)),1,0)+IF(AND(26&gt;=E5,OR(F5="",26&lt;=F5)),1,0)+IF(AND(26&gt;=E33,OR(F33="",26&lt;=F33)),1,0)+IF(AND(26&gt;=E34,OR(F34="",26&lt;=F34)),1,0)+IF(AND(26&gt;=E42,OR(F42="",26&lt;=F42)),1,0)</f>
        <v>2</v>
      </c>
      <c r="AG47" s="16" t="n">
        <f aca="false">IF(AND(27&gt;=E4,OR(F4="",27&lt;=F4)),1,0)+IF(AND(27&gt;=E5,OR(F5="",27&lt;=F5)),1,0)+IF(AND(27&gt;=E33,OR(F33="",27&lt;=F33)),1,0)+IF(AND(27&gt;=E34,OR(F34="",27&lt;=F34)),1,0)+IF(AND(27&gt;=E42,OR(F42="",27&lt;=F42)),1,0)</f>
        <v>2</v>
      </c>
      <c r="AH47" s="16" t="n">
        <f aca="false">IF(AND(28&gt;=E4,OR(F4="",28&lt;=F4)),1,0)+IF(AND(28&gt;=E5,OR(F5="",28&lt;=F5)),1,0)+IF(AND(28&gt;=E33,OR(F33="",28&lt;=F33)),1,0)+IF(AND(28&gt;=E34,OR(F34="",28&lt;=F34)),1,0)+IF(AND(28&gt;=E42,OR(F42="",28&lt;=F42)),1,0)</f>
        <v>2</v>
      </c>
      <c r="AI47" s="16" t="n">
        <f aca="false">IF(AND(29&gt;=E4,OR(F4="",29&lt;=F4)),1,0)+IF(AND(29&gt;=E5,OR(F5="",29&lt;=F5)),1,0)+IF(AND(29&gt;=E33,OR(F33="",29&lt;=F33)),1,0)+IF(AND(29&gt;=E34,OR(F34="",29&lt;=F34)),1,0)+IF(AND(29&gt;=E42,OR(F42="",29&lt;=F42)),1,0)</f>
        <v>2</v>
      </c>
      <c r="AJ47" s="16" t="n">
        <f aca="false">IF(AND(30&gt;=E4,OR(F4="",30&lt;=F4)),1,0)+IF(AND(30&gt;=E5,OR(F5="",30&lt;=F5)),1,0)+IF(AND(30&gt;=E33,OR(F33="",30&lt;=F33)),1,0)+IF(AND(30&gt;=E34,OR(F34="",30&lt;=F34)),1,0)+IF(AND(30&gt;=E42,OR(F42="",30&lt;=F42)),1,0)</f>
        <v>2</v>
      </c>
      <c r="AK47" s="16" t="n">
        <f aca="false">IF(AND(31&gt;=E4,OR(F4="",31&lt;=F4)),1,0)+IF(AND(31&gt;=E5,OR(F5="",31&lt;=F5)),1,0)+IF(AND(31&gt;=E33,OR(F33="",31&lt;=F33)),1,0)+IF(AND(31&gt;=E34,OR(F34="",31&lt;=F34)),1,0)+IF(AND(31&gt;=E42,OR(F42="",31&lt;=F42)),1,0)</f>
        <v>2</v>
      </c>
      <c r="AL47" s="16" t="n">
        <f aca="false">IF(AND(32&gt;=E4,OR(F4="",32&lt;=F4)),1,0)+IF(AND(32&gt;=E5,OR(F5="",32&lt;=F5)),1,0)+IF(AND(32&gt;=E33,OR(F33="",32&lt;=F33)),1,0)+IF(AND(32&gt;=E34,OR(F34="",32&lt;=F34)),1,0)+IF(AND(32&gt;=E42,OR(F42="",32&lt;=F42)),1,0)</f>
        <v>2</v>
      </c>
      <c r="AM47" s="16" t="n">
        <f aca="false">IF(AND(33&gt;=E4,OR(F4="",33&lt;=F4)),1,0)+IF(AND(33&gt;=E5,OR(F5="",33&lt;=F5)),1,0)+IF(AND(33&gt;=E33,OR(F33="",33&lt;=F33)),1,0)+IF(AND(33&gt;=E34,OR(F34="",33&lt;=F34)),1,0)+IF(AND(33&gt;=E42,OR(F42="",33&lt;=F42)),1,0)</f>
        <v>2</v>
      </c>
      <c r="AN47" s="16" t="n">
        <f aca="false">IF(AND(34&gt;=E4,OR(F4="",34&lt;=F4)),1,0)+IF(AND(34&gt;=E5,OR(F5="",34&lt;=F5)),1,0)+IF(AND(34&gt;=E33,OR(F33="",34&lt;=F33)),1,0)+IF(AND(34&gt;=E34,OR(F34="",34&lt;=F34)),1,0)+IF(AND(34&gt;=E42,OR(F42="",34&lt;=F42)),1,0)</f>
        <v>2</v>
      </c>
      <c r="AO47" s="16" t="n">
        <f aca="false">IF(AND(35&gt;=E4,OR(F4="",35&lt;=F4)),1,0)+IF(AND(35&gt;=E5,OR(F5="",35&lt;=F5)),1,0)+IF(AND(35&gt;=E33,OR(F33="",35&lt;=F33)),1,0)+IF(AND(35&gt;=E34,OR(F34="",35&lt;=F34)),1,0)+IF(AND(35&gt;=E42,OR(F42="",35&lt;=F42)),1,0)</f>
        <v>2</v>
      </c>
      <c r="AP47" s="16" t="n">
        <f aca="false">IF(AND(36&gt;=E4,OR(F4="",36&lt;=F4)),1,0)+IF(AND(36&gt;=E5,OR(F5="",36&lt;=F5)),1,0)+IF(AND(36&gt;=E33,OR(F33="",36&lt;=F33)),1,0)+IF(AND(36&gt;=E34,OR(F34="",36&lt;=F34)),1,0)+IF(AND(36&gt;=E42,OR(F42="",36&lt;=F42)),1,0)</f>
        <v>2</v>
      </c>
      <c r="AQ47" s="16" t="n">
        <f aca="false">IF(AND(37&gt;=E4,OR(F4="",37&lt;=F4)),1,0)+IF(AND(37&gt;=E5,OR(F5="",37&lt;=F5)),1,0)+IF(AND(37&gt;=E33,OR(F33="",37&lt;=F33)),1,0)+IF(AND(37&gt;=E34,OR(F34="",37&lt;=F34)),1,0)+IF(AND(37&gt;=E42,OR(F42="",37&lt;=F42)),1,0)</f>
        <v>2</v>
      </c>
      <c r="AR47" s="16" t="n">
        <f aca="false">IF(AND(38&gt;=E4,OR(F4="",38&lt;=F4)),1,0)+IF(AND(38&gt;=E5,OR(F5="",38&lt;=F5)),1,0)+IF(AND(38&gt;=E33,OR(F33="",38&lt;=F33)),1,0)+IF(AND(38&gt;=E34,OR(F34="",38&lt;=F34)),1,0)+IF(AND(38&gt;=E42,OR(F42="",38&lt;=F42)),1,0)</f>
        <v>2</v>
      </c>
      <c r="AS47" s="16" t="n">
        <f aca="false">IF(AND(39&gt;=E4,OR(F4="",39&lt;=F4)),1,0)+IF(AND(39&gt;=E5,OR(F5="",39&lt;=F5)),1,0)+IF(AND(39&gt;=E33,OR(F33="",39&lt;=F33)),1,0)+IF(AND(39&gt;=E34,OR(F34="",39&lt;=F34)),1,0)+IF(AND(39&gt;=E42,OR(F42="",39&lt;=F42)),1,0)</f>
        <v>2</v>
      </c>
      <c r="AT47" s="16" t="n">
        <f aca="false">IF(AND(40&gt;=E4,OR(F4="",40&lt;=F4)),1,0)+IF(AND(40&gt;=E5,OR(F5="",40&lt;=F5)),1,0)+IF(AND(40&gt;=E33,OR(F33="",40&lt;=F33)),1,0)+IF(AND(40&gt;=E34,OR(F34="",40&lt;=F34)),1,0)+IF(AND(40&gt;=E42,OR(F42="",40&lt;=F42)),1,0)</f>
        <v>2</v>
      </c>
      <c r="AU47" s="16" t="n">
        <f aca="false">IF(AND(41&gt;=E4,OR(F4="",41&lt;=F4)),1,0)+IF(AND(41&gt;=E5,OR(F5="",41&lt;=F5)),1,0)+IF(AND(41&gt;=E33,OR(F33="",41&lt;=F33)),1,0)+IF(AND(41&gt;=E34,OR(F34="",41&lt;=F34)),1,0)+IF(AND(41&gt;=E42,OR(F42="",41&lt;=F42)),1,0)</f>
        <v>2</v>
      </c>
      <c r="AV47" s="16" t="n">
        <f aca="false">IF(AND(42&gt;=E4,OR(F4="",42&lt;=F4)),1,0)+IF(AND(42&gt;=E5,OR(F5="",42&lt;=F5)),1,0)+IF(AND(42&gt;=E33,OR(F33="",42&lt;=F33)),1,0)+IF(AND(42&gt;=E34,OR(F34="",42&lt;=F34)),1,0)+IF(AND(42&gt;=E42,OR(F42="",42&lt;=F42)),1,0)</f>
        <v>3</v>
      </c>
      <c r="AW47" s="16" t="n">
        <f aca="false">IF(AND(43&gt;=E4,OR(F4="",43&lt;=F4)),1,0)+IF(AND(43&gt;=E5,OR(F5="",43&lt;=F5)),1,0)+IF(AND(43&gt;=E33,OR(F33="",43&lt;=F33)),1,0)+IF(AND(43&gt;=E34,OR(F34="",43&lt;=F34)),1,0)+IF(AND(43&gt;=E42,OR(F42="",43&lt;=F42)),1,0)</f>
        <v>3</v>
      </c>
      <c r="AX47" s="16" t="n">
        <f aca="false">IF(AND(44&gt;=E4,OR(F4="",44&lt;=F4)),1,0)+IF(AND(44&gt;=E5,OR(F5="",44&lt;=F5)),1,0)+IF(AND(44&gt;=E33,OR(F33="",44&lt;=F33)),1,0)+IF(AND(44&gt;=E34,OR(F34="",44&lt;=F34)),1,0)+IF(AND(44&gt;=E42,OR(F42="",44&lt;=F42)),1,0)</f>
        <v>4</v>
      </c>
      <c r="AY47" s="16" t="n">
        <f aca="false">IF(AND(45&gt;=E4,OR(F4="",45&lt;=F4)),1,0)+IF(AND(45&gt;=E5,OR(F5="",45&lt;=F5)),1,0)+IF(AND(45&gt;=E33,OR(F33="",45&lt;=F33)),1,0)+IF(AND(45&gt;=E34,OR(F34="",45&lt;=F34)),1,0)+IF(AND(45&gt;=E42,OR(F42="",45&lt;=F42)),1,0)</f>
        <v>4</v>
      </c>
      <c r="AZ47" s="16" t="n">
        <f aca="false">IF(AND(46&gt;=E4,OR(F4="",46&lt;=F4)),1,0)+IF(AND(46&gt;=E5,OR(F5="",46&lt;=F5)),1,0)+IF(AND(46&gt;=E33,OR(F33="",46&lt;=F33)),1,0)+IF(AND(46&gt;=E34,OR(F34="",46&lt;=F34)),1,0)+IF(AND(46&gt;=E42,OR(F42="",46&lt;=F42)),1,0)</f>
        <v>4</v>
      </c>
      <c r="BA47" s="16" t="n">
        <f aca="false">IF(AND(47&gt;=E4,OR(F4="",47&lt;=F4)),1,0)+IF(AND(47&gt;=E5,OR(F5="",47&lt;=F5)),1,0)+IF(AND(47&gt;=E33,OR(F33="",47&lt;=F33)),1,0)+IF(AND(47&gt;=E34,OR(F34="",47&lt;=F34)),1,0)+IF(AND(47&gt;=E42,OR(F42="",47&lt;=F42)),1,0)</f>
        <v>4</v>
      </c>
      <c r="BB47" s="16" t="n">
        <f aca="false">IF(AND(48&gt;=E4,OR(F4="",48&lt;=F4)),1,0)+IF(AND(48&gt;=E5,OR(F5="",48&lt;=F5)),1,0)+IF(AND(48&gt;=E33,OR(F33="",48&lt;=F33)),1,0)+IF(AND(48&gt;=E34,OR(F34="",48&lt;=F34)),1,0)+IF(AND(48&gt;=E42,OR(F42="",48&lt;=F42)),1,0)</f>
        <v>4</v>
      </c>
      <c r="BC47" s="16" t="n">
        <f aca="false">IF(AND(49&gt;=E4,OR(F4="",49&lt;=F4)),1,0)+IF(AND(49&gt;=E5,OR(F5="",49&lt;=F5)),1,0)+IF(AND(49&gt;=E33,OR(F33="",49&lt;=F33)),1,0)+IF(AND(49&gt;=E34,OR(F34="",49&lt;=F34)),1,0)+IF(AND(49&gt;=E42,OR(F42="",49&lt;=F42)),1,0)</f>
        <v>4</v>
      </c>
      <c r="BD47" s="16" t="n">
        <f aca="false">IF(AND(50&gt;=E4,OR(F4="",50&lt;=F4)),1,0)+IF(AND(50&gt;=E5,OR(F5="",50&lt;=F5)),1,0)+IF(AND(50&gt;=E33,OR(F33="",50&lt;=F33)),1,0)+IF(AND(50&gt;=E34,OR(F34="",50&lt;=F34)),1,0)+IF(AND(50&gt;=E42,OR(F42="",50&lt;=F42)),1,0)</f>
        <v>4</v>
      </c>
      <c r="BE47" s="16" t="n">
        <f aca="false">IF(AND(51&gt;=E4,OR(F4="",51&lt;=F4)),1,0)+IF(AND(51&gt;=E5,OR(F5="",51&lt;=F5)),1,0)+IF(AND(51&gt;=E33,OR(F33="",51&lt;=F33)),1,0)+IF(AND(51&gt;=E34,OR(F34="",51&lt;=F34)),1,0)+IF(AND(51&gt;=E42,OR(F42="",51&lt;=F42)),1,0)</f>
        <v>4</v>
      </c>
      <c r="BF47" s="16" t="n">
        <f aca="false">IF(AND(52&gt;=E4,OR(F4="",52&lt;=F4)),1,0)+IF(AND(52&gt;=E5,OR(F5="",52&lt;=F5)),1,0)+IF(AND(52&gt;=E33,OR(F33="",52&lt;=F33)),1,0)+IF(AND(52&gt;=E34,OR(F34="",52&lt;=F34)),1,0)+IF(AND(52&gt;=E42,OR(F42="",52&lt;=F42)),1,0)</f>
        <v>4</v>
      </c>
      <c r="BG47" s="16" t="n">
        <f aca="false">IF(AND(53&gt;=E4,OR(F4="",53&lt;=F4)),1,0)+IF(AND(53&gt;=E5,OR(F5="",53&lt;=F5)),1,0)+IF(AND(53&gt;=E33,OR(F33="",53&lt;=F33)),1,0)+IF(AND(53&gt;=E34,OR(F34="",53&lt;=F34)),1,0)+IF(AND(53&gt;=E42,OR(F42="",53&lt;=F42)),1,0)</f>
        <v>4</v>
      </c>
      <c r="BH47" s="16" t="n">
        <f aca="false">IF(AND(54&gt;=E4,OR(F4="",54&lt;=F4)),1,0)+IF(AND(54&gt;=E5,OR(F5="",54&lt;=F5)),1,0)+IF(AND(54&gt;=E33,OR(F33="",54&lt;=F33)),1,0)+IF(AND(54&gt;=E34,OR(F34="",54&lt;=F34)),1,0)+IF(AND(54&gt;=E42,OR(F42="",54&lt;=F42)),1,0)</f>
        <v>4</v>
      </c>
      <c r="BI47" s="16" t="n">
        <f aca="false">IF(AND(55&gt;=E4,OR(F4="",55&lt;=F4)),1,0)+IF(AND(55&gt;=E5,OR(F5="",55&lt;=F5)),1,0)+IF(AND(55&gt;=E33,OR(F33="",55&lt;=F33)),1,0)+IF(AND(55&gt;=E34,OR(F34="",55&lt;=F34)),1,0)+IF(AND(55&gt;=E42,OR(F42="",55&lt;=F42)),1,0)</f>
        <v>4</v>
      </c>
      <c r="BJ47" s="16" t="n">
        <f aca="false">IF(AND(56&gt;=E4,OR(F4="",56&lt;=F4)),1,0)+IF(AND(56&gt;=E5,OR(F5="",56&lt;=F5)),1,0)+IF(AND(56&gt;=E33,OR(F33="",56&lt;=F33)),1,0)+IF(AND(56&gt;=E34,OR(F34="",56&lt;=F34)),1,0)+IF(AND(56&gt;=E42,OR(F42="",56&lt;=F42)),1,0)</f>
        <v>4</v>
      </c>
      <c r="BK47" s="16" t="n">
        <f aca="false">IF(AND(57&gt;=E4,OR(F4="",57&lt;=F4)),1,0)+IF(AND(57&gt;=E5,OR(F5="",57&lt;=F5)),1,0)+IF(AND(57&gt;=E33,OR(F33="",57&lt;=F33)),1,0)+IF(AND(57&gt;=E34,OR(F34="",57&lt;=F34)),1,0)+IF(AND(57&gt;=E42,OR(F42="",57&lt;=F42)),1,0)</f>
        <v>4</v>
      </c>
      <c r="BL47" s="16" t="n">
        <f aca="false">IF(AND(58&gt;=E4,OR(F4="",58&lt;=F4)),1,0)+IF(AND(58&gt;=E5,OR(F5="",58&lt;=F5)),1,0)+IF(AND(58&gt;=E33,OR(F33="",58&lt;=F33)),1,0)+IF(AND(58&gt;=E34,OR(F34="",58&lt;=F34)),1,0)+IF(AND(58&gt;=E42,OR(F42="",58&lt;=F42)),1,0)</f>
        <v>4</v>
      </c>
      <c r="BM47" s="16" t="n">
        <f aca="false">IF(AND(59&gt;=E4,OR(F4="",59&lt;=F4)),1,0)+IF(AND(59&gt;=E5,OR(F5="",59&lt;=F5)),1,0)+IF(AND(59&gt;=E33,OR(F33="",59&lt;=F33)),1,0)+IF(AND(59&gt;=E34,OR(F34="",59&lt;=F34)),1,0)+IF(AND(59&gt;=E42,OR(F42="",59&lt;=F42)),1,0)</f>
        <v>4</v>
      </c>
      <c r="BN47" s="16" t="n">
        <f aca="false">IF(AND(60&gt;=E4,OR(F4="",60&lt;=F4)),1,0)+IF(AND(60&gt;=E5,OR(F5="",60&lt;=F5)),1,0)+IF(AND(60&gt;=E33,OR(F33="",60&lt;=F33)),1,0)+IF(AND(60&gt;=E34,OR(F34="",60&lt;=F34)),1,0)+IF(AND(60&gt;=E42,OR(F42="",60&lt;=F42)),1,0)</f>
        <v>5</v>
      </c>
    </row>
    <row r="48" customFormat="false" ht="14.25" hidden="false" customHeight="false" outlineLevel="0" collapsed="false">
      <c r="B48" s="7" t="s">
        <v>387</v>
      </c>
      <c r="G48" s="16" t="n">
        <f aca="false">IF(AND(1&gt;=E6,OR(F6="",1&lt;=F6)),1,0)+IF(AND(1&gt;=E8,OR(F8="",1&lt;=F8)),1,0)+IF(AND(1&gt;=E10,OR(F10="",1&lt;=F10)),1,0)+IF(AND(1&gt;=E13,OR(F13="",1&lt;=F13)),1,0)+IF(AND(1&gt;=E14,OR(F14="",1&lt;=F14)),1,0)+IF(AND(1&gt;=E17,OR(F17="",1&lt;=F17)),1,0)+IF(AND(1&gt;=E22,OR(F22="",1&lt;=F22)),1,0)+IF(AND(1&gt;=E25,OR(F25="",1&lt;=F25)),1,0)+IF(AND(1&gt;=E26,OR(F26="",1&lt;=F26)),1,0)+IF(AND(1&gt;=E29,OR(F29="",1&lt;=F29)),1,0)+IF(AND(1&gt;=E32,OR(F32="",1&lt;=F32)),1,0)+IF(AND(1&gt;=E37,OR(F37="",1&lt;=F37)),1,0)+IF(AND(1&gt;=E39,OR(F39="",1&lt;=F39)),1,0)</f>
        <v>1</v>
      </c>
      <c r="H48" s="16" t="n">
        <f aca="false">IF(AND(2&gt;=E6,OR(F6="",2&lt;=F6)),1,0)+IF(AND(2&gt;=E8,OR(F8="",2&lt;=F8)),1,0)+IF(AND(2&gt;=E10,OR(F10="",2&lt;=F10)),1,0)+IF(AND(2&gt;=E13,OR(F13="",2&lt;=F13)),1,0)+IF(AND(2&gt;=E14,OR(F14="",2&lt;=F14)),1,0)+IF(AND(2&gt;=E17,OR(F17="",2&lt;=F17)),1,0)+IF(AND(2&gt;=E22,OR(F22="",2&lt;=F22)),1,0)+IF(AND(2&gt;=E25,OR(F25="",2&lt;=F25)),1,0)+IF(AND(2&gt;=E26,OR(F26="",2&lt;=F26)),1,0)+IF(AND(2&gt;=E29,OR(F29="",2&lt;=F29)),1,0)+IF(AND(2&gt;=E32,OR(F32="",2&lt;=F32)),1,0)+IF(AND(2&gt;=E37,OR(F37="",2&lt;=F37)),1,0)+IF(AND(2&gt;=E39,OR(F39="",2&lt;=F39)),1,0)</f>
        <v>2</v>
      </c>
      <c r="I48" s="16" t="n">
        <f aca="false">IF(AND(3&gt;=E6,OR(F6="",3&lt;=F6)),1,0)+IF(AND(3&gt;=E8,OR(F8="",3&lt;=F8)),1,0)+IF(AND(3&gt;=E10,OR(F10="",3&lt;=F10)),1,0)+IF(AND(3&gt;=E13,OR(F13="",3&lt;=F13)),1,0)+IF(AND(3&gt;=E14,OR(F14="",3&lt;=F14)),1,0)+IF(AND(3&gt;=E17,OR(F17="",3&lt;=F17)),1,0)+IF(AND(3&gt;=E22,OR(F22="",3&lt;=F22)),1,0)+IF(AND(3&gt;=E25,OR(F25="",3&lt;=F25)),1,0)+IF(AND(3&gt;=E26,OR(F26="",3&lt;=F26)),1,0)+IF(AND(3&gt;=E29,OR(F29="",3&lt;=F29)),1,0)+IF(AND(3&gt;=E32,OR(F32="",3&lt;=F32)),1,0)+IF(AND(3&gt;=E37,OR(F37="",3&lt;=F37)),1,0)+IF(AND(3&gt;=E39,OR(F39="",3&lt;=F39)),1,0)</f>
        <v>2</v>
      </c>
      <c r="J48" s="16" t="n">
        <f aca="false">IF(AND(4&gt;=E6,OR(F6="",4&lt;=F6)),1,0)+IF(AND(4&gt;=E8,OR(F8="",4&lt;=F8)),1,0)+IF(AND(4&gt;=E10,OR(F10="",4&lt;=F10)),1,0)+IF(AND(4&gt;=E13,OR(F13="",4&lt;=F13)),1,0)+IF(AND(4&gt;=E14,OR(F14="",4&lt;=F14)),1,0)+IF(AND(4&gt;=E17,OR(F17="",4&lt;=F17)),1,0)+IF(AND(4&gt;=E22,OR(F22="",4&lt;=F22)),1,0)+IF(AND(4&gt;=E25,OR(F25="",4&lt;=F25)),1,0)+IF(AND(4&gt;=E26,OR(F26="",4&lt;=F26)),1,0)+IF(AND(4&gt;=E29,OR(F29="",4&lt;=F29)),1,0)+IF(AND(4&gt;=E32,OR(F32="",4&lt;=F32)),1,0)+IF(AND(4&gt;=E37,OR(F37="",4&lt;=F37)),1,0)+IF(AND(4&gt;=E39,OR(F39="",4&lt;=F39)),1,0)</f>
        <v>3</v>
      </c>
      <c r="K48" s="16" t="n">
        <f aca="false">IF(AND(5&gt;=E6,OR(F6="",5&lt;=F6)),1,0)+IF(AND(5&gt;=E8,OR(F8="",5&lt;=F8)),1,0)+IF(AND(5&gt;=E10,OR(F10="",5&lt;=F10)),1,0)+IF(AND(5&gt;=E13,OR(F13="",5&lt;=F13)),1,0)+IF(AND(5&gt;=E14,OR(F14="",5&lt;=F14)),1,0)+IF(AND(5&gt;=E17,OR(F17="",5&lt;=F17)),1,0)+IF(AND(5&gt;=E22,OR(F22="",5&lt;=F22)),1,0)+IF(AND(5&gt;=E25,OR(F25="",5&lt;=F25)),1,0)+IF(AND(5&gt;=E26,OR(F26="",5&lt;=F26)),1,0)+IF(AND(5&gt;=E29,OR(F29="",5&lt;=F29)),1,0)+IF(AND(5&gt;=E32,OR(F32="",5&lt;=F32)),1,0)+IF(AND(5&gt;=E37,OR(F37="",5&lt;=F37)),1,0)+IF(AND(5&gt;=E39,OR(F39="",5&lt;=F39)),1,0)</f>
        <v>3</v>
      </c>
      <c r="L48" s="16" t="n">
        <f aca="false">IF(AND(6&gt;=E6,OR(F6="",6&lt;=F6)),1,0)+IF(AND(6&gt;=E8,OR(F8="",6&lt;=F8)),1,0)+IF(AND(6&gt;=E10,OR(F10="",6&lt;=F10)),1,0)+IF(AND(6&gt;=E13,OR(F13="",6&lt;=F13)),1,0)+IF(AND(6&gt;=E14,OR(F14="",6&lt;=F14)),1,0)+IF(AND(6&gt;=E17,OR(F17="",6&lt;=F17)),1,0)+IF(AND(6&gt;=E22,OR(F22="",6&lt;=F22)),1,0)+IF(AND(6&gt;=E25,OR(F25="",6&lt;=F25)),1,0)+IF(AND(6&gt;=E26,OR(F26="",6&lt;=F26)),1,0)+IF(AND(6&gt;=E29,OR(F29="",6&lt;=F29)),1,0)+IF(AND(6&gt;=E32,OR(F32="",6&lt;=F32)),1,0)+IF(AND(6&gt;=E37,OR(F37="",6&lt;=F37)),1,0)+IF(AND(6&gt;=E39,OR(F39="",6&lt;=F39)),1,0)</f>
        <v>4</v>
      </c>
      <c r="M48" s="16" t="n">
        <f aca="false">IF(AND(7&gt;=E6,OR(F6="",7&lt;=F6)),1,0)+IF(AND(7&gt;=E8,OR(F8="",7&lt;=F8)),1,0)+IF(AND(7&gt;=E10,OR(F10="",7&lt;=F10)),1,0)+IF(AND(7&gt;=E13,OR(F13="",7&lt;=F13)),1,0)+IF(AND(7&gt;=E14,OR(F14="",7&lt;=F14)),1,0)+IF(AND(7&gt;=E17,OR(F17="",7&lt;=F17)),1,0)+IF(AND(7&gt;=E22,OR(F22="",7&lt;=F22)),1,0)+IF(AND(7&gt;=E25,OR(F25="",7&lt;=F25)),1,0)+IF(AND(7&gt;=E26,OR(F26="",7&lt;=F26)),1,0)+IF(AND(7&gt;=E29,OR(F29="",7&lt;=F29)),1,0)+IF(AND(7&gt;=E32,OR(F32="",7&lt;=F32)),1,0)+IF(AND(7&gt;=E37,OR(F37="",7&lt;=F37)),1,0)+IF(AND(7&gt;=E39,OR(F39="",7&lt;=F39)),1,0)</f>
        <v>4</v>
      </c>
      <c r="N48" s="16" t="n">
        <f aca="false">IF(AND(8&gt;=E6,OR(F6="",8&lt;=F6)),1,0)+IF(AND(8&gt;=E8,OR(F8="",8&lt;=F8)),1,0)+IF(AND(8&gt;=E10,OR(F10="",8&lt;=F10)),1,0)+IF(AND(8&gt;=E13,OR(F13="",8&lt;=F13)),1,0)+IF(AND(8&gt;=E14,OR(F14="",8&lt;=F14)),1,0)+IF(AND(8&gt;=E17,OR(F17="",8&lt;=F17)),1,0)+IF(AND(8&gt;=E22,OR(F22="",8&lt;=F22)),1,0)+IF(AND(8&gt;=E25,OR(F25="",8&lt;=F25)),1,0)+IF(AND(8&gt;=E26,OR(F26="",8&lt;=F26)),1,0)+IF(AND(8&gt;=E29,OR(F29="",8&lt;=F29)),1,0)+IF(AND(8&gt;=E32,OR(F32="",8&lt;=F32)),1,0)+IF(AND(8&gt;=E37,OR(F37="",8&lt;=F37)),1,0)+IF(AND(8&gt;=E39,OR(F39="",8&lt;=F39)),1,0)</f>
        <v>4</v>
      </c>
      <c r="O48" s="16" t="n">
        <f aca="false">IF(AND(9&gt;=E6,OR(F6="",9&lt;=F6)),1,0)+IF(AND(9&gt;=E8,OR(F8="",9&lt;=F8)),1,0)+IF(AND(9&gt;=E10,OR(F10="",9&lt;=F10)),1,0)+IF(AND(9&gt;=E13,OR(F13="",9&lt;=F13)),1,0)+IF(AND(9&gt;=E14,OR(F14="",9&lt;=F14)),1,0)+IF(AND(9&gt;=E17,OR(F17="",9&lt;=F17)),1,0)+IF(AND(9&gt;=E22,OR(F22="",9&lt;=F22)),1,0)+IF(AND(9&gt;=E25,OR(F25="",9&lt;=F25)),1,0)+IF(AND(9&gt;=E26,OR(F26="",9&lt;=F26)),1,0)+IF(AND(9&gt;=E29,OR(F29="",9&lt;=F29)),1,0)+IF(AND(9&gt;=E32,OR(F32="",9&lt;=F32)),1,0)+IF(AND(9&gt;=E37,OR(F37="",9&lt;=F37)),1,0)+IF(AND(9&gt;=E39,OR(F39="",9&lt;=F39)),1,0)</f>
        <v>5</v>
      </c>
      <c r="P48" s="16" t="n">
        <f aca="false">IF(AND(10&gt;=E6,OR(F6="",10&lt;=F6)),1,0)+IF(AND(10&gt;=E8,OR(F8="",10&lt;=F8)),1,0)+IF(AND(10&gt;=E10,OR(F10="",10&lt;=F10)),1,0)+IF(AND(10&gt;=E13,OR(F13="",10&lt;=F13)),1,0)+IF(AND(10&gt;=E14,OR(F14="",10&lt;=F14)),1,0)+IF(AND(10&gt;=E17,OR(F17="",10&lt;=F17)),1,0)+IF(AND(10&gt;=E22,OR(F22="",10&lt;=F22)),1,0)+IF(AND(10&gt;=E25,OR(F25="",10&lt;=F25)),1,0)+IF(AND(10&gt;=E26,OR(F26="",10&lt;=F26)),1,0)+IF(AND(10&gt;=E29,OR(F29="",10&lt;=F29)),1,0)+IF(AND(10&gt;=E32,OR(F32="",10&lt;=F32)),1,0)+IF(AND(10&gt;=E37,OR(F37="",10&lt;=F37)),1,0)+IF(AND(10&gt;=E39,OR(F39="",10&lt;=F39)),1,0)</f>
        <v>5</v>
      </c>
      <c r="Q48" s="16" t="n">
        <f aca="false">IF(AND(11&gt;=E6,OR(F6="",11&lt;=F6)),1,0)+IF(AND(11&gt;=E8,OR(F8="",11&lt;=F8)),1,0)+IF(AND(11&gt;=E10,OR(F10="",11&lt;=F10)),1,0)+IF(AND(11&gt;=E13,OR(F13="",11&lt;=F13)),1,0)+IF(AND(11&gt;=E14,OR(F14="",11&lt;=F14)),1,0)+IF(AND(11&gt;=E17,OR(F17="",11&lt;=F17)),1,0)+IF(AND(11&gt;=E22,OR(F22="",11&lt;=F22)),1,0)+IF(AND(11&gt;=E25,OR(F25="",11&lt;=F25)),1,0)+IF(AND(11&gt;=E26,OR(F26="",11&lt;=F26)),1,0)+IF(AND(11&gt;=E29,OR(F29="",11&lt;=F29)),1,0)+IF(AND(11&gt;=E32,OR(F32="",11&lt;=F32)),1,0)+IF(AND(11&gt;=E37,OR(F37="",11&lt;=F37)),1,0)+IF(AND(11&gt;=E39,OR(F39="",11&lt;=F39)),1,0)</f>
        <v>5</v>
      </c>
      <c r="R48" s="16" t="n">
        <f aca="false">IF(AND(12&gt;=E6,OR(F6="",12&lt;=F6)),1,0)+IF(AND(12&gt;=E8,OR(F8="",12&lt;=F8)),1,0)+IF(AND(12&gt;=E10,OR(F10="",12&lt;=F10)),1,0)+IF(AND(12&gt;=E13,OR(F13="",12&lt;=F13)),1,0)+IF(AND(12&gt;=E14,OR(F14="",12&lt;=F14)),1,0)+IF(AND(12&gt;=E17,OR(F17="",12&lt;=F17)),1,0)+IF(AND(12&gt;=E22,OR(F22="",12&lt;=F22)),1,0)+IF(AND(12&gt;=E25,OR(F25="",12&lt;=F25)),1,0)+IF(AND(12&gt;=E26,OR(F26="",12&lt;=F26)),1,0)+IF(AND(12&gt;=E29,OR(F29="",12&lt;=F29)),1,0)+IF(AND(12&gt;=E32,OR(F32="",12&lt;=F32)),1,0)+IF(AND(12&gt;=E37,OR(F37="",12&lt;=F37)),1,0)+IF(AND(12&gt;=E39,OR(F39="",12&lt;=F39)),1,0)</f>
        <v>6</v>
      </c>
      <c r="S48" s="16" t="n">
        <f aca="false">IF(AND(13&gt;=E6,OR(F6="",13&lt;=F6)),1,0)+IF(AND(13&gt;=E8,OR(F8="",13&lt;=F8)),1,0)+IF(AND(13&gt;=E10,OR(F10="",13&lt;=F10)),1,0)+IF(AND(13&gt;=E13,OR(F13="",13&lt;=F13)),1,0)+IF(AND(13&gt;=E14,OR(F14="",13&lt;=F14)),1,0)+IF(AND(13&gt;=E17,OR(F17="",13&lt;=F17)),1,0)+IF(AND(13&gt;=E22,OR(F22="",13&lt;=F22)),1,0)+IF(AND(13&gt;=E25,OR(F25="",13&lt;=F25)),1,0)+IF(AND(13&gt;=E26,OR(F26="",13&lt;=F26)),1,0)+IF(AND(13&gt;=E29,OR(F29="",13&lt;=F29)),1,0)+IF(AND(13&gt;=E32,OR(F32="",13&lt;=F32)),1,0)+IF(AND(13&gt;=E37,OR(F37="",13&lt;=F37)),1,0)+IF(AND(13&gt;=E39,OR(F39="",13&lt;=F39)),1,0)</f>
        <v>6</v>
      </c>
      <c r="T48" s="16" t="n">
        <f aca="false">IF(AND(14&gt;=E6,OR(F6="",14&lt;=F6)),1,0)+IF(AND(14&gt;=E8,OR(F8="",14&lt;=F8)),1,0)+IF(AND(14&gt;=E10,OR(F10="",14&lt;=F10)),1,0)+IF(AND(14&gt;=E13,OR(F13="",14&lt;=F13)),1,0)+IF(AND(14&gt;=E14,OR(F14="",14&lt;=F14)),1,0)+IF(AND(14&gt;=E17,OR(F17="",14&lt;=F17)),1,0)+IF(AND(14&gt;=E22,OR(F22="",14&lt;=F22)),1,0)+IF(AND(14&gt;=E25,OR(F25="",14&lt;=F25)),1,0)+IF(AND(14&gt;=E26,OR(F26="",14&lt;=F26)),1,0)+IF(AND(14&gt;=E29,OR(F29="",14&lt;=F29)),1,0)+IF(AND(14&gt;=E32,OR(F32="",14&lt;=F32)),1,0)+IF(AND(14&gt;=E37,OR(F37="",14&lt;=F37)),1,0)+IF(AND(14&gt;=E39,OR(F39="",14&lt;=F39)),1,0)</f>
        <v>6</v>
      </c>
      <c r="U48" s="16" t="n">
        <f aca="false">IF(AND(15&gt;=E6,OR(F6="",15&lt;=F6)),1,0)+IF(AND(15&gt;=E8,OR(F8="",15&lt;=F8)),1,0)+IF(AND(15&gt;=E10,OR(F10="",15&lt;=F10)),1,0)+IF(AND(15&gt;=E13,OR(F13="",15&lt;=F13)),1,0)+IF(AND(15&gt;=E14,OR(F14="",15&lt;=F14)),1,0)+IF(AND(15&gt;=E17,OR(F17="",15&lt;=F17)),1,0)+IF(AND(15&gt;=E22,OR(F22="",15&lt;=F22)),1,0)+IF(AND(15&gt;=E25,OR(F25="",15&lt;=F25)),1,0)+IF(AND(15&gt;=E26,OR(F26="",15&lt;=F26)),1,0)+IF(AND(15&gt;=E29,OR(F29="",15&lt;=F29)),1,0)+IF(AND(15&gt;=E32,OR(F32="",15&lt;=F32)),1,0)+IF(AND(15&gt;=E37,OR(F37="",15&lt;=F37)),1,0)+IF(AND(15&gt;=E39,OR(F39="",15&lt;=F39)),1,0)</f>
        <v>6</v>
      </c>
      <c r="V48" s="16" t="n">
        <f aca="false">IF(AND(16&gt;=E6,OR(F6="",16&lt;=F6)),1,0)+IF(AND(16&gt;=E8,OR(F8="",16&lt;=F8)),1,0)+IF(AND(16&gt;=E10,OR(F10="",16&lt;=F10)),1,0)+IF(AND(16&gt;=E13,OR(F13="",16&lt;=F13)),1,0)+IF(AND(16&gt;=E14,OR(F14="",16&lt;=F14)),1,0)+IF(AND(16&gt;=E17,OR(F17="",16&lt;=F17)),1,0)+IF(AND(16&gt;=E22,OR(F22="",16&lt;=F22)),1,0)+IF(AND(16&gt;=E25,OR(F25="",16&lt;=F25)),1,0)+IF(AND(16&gt;=E26,OR(F26="",16&lt;=F26)),1,0)+IF(AND(16&gt;=E29,OR(F29="",16&lt;=F29)),1,0)+IF(AND(16&gt;=E32,OR(F32="",16&lt;=F32)),1,0)+IF(AND(16&gt;=E37,OR(F37="",16&lt;=F37)),1,0)+IF(AND(16&gt;=E39,OR(F39="",16&lt;=F39)),1,0)</f>
        <v>6</v>
      </c>
      <c r="W48" s="16" t="n">
        <f aca="false">IF(AND(17&gt;=E6,OR(F6="",17&lt;=F6)),1,0)+IF(AND(17&gt;=E8,OR(F8="",17&lt;=F8)),1,0)+IF(AND(17&gt;=E10,OR(F10="",17&lt;=F10)),1,0)+IF(AND(17&gt;=E13,OR(F13="",17&lt;=F13)),1,0)+IF(AND(17&gt;=E14,OR(F14="",17&lt;=F14)),1,0)+IF(AND(17&gt;=E17,OR(F17="",17&lt;=F17)),1,0)+IF(AND(17&gt;=E22,OR(F22="",17&lt;=F22)),1,0)+IF(AND(17&gt;=E25,OR(F25="",17&lt;=F25)),1,0)+IF(AND(17&gt;=E26,OR(F26="",17&lt;=F26)),1,0)+IF(AND(17&gt;=E29,OR(F29="",17&lt;=F29)),1,0)+IF(AND(17&gt;=E32,OR(F32="",17&lt;=F32)),1,0)+IF(AND(17&gt;=E37,OR(F37="",17&lt;=F37)),1,0)+IF(AND(17&gt;=E39,OR(F39="",17&lt;=F39)),1,0)</f>
        <v>6</v>
      </c>
      <c r="X48" s="16" t="n">
        <f aca="false">IF(AND(18&gt;=E6,OR(F6="",18&lt;=F6)),1,0)+IF(AND(18&gt;=E8,OR(F8="",18&lt;=F8)),1,0)+IF(AND(18&gt;=E10,OR(F10="",18&lt;=F10)),1,0)+IF(AND(18&gt;=E13,OR(F13="",18&lt;=F13)),1,0)+IF(AND(18&gt;=E14,OR(F14="",18&lt;=F14)),1,0)+IF(AND(18&gt;=E17,OR(F17="",18&lt;=F17)),1,0)+IF(AND(18&gt;=E22,OR(F22="",18&lt;=F22)),1,0)+IF(AND(18&gt;=E25,OR(F25="",18&lt;=F25)),1,0)+IF(AND(18&gt;=E26,OR(F26="",18&lt;=F26)),1,0)+IF(AND(18&gt;=E29,OR(F29="",18&lt;=F29)),1,0)+IF(AND(18&gt;=E32,OR(F32="",18&lt;=F32)),1,0)+IF(AND(18&gt;=E37,OR(F37="",18&lt;=F37)),1,0)+IF(AND(18&gt;=E39,OR(F39="",18&lt;=F39)),1,0)</f>
        <v>6</v>
      </c>
      <c r="Y48" s="16" t="n">
        <f aca="false">IF(AND(19&gt;=E6,OR(F6="",19&lt;=F6)),1,0)+IF(AND(19&gt;=E8,OR(F8="",19&lt;=F8)),1,0)+IF(AND(19&gt;=E10,OR(F10="",19&lt;=F10)),1,0)+IF(AND(19&gt;=E13,OR(F13="",19&lt;=F13)),1,0)+IF(AND(19&gt;=E14,OR(F14="",19&lt;=F14)),1,0)+IF(AND(19&gt;=E17,OR(F17="",19&lt;=F17)),1,0)+IF(AND(19&gt;=E22,OR(F22="",19&lt;=F22)),1,0)+IF(AND(19&gt;=E25,OR(F25="",19&lt;=F25)),1,0)+IF(AND(19&gt;=E26,OR(F26="",19&lt;=F26)),1,0)+IF(AND(19&gt;=E29,OR(F29="",19&lt;=F29)),1,0)+IF(AND(19&gt;=E32,OR(F32="",19&lt;=F32)),1,0)+IF(AND(19&gt;=E37,OR(F37="",19&lt;=F37)),1,0)+IF(AND(19&gt;=E39,OR(F39="",19&lt;=F39)),1,0)</f>
        <v>6</v>
      </c>
      <c r="Z48" s="16" t="n">
        <f aca="false">IF(AND(20&gt;=E6,OR(F6="",20&lt;=F6)),1,0)+IF(AND(20&gt;=E8,OR(F8="",20&lt;=F8)),1,0)+IF(AND(20&gt;=E10,OR(F10="",20&lt;=F10)),1,0)+IF(AND(20&gt;=E13,OR(F13="",20&lt;=F13)),1,0)+IF(AND(20&gt;=E14,OR(F14="",20&lt;=F14)),1,0)+IF(AND(20&gt;=E17,OR(F17="",20&lt;=F17)),1,0)+IF(AND(20&gt;=E22,OR(F22="",20&lt;=F22)),1,0)+IF(AND(20&gt;=E25,OR(F25="",20&lt;=F25)),1,0)+IF(AND(20&gt;=E26,OR(F26="",20&lt;=F26)),1,0)+IF(AND(20&gt;=E29,OR(F29="",20&lt;=F29)),1,0)+IF(AND(20&gt;=E32,OR(F32="",20&lt;=F32)),1,0)+IF(AND(20&gt;=E37,OR(F37="",20&lt;=F37)),1,0)+IF(AND(20&gt;=E39,OR(F39="",20&lt;=F39)),1,0)</f>
        <v>7</v>
      </c>
      <c r="AA48" s="16" t="n">
        <f aca="false">IF(AND(21&gt;=E6,OR(F6="",21&lt;=F6)),1,0)+IF(AND(21&gt;=E8,OR(F8="",21&lt;=F8)),1,0)+IF(AND(21&gt;=E10,OR(F10="",21&lt;=F10)),1,0)+IF(AND(21&gt;=E13,OR(F13="",21&lt;=F13)),1,0)+IF(AND(21&gt;=E14,OR(F14="",21&lt;=F14)),1,0)+IF(AND(21&gt;=E17,OR(F17="",21&lt;=F17)),1,0)+IF(AND(21&gt;=E22,OR(F22="",21&lt;=F22)),1,0)+IF(AND(21&gt;=E25,OR(F25="",21&lt;=F25)),1,0)+IF(AND(21&gt;=E26,OR(F26="",21&lt;=F26)),1,0)+IF(AND(21&gt;=E29,OR(F29="",21&lt;=F29)),1,0)+IF(AND(21&gt;=E32,OR(F32="",21&lt;=F32)),1,0)+IF(AND(21&gt;=E37,OR(F37="",21&lt;=F37)),1,0)+IF(AND(21&gt;=E39,OR(F39="",21&lt;=F39)),1,0)</f>
        <v>7</v>
      </c>
      <c r="AB48" s="16" t="n">
        <f aca="false">IF(AND(22&gt;=E6,OR(F6="",22&lt;=F6)),1,0)+IF(AND(22&gt;=E8,OR(F8="",22&lt;=F8)),1,0)+IF(AND(22&gt;=E10,OR(F10="",22&lt;=F10)),1,0)+IF(AND(22&gt;=E13,OR(F13="",22&lt;=F13)),1,0)+IF(AND(22&gt;=E14,OR(F14="",22&lt;=F14)),1,0)+IF(AND(22&gt;=E17,OR(F17="",22&lt;=F17)),1,0)+IF(AND(22&gt;=E22,OR(F22="",22&lt;=F22)),1,0)+IF(AND(22&gt;=E25,OR(F25="",22&lt;=F25)),1,0)+IF(AND(22&gt;=E26,OR(F26="",22&lt;=F26)),1,0)+IF(AND(22&gt;=E29,OR(F29="",22&lt;=F29)),1,0)+IF(AND(22&gt;=E32,OR(F32="",22&lt;=F32)),1,0)+IF(AND(22&gt;=E37,OR(F37="",22&lt;=F37)),1,0)+IF(AND(22&gt;=E39,OR(F39="",22&lt;=F39)),1,0)</f>
        <v>7</v>
      </c>
      <c r="AC48" s="16" t="n">
        <f aca="false">IF(AND(23&gt;=E6,OR(F6="",23&lt;=F6)),1,0)+IF(AND(23&gt;=E8,OR(F8="",23&lt;=F8)),1,0)+IF(AND(23&gt;=E10,OR(F10="",23&lt;=F10)),1,0)+IF(AND(23&gt;=E13,OR(F13="",23&lt;=F13)),1,0)+IF(AND(23&gt;=E14,OR(F14="",23&lt;=F14)),1,0)+IF(AND(23&gt;=E17,OR(F17="",23&lt;=F17)),1,0)+IF(AND(23&gt;=E22,OR(F22="",23&lt;=F22)),1,0)+IF(AND(23&gt;=E25,OR(F25="",23&lt;=F25)),1,0)+IF(AND(23&gt;=E26,OR(F26="",23&lt;=F26)),1,0)+IF(AND(23&gt;=E29,OR(F29="",23&lt;=F29)),1,0)+IF(AND(23&gt;=E32,OR(F32="",23&lt;=F32)),1,0)+IF(AND(23&gt;=E37,OR(F37="",23&lt;=F37)),1,0)+IF(AND(23&gt;=E39,OR(F39="",23&lt;=F39)),1,0)</f>
        <v>7</v>
      </c>
      <c r="AD48" s="16" t="n">
        <f aca="false">IF(AND(24&gt;=E6,OR(F6="",24&lt;=F6)),1,0)+IF(AND(24&gt;=E8,OR(F8="",24&lt;=F8)),1,0)+IF(AND(24&gt;=E10,OR(F10="",24&lt;=F10)),1,0)+IF(AND(24&gt;=E13,OR(F13="",24&lt;=F13)),1,0)+IF(AND(24&gt;=E14,OR(F14="",24&lt;=F14)),1,0)+IF(AND(24&gt;=E17,OR(F17="",24&lt;=F17)),1,0)+IF(AND(24&gt;=E22,OR(F22="",24&lt;=F22)),1,0)+IF(AND(24&gt;=E25,OR(F25="",24&lt;=F25)),1,0)+IF(AND(24&gt;=E26,OR(F26="",24&lt;=F26)),1,0)+IF(AND(24&gt;=E29,OR(F29="",24&lt;=F29)),1,0)+IF(AND(24&gt;=E32,OR(F32="",24&lt;=F32)),1,0)+IF(AND(24&gt;=E37,OR(F37="",24&lt;=F37)),1,0)+IF(AND(24&gt;=E39,OR(F39="",24&lt;=F39)),1,0)</f>
        <v>7</v>
      </c>
      <c r="AE48" s="16" t="n">
        <f aca="false">IF(AND(25&gt;=E6,OR(F6="",25&lt;=F6)),1,0)+IF(AND(25&gt;=E8,OR(F8="",25&lt;=F8)),1,0)+IF(AND(25&gt;=E10,OR(F10="",25&lt;=F10)),1,0)+IF(AND(25&gt;=E13,OR(F13="",25&lt;=F13)),1,0)+IF(AND(25&gt;=E14,OR(F14="",25&lt;=F14)),1,0)+IF(AND(25&gt;=E17,OR(F17="",25&lt;=F17)),1,0)+IF(AND(25&gt;=E22,OR(F22="",25&lt;=F22)),1,0)+IF(AND(25&gt;=E25,OR(F25="",25&lt;=F25)),1,0)+IF(AND(25&gt;=E26,OR(F26="",25&lt;=F26)),1,0)+IF(AND(25&gt;=E29,OR(F29="",25&lt;=F29)),1,0)+IF(AND(25&gt;=E32,OR(F32="",25&lt;=F32)),1,0)+IF(AND(25&gt;=E37,OR(F37="",25&lt;=F37)),1,0)+IF(AND(25&gt;=E39,OR(F39="",25&lt;=F39)),1,0)</f>
        <v>7</v>
      </c>
      <c r="AF48" s="16" t="n">
        <f aca="false">IF(AND(26&gt;=E6,OR(F6="",26&lt;=F6)),1,0)+IF(AND(26&gt;=E8,OR(F8="",26&lt;=F8)),1,0)+IF(AND(26&gt;=E10,OR(F10="",26&lt;=F10)),1,0)+IF(AND(26&gt;=E13,OR(F13="",26&lt;=F13)),1,0)+IF(AND(26&gt;=E14,OR(F14="",26&lt;=F14)),1,0)+IF(AND(26&gt;=E17,OR(F17="",26&lt;=F17)),1,0)+IF(AND(26&gt;=E22,OR(F22="",26&lt;=F22)),1,0)+IF(AND(26&gt;=E25,OR(F25="",26&lt;=F25)),1,0)+IF(AND(26&gt;=E26,OR(F26="",26&lt;=F26)),1,0)+IF(AND(26&gt;=E29,OR(F29="",26&lt;=F29)),1,0)+IF(AND(26&gt;=E32,OR(F32="",26&lt;=F32)),1,0)+IF(AND(26&gt;=E37,OR(F37="",26&lt;=F37)),1,0)+IF(AND(26&gt;=E39,OR(F39="",26&lt;=F39)),1,0)</f>
        <v>8</v>
      </c>
      <c r="AG48" s="16" t="n">
        <f aca="false">IF(AND(27&gt;=E6,OR(F6="",27&lt;=F6)),1,0)+IF(AND(27&gt;=E8,OR(F8="",27&lt;=F8)),1,0)+IF(AND(27&gt;=E10,OR(F10="",27&lt;=F10)),1,0)+IF(AND(27&gt;=E13,OR(F13="",27&lt;=F13)),1,0)+IF(AND(27&gt;=E14,OR(F14="",27&lt;=F14)),1,0)+IF(AND(27&gt;=E17,OR(F17="",27&lt;=F17)),1,0)+IF(AND(27&gt;=E22,OR(F22="",27&lt;=F22)),1,0)+IF(AND(27&gt;=E25,OR(F25="",27&lt;=F25)),1,0)+IF(AND(27&gt;=E26,OR(F26="",27&lt;=F26)),1,0)+IF(AND(27&gt;=E29,OR(F29="",27&lt;=F29)),1,0)+IF(AND(27&gt;=E32,OR(F32="",27&lt;=F32)),1,0)+IF(AND(27&gt;=E37,OR(F37="",27&lt;=F37)),1,0)+IF(AND(27&gt;=E39,OR(F39="",27&lt;=F39)),1,0)</f>
        <v>8</v>
      </c>
      <c r="AH48" s="16" t="n">
        <f aca="false">IF(AND(28&gt;=E6,OR(F6="",28&lt;=F6)),1,0)+IF(AND(28&gt;=E8,OR(F8="",28&lt;=F8)),1,0)+IF(AND(28&gt;=E10,OR(F10="",28&lt;=F10)),1,0)+IF(AND(28&gt;=E13,OR(F13="",28&lt;=F13)),1,0)+IF(AND(28&gt;=E14,OR(F14="",28&lt;=F14)),1,0)+IF(AND(28&gt;=E17,OR(F17="",28&lt;=F17)),1,0)+IF(AND(28&gt;=E22,OR(F22="",28&lt;=F22)),1,0)+IF(AND(28&gt;=E25,OR(F25="",28&lt;=F25)),1,0)+IF(AND(28&gt;=E26,OR(F26="",28&lt;=F26)),1,0)+IF(AND(28&gt;=E29,OR(F29="",28&lt;=F29)),1,0)+IF(AND(28&gt;=E32,OR(F32="",28&lt;=F32)),1,0)+IF(AND(28&gt;=E37,OR(F37="",28&lt;=F37)),1,0)+IF(AND(28&gt;=E39,OR(F39="",28&lt;=F39)),1,0)</f>
        <v>9</v>
      </c>
      <c r="AI48" s="16" t="n">
        <f aca="false">IF(AND(29&gt;=E6,OR(F6="",29&lt;=F6)),1,0)+IF(AND(29&gt;=E8,OR(F8="",29&lt;=F8)),1,0)+IF(AND(29&gt;=E10,OR(F10="",29&lt;=F10)),1,0)+IF(AND(29&gt;=E13,OR(F13="",29&lt;=F13)),1,0)+IF(AND(29&gt;=E14,OR(F14="",29&lt;=F14)),1,0)+IF(AND(29&gt;=E17,OR(F17="",29&lt;=F17)),1,0)+IF(AND(29&gt;=E22,OR(F22="",29&lt;=F22)),1,0)+IF(AND(29&gt;=E25,OR(F25="",29&lt;=F25)),1,0)+IF(AND(29&gt;=E26,OR(F26="",29&lt;=F26)),1,0)+IF(AND(29&gt;=E29,OR(F29="",29&lt;=F29)),1,0)+IF(AND(29&gt;=E32,OR(F32="",29&lt;=F32)),1,0)+IF(AND(29&gt;=E37,OR(F37="",29&lt;=F37)),1,0)+IF(AND(29&gt;=E39,OR(F39="",29&lt;=F39)),1,0)</f>
        <v>9</v>
      </c>
      <c r="AJ48" s="16" t="n">
        <f aca="false">IF(AND(30&gt;=E6,OR(F6="",30&lt;=F6)),1,0)+IF(AND(30&gt;=E8,OR(F8="",30&lt;=F8)),1,0)+IF(AND(30&gt;=E10,OR(F10="",30&lt;=F10)),1,0)+IF(AND(30&gt;=E13,OR(F13="",30&lt;=F13)),1,0)+IF(AND(30&gt;=E14,OR(F14="",30&lt;=F14)),1,0)+IF(AND(30&gt;=E17,OR(F17="",30&lt;=F17)),1,0)+IF(AND(30&gt;=E22,OR(F22="",30&lt;=F22)),1,0)+IF(AND(30&gt;=E25,OR(F25="",30&lt;=F25)),1,0)+IF(AND(30&gt;=E26,OR(F26="",30&lt;=F26)),1,0)+IF(AND(30&gt;=E29,OR(F29="",30&lt;=F29)),1,0)+IF(AND(30&gt;=E32,OR(F32="",30&lt;=F32)),1,0)+IF(AND(30&gt;=E37,OR(F37="",30&lt;=F37)),1,0)+IF(AND(30&gt;=E39,OR(F39="",30&lt;=F39)),1,0)</f>
        <v>9</v>
      </c>
      <c r="AK48" s="16" t="n">
        <f aca="false">IF(AND(31&gt;=E6,OR(F6="",31&lt;=F6)),1,0)+IF(AND(31&gt;=E8,OR(F8="",31&lt;=F8)),1,0)+IF(AND(31&gt;=E10,OR(F10="",31&lt;=F10)),1,0)+IF(AND(31&gt;=E13,OR(F13="",31&lt;=F13)),1,0)+IF(AND(31&gt;=E14,OR(F14="",31&lt;=F14)),1,0)+IF(AND(31&gt;=E17,OR(F17="",31&lt;=F17)),1,0)+IF(AND(31&gt;=E22,OR(F22="",31&lt;=F22)),1,0)+IF(AND(31&gt;=E25,OR(F25="",31&lt;=F25)),1,0)+IF(AND(31&gt;=E26,OR(F26="",31&lt;=F26)),1,0)+IF(AND(31&gt;=E29,OR(F29="",31&lt;=F29)),1,0)+IF(AND(31&gt;=E32,OR(F32="",31&lt;=F32)),1,0)+IF(AND(31&gt;=E37,OR(F37="",31&lt;=F37)),1,0)+IF(AND(31&gt;=E39,OR(F39="",31&lt;=F39)),1,0)</f>
        <v>9</v>
      </c>
      <c r="AL48" s="16" t="n">
        <f aca="false">IF(AND(32&gt;=E6,OR(F6="",32&lt;=F6)),1,0)+IF(AND(32&gt;=E8,OR(F8="",32&lt;=F8)),1,0)+IF(AND(32&gt;=E10,OR(F10="",32&lt;=F10)),1,0)+IF(AND(32&gt;=E13,OR(F13="",32&lt;=F13)),1,0)+IF(AND(32&gt;=E14,OR(F14="",32&lt;=F14)),1,0)+IF(AND(32&gt;=E17,OR(F17="",32&lt;=F17)),1,0)+IF(AND(32&gt;=E22,OR(F22="",32&lt;=F22)),1,0)+IF(AND(32&gt;=E25,OR(F25="",32&lt;=F25)),1,0)+IF(AND(32&gt;=E26,OR(F26="",32&lt;=F26)),1,0)+IF(AND(32&gt;=E29,OR(F29="",32&lt;=F29)),1,0)+IF(AND(32&gt;=E32,OR(F32="",32&lt;=F32)),1,0)+IF(AND(32&gt;=E37,OR(F37="",32&lt;=F37)),1,0)+IF(AND(32&gt;=E39,OR(F39="",32&lt;=F39)),1,0)</f>
        <v>9</v>
      </c>
      <c r="AM48" s="16" t="n">
        <f aca="false">IF(AND(33&gt;=E6,OR(F6="",33&lt;=F6)),1,0)+IF(AND(33&gt;=E8,OR(F8="",33&lt;=F8)),1,0)+IF(AND(33&gt;=E10,OR(F10="",33&lt;=F10)),1,0)+IF(AND(33&gt;=E13,OR(F13="",33&lt;=F13)),1,0)+IF(AND(33&gt;=E14,OR(F14="",33&lt;=F14)),1,0)+IF(AND(33&gt;=E17,OR(F17="",33&lt;=F17)),1,0)+IF(AND(33&gt;=E22,OR(F22="",33&lt;=F22)),1,0)+IF(AND(33&gt;=E25,OR(F25="",33&lt;=F25)),1,0)+IF(AND(33&gt;=E26,OR(F26="",33&lt;=F26)),1,0)+IF(AND(33&gt;=E29,OR(F29="",33&lt;=F29)),1,0)+IF(AND(33&gt;=E32,OR(F32="",33&lt;=F32)),1,0)+IF(AND(33&gt;=E37,OR(F37="",33&lt;=F37)),1,0)+IF(AND(33&gt;=E39,OR(F39="",33&lt;=F39)),1,0)</f>
        <v>9</v>
      </c>
      <c r="AN48" s="16" t="n">
        <f aca="false">IF(AND(34&gt;=E6,OR(F6="",34&lt;=F6)),1,0)+IF(AND(34&gt;=E8,OR(F8="",34&lt;=F8)),1,0)+IF(AND(34&gt;=E10,OR(F10="",34&lt;=F10)),1,0)+IF(AND(34&gt;=E13,OR(F13="",34&lt;=F13)),1,0)+IF(AND(34&gt;=E14,OR(F14="",34&lt;=F14)),1,0)+IF(AND(34&gt;=E17,OR(F17="",34&lt;=F17)),1,0)+IF(AND(34&gt;=E22,OR(F22="",34&lt;=F22)),1,0)+IF(AND(34&gt;=E25,OR(F25="",34&lt;=F25)),1,0)+IF(AND(34&gt;=E26,OR(F26="",34&lt;=F26)),1,0)+IF(AND(34&gt;=E29,OR(F29="",34&lt;=F29)),1,0)+IF(AND(34&gt;=E32,OR(F32="",34&lt;=F32)),1,0)+IF(AND(34&gt;=E37,OR(F37="",34&lt;=F37)),1,0)+IF(AND(34&gt;=E39,OR(F39="",34&lt;=F39)),1,0)</f>
        <v>10</v>
      </c>
      <c r="AO48" s="16" t="n">
        <f aca="false">IF(AND(35&gt;=E6,OR(F6="",35&lt;=F6)),1,0)+IF(AND(35&gt;=E8,OR(F8="",35&lt;=F8)),1,0)+IF(AND(35&gt;=E10,OR(F10="",35&lt;=F10)),1,0)+IF(AND(35&gt;=E13,OR(F13="",35&lt;=F13)),1,0)+IF(AND(35&gt;=E14,OR(F14="",35&lt;=F14)),1,0)+IF(AND(35&gt;=E17,OR(F17="",35&lt;=F17)),1,0)+IF(AND(35&gt;=E22,OR(F22="",35&lt;=F22)),1,0)+IF(AND(35&gt;=E25,OR(F25="",35&lt;=F25)),1,0)+IF(AND(35&gt;=E26,OR(F26="",35&lt;=F26)),1,0)+IF(AND(35&gt;=E29,OR(F29="",35&lt;=F29)),1,0)+IF(AND(35&gt;=E32,OR(F32="",35&lt;=F32)),1,0)+IF(AND(35&gt;=E37,OR(F37="",35&lt;=F37)),1,0)+IF(AND(35&gt;=E39,OR(F39="",35&lt;=F39)),1,0)</f>
        <v>10</v>
      </c>
      <c r="AP48" s="16" t="n">
        <f aca="false">IF(AND(36&gt;=E6,OR(F6="",36&lt;=F6)),1,0)+IF(AND(36&gt;=E8,OR(F8="",36&lt;=F8)),1,0)+IF(AND(36&gt;=E10,OR(F10="",36&lt;=F10)),1,0)+IF(AND(36&gt;=E13,OR(F13="",36&lt;=F13)),1,0)+IF(AND(36&gt;=E14,OR(F14="",36&lt;=F14)),1,0)+IF(AND(36&gt;=E17,OR(F17="",36&lt;=F17)),1,0)+IF(AND(36&gt;=E22,OR(F22="",36&lt;=F22)),1,0)+IF(AND(36&gt;=E25,OR(F25="",36&lt;=F25)),1,0)+IF(AND(36&gt;=E26,OR(F26="",36&lt;=F26)),1,0)+IF(AND(36&gt;=E29,OR(F29="",36&lt;=F29)),1,0)+IF(AND(36&gt;=E32,OR(F32="",36&lt;=F32)),1,0)+IF(AND(36&gt;=E37,OR(F37="",36&lt;=F37)),1,0)+IF(AND(36&gt;=E39,OR(F39="",36&lt;=F39)),1,0)</f>
        <v>10</v>
      </c>
      <c r="AQ48" s="16" t="n">
        <f aca="false">IF(AND(37&gt;=E6,OR(F6="",37&lt;=F6)),1,0)+IF(AND(37&gt;=E8,OR(F8="",37&lt;=F8)),1,0)+IF(AND(37&gt;=E10,OR(F10="",37&lt;=F10)),1,0)+IF(AND(37&gt;=E13,OR(F13="",37&lt;=F13)),1,0)+IF(AND(37&gt;=E14,OR(F14="",37&lt;=F14)),1,0)+IF(AND(37&gt;=E17,OR(F17="",37&lt;=F17)),1,0)+IF(AND(37&gt;=E22,OR(F22="",37&lt;=F22)),1,0)+IF(AND(37&gt;=E25,OR(F25="",37&lt;=F25)),1,0)+IF(AND(37&gt;=E26,OR(F26="",37&lt;=F26)),1,0)+IF(AND(37&gt;=E29,OR(F29="",37&lt;=F29)),1,0)+IF(AND(37&gt;=E32,OR(F32="",37&lt;=F32)),1,0)+IF(AND(37&gt;=E37,OR(F37="",37&lt;=F37)),1,0)+IF(AND(37&gt;=E39,OR(F39="",37&lt;=F39)),1,0)</f>
        <v>10</v>
      </c>
      <c r="AR48" s="16" t="n">
        <f aca="false">IF(AND(38&gt;=E6,OR(F6="",38&lt;=F6)),1,0)+IF(AND(38&gt;=E8,OR(F8="",38&lt;=F8)),1,0)+IF(AND(38&gt;=E10,OR(F10="",38&lt;=F10)),1,0)+IF(AND(38&gt;=E13,OR(F13="",38&lt;=F13)),1,0)+IF(AND(38&gt;=E14,OR(F14="",38&lt;=F14)),1,0)+IF(AND(38&gt;=E17,OR(F17="",38&lt;=F17)),1,0)+IF(AND(38&gt;=E22,OR(F22="",38&lt;=F22)),1,0)+IF(AND(38&gt;=E25,OR(F25="",38&lt;=F25)),1,0)+IF(AND(38&gt;=E26,OR(F26="",38&lt;=F26)),1,0)+IF(AND(38&gt;=E29,OR(F29="",38&lt;=F29)),1,0)+IF(AND(38&gt;=E32,OR(F32="",38&lt;=F32)),1,0)+IF(AND(38&gt;=E37,OR(F37="",38&lt;=F37)),1,0)+IF(AND(38&gt;=E39,OR(F39="",38&lt;=F39)),1,0)</f>
        <v>10</v>
      </c>
      <c r="AS48" s="16" t="n">
        <f aca="false">IF(AND(39&gt;=E6,OR(F6="",39&lt;=F6)),1,0)+IF(AND(39&gt;=E8,OR(F8="",39&lt;=F8)),1,0)+IF(AND(39&gt;=E10,OR(F10="",39&lt;=F10)),1,0)+IF(AND(39&gt;=E13,OR(F13="",39&lt;=F13)),1,0)+IF(AND(39&gt;=E14,OR(F14="",39&lt;=F14)),1,0)+IF(AND(39&gt;=E17,OR(F17="",39&lt;=F17)),1,0)+IF(AND(39&gt;=E22,OR(F22="",39&lt;=F22)),1,0)+IF(AND(39&gt;=E25,OR(F25="",39&lt;=F25)),1,0)+IF(AND(39&gt;=E26,OR(F26="",39&lt;=F26)),1,0)+IF(AND(39&gt;=E29,OR(F29="",39&lt;=F29)),1,0)+IF(AND(39&gt;=E32,OR(F32="",39&lt;=F32)),1,0)+IF(AND(39&gt;=E37,OR(F37="",39&lt;=F37)),1,0)+IF(AND(39&gt;=E39,OR(F39="",39&lt;=F39)),1,0)</f>
        <v>10</v>
      </c>
      <c r="AT48" s="16" t="n">
        <f aca="false">IF(AND(40&gt;=E6,OR(F6="",40&lt;=F6)),1,0)+IF(AND(40&gt;=E8,OR(F8="",40&lt;=F8)),1,0)+IF(AND(40&gt;=E10,OR(F10="",40&lt;=F10)),1,0)+IF(AND(40&gt;=E13,OR(F13="",40&lt;=F13)),1,0)+IF(AND(40&gt;=E14,OR(F14="",40&lt;=F14)),1,0)+IF(AND(40&gt;=E17,OR(F17="",40&lt;=F17)),1,0)+IF(AND(40&gt;=E22,OR(F22="",40&lt;=F22)),1,0)+IF(AND(40&gt;=E25,OR(F25="",40&lt;=F25)),1,0)+IF(AND(40&gt;=E26,OR(F26="",40&lt;=F26)),1,0)+IF(AND(40&gt;=E29,OR(F29="",40&lt;=F29)),1,0)+IF(AND(40&gt;=E32,OR(F32="",40&lt;=F32)),1,0)+IF(AND(40&gt;=E37,OR(F37="",40&lt;=F37)),1,0)+IF(AND(40&gt;=E39,OR(F39="",40&lt;=F39)),1,0)</f>
        <v>11</v>
      </c>
      <c r="AU48" s="16" t="n">
        <f aca="false">IF(AND(41&gt;=E6,OR(F6="",41&lt;=F6)),1,0)+IF(AND(41&gt;=E8,OR(F8="",41&lt;=F8)),1,0)+IF(AND(41&gt;=E10,OR(F10="",41&lt;=F10)),1,0)+IF(AND(41&gt;=E13,OR(F13="",41&lt;=F13)),1,0)+IF(AND(41&gt;=E14,OR(F14="",41&lt;=F14)),1,0)+IF(AND(41&gt;=E17,OR(F17="",41&lt;=F17)),1,0)+IF(AND(41&gt;=E22,OR(F22="",41&lt;=F22)),1,0)+IF(AND(41&gt;=E25,OR(F25="",41&lt;=F25)),1,0)+IF(AND(41&gt;=E26,OR(F26="",41&lt;=F26)),1,0)+IF(AND(41&gt;=E29,OR(F29="",41&lt;=F29)),1,0)+IF(AND(41&gt;=E32,OR(F32="",41&lt;=F32)),1,0)+IF(AND(41&gt;=E37,OR(F37="",41&lt;=F37)),1,0)+IF(AND(41&gt;=E39,OR(F39="",41&lt;=F39)),1,0)</f>
        <v>11</v>
      </c>
      <c r="AV48" s="16" t="n">
        <f aca="false">IF(AND(42&gt;=E6,OR(F6="",42&lt;=F6)),1,0)+IF(AND(42&gt;=E8,OR(F8="",42&lt;=F8)),1,0)+IF(AND(42&gt;=E10,OR(F10="",42&lt;=F10)),1,0)+IF(AND(42&gt;=E13,OR(F13="",42&lt;=F13)),1,0)+IF(AND(42&gt;=E14,OR(F14="",42&lt;=F14)),1,0)+IF(AND(42&gt;=E17,OR(F17="",42&lt;=F17)),1,0)+IF(AND(42&gt;=E22,OR(F22="",42&lt;=F22)),1,0)+IF(AND(42&gt;=E25,OR(F25="",42&lt;=F25)),1,0)+IF(AND(42&gt;=E26,OR(F26="",42&lt;=F26)),1,0)+IF(AND(42&gt;=E29,OR(F29="",42&lt;=F29)),1,0)+IF(AND(42&gt;=E32,OR(F32="",42&lt;=F32)),1,0)+IF(AND(42&gt;=E37,OR(F37="",42&lt;=F37)),1,0)+IF(AND(42&gt;=E39,OR(F39="",42&lt;=F39)),1,0)</f>
        <v>11</v>
      </c>
      <c r="AW48" s="16" t="n">
        <f aca="false">IF(AND(43&gt;=E6,OR(F6="",43&lt;=F6)),1,0)+IF(AND(43&gt;=E8,OR(F8="",43&lt;=F8)),1,0)+IF(AND(43&gt;=E10,OR(F10="",43&lt;=F10)),1,0)+IF(AND(43&gt;=E13,OR(F13="",43&lt;=F13)),1,0)+IF(AND(43&gt;=E14,OR(F14="",43&lt;=F14)),1,0)+IF(AND(43&gt;=E17,OR(F17="",43&lt;=F17)),1,0)+IF(AND(43&gt;=E22,OR(F22="",43&lt;=F22)),1,0)+IF(AND(43&gt;=E25,OR(F25="",43&lt;=F25)),1,0)+IF(AND(43&gt;=E26,OR(F26="",43&lt;=F26)),1,0)+IF(AND(43&gt;=E29,OR(F29="",43&lt;=F29)),1,0)+IF(AND(43&gt;=E32,OR(F32="",43&lt;=F32)),1,0)+IF(AND(43&gt;=E37,OR(F37="",43&lt;=F37)),1,0)+IF(AND(43&gt;=E39,OR(F39="",43&lt;=F39)),1,0)</f>
        <v>11</v>
      </c>
      <c r="AX48" s="16" t="n">
        <f aca="false">IF(AND(44&gt;=E6,OR(F6="",44&lt;=F6)),1,0)+IF(AND(44&gt;=E8,OR(F8="",44&lt;=F8)),1,0)+IF(AND(44&gt;=E10,OR(F10="",44&lt;=F10)),1,0)+IF(AND(44&gt;=E13,OR(F13="",44&lt;=F13)),1,0)+IF(AND(44&gt;=E14,OR(F14="",44&lt;=F14)),1,0)+IF(AND(44&gt;=E17,OR(F17="",44&lt;=F17)),1,0)+IF(AND(44&gt;=E22,OR(F22="",44&lt;=F22)),1,0)+IF(AND(44&gt;=E25,OR(F25="",44&lt;=F25)),1,0)+IF(AND(44&gt;=E26,OR(F26="",44&lt;=F26)),1,0)+IF(AND(44&gt;=E29,OR(F29="",44&lt;=F29)),1,0)+IF(AND(44&gt;=E32,OR(F32="",44&lt;=F32)),1,0)+IF(AND(44&gt;=E37,OR(F37="",44&lt;=F37)),1,0)+IF(AND(44&gt;=E39,OR(F39="",44&lt;=F39)),1,0)</f>
        <v>11</v>
      </c>
      <c r="AY48" s="16" t="n">
        <f aca="false">IF(AND(45&gt;=E6,OR(F6="",45&lt;=F6)),1,0)+IF(AND(45&gt;=E8,OR(F8="",45&lt;=F8)),1,0)+IF(AND(45&gt;=E10,OR(F10="",45&lt;=F10)),1,0)+IF(AND(45&gt;=E13,OR(F13="",45&lt;=F13)),1,0)+IF(AND(45&gt;=E14,OR(F14="",45&lt;=F14)),1,0)+IF(AND(45&gt;=E17,OR(F17="",45&lt;=F17)),1,0)+IF(AND(45&gt;=E22,OR(F22="",45&lt;=F22)),1,0)+IF(AND(45&gt;=E25,OR(F25="",45&lt;=F25)),1,0)+IF(AND(45&gt;=E26,OR(F26="",45&lt;=F26)),1,0)+IF(AND(45&gt;=E29,OR(F29="",45&lt;=F29)),1,0)+IF(AND(45&gt;=E32,OR(F32="",45&lt;=F32)),1,0)+IF(AND(45&gt;=E37,OR(F37="",45&lt;=F37)),1,0)+IF(AND(45&gt;=E39,OR(F39="",45&lt;=F39)),1,0)</f>
        <v>11</v>
      </c>
      <c r="AZ48" s="16" t="n">
        <f aca="false">IF(AND(46&gt;=E6,OR(F6="",46&lt;=F6)),1,0)+IF(AND(46&gt;=E8,OR(F8="",46&lt;=F8)),1,0)+IF(AND(46&gt;=E10,OR(F10="",46&lt;=F10)),1,0)+IF(AND(46&gt;=E13,OR(F13="",46&lt;=F13)),1,0)+IF(AND(46&gt;=E14,OR(F14="",46&lt;=F14)),1,0)+IF(AND(46&gt;=E17,OR(F17="",46&lt;=F17)),1,0)+IF(AND(46&gt;=E22,OR(F22="",46&lt;=F22)),1,0)+IF(AND(46&gt;=E25,OR(F25="",46&lt;=F25)),1,0)+IF(AND(46&gt;=E26,OR(F26="",46&lt;=F26)),1,0)+IF(AND(46&gt;=E29,OR(F29="",46&lt;=F29)),1,0)+IF(AND(46&gt;=E32,OR(F32="",46&lt;=F32)),1,0)+IF(AND(46&gt;=E37,OR(F37="",46&lt;=F37)),1,0)+IF(AND(46&gt;=E39,OR(F39="",46&lt;=F39)),1,0)</f>
        <v>11</v>
      </c>
      <c r="BA48" s="16" t="n">
        <f aca="false">IF(AND(47&gt;=E6,OR(F6="",47&lt;=F6)),1,0)+IF(AND(47&gt;=E8,OR(F8="",47&lt;=F8)),1,0)+IF(AND(47&gt;=E10,OR(F10="",47&lt;=F10)),1,0)+IF(AND(47&gt;=E13,OR(F13="",47&lt;=F13)),1,0)+IF(AND(47&gt;=E14,OR(F14="",47&lt;=F14)),1,0)+IF(AND(47&gt;=E17,OR(F17="",47&lt;=F17)),1,0)+IF(AND(47&gt;=E22,OR(F22="",47&lt;=F22)),1,0)+IF(AND(47&gt;=E25,OR(F25="",47&lt;=F25)),1,0)+IF(AND(47&gt;=E26,OR(F26="",47&lt;=F26)),1,0)+IF(AND(47&gt;=E29,OR(F29="",47&lt;=F29)),1,0)+IF(AND(47&gt;=E32,OR(F32="",47&lt;=F32)),1,0)+IF(AND(47&gt;=E37,OR(F37="",47&lt;=F37)),1,0)+IF(AND(47&gt;=E39,OR(F39="",47&lt;=F39)),1,0)</f>
        <v>11</v>
      </c>
      <c r="BB48" s="16" t="n">
        <f aca="false">IF(AND(48&gt;=E6,OR(F6="",48&lt;=F6)),1,0)+IF(AND(48&gt;=E8,OR(F8="",48&lt;=F8)),1,0)+IF(AND(48&gt;=E10,OR(F10="",48&lt;=F10)),1,0)+IF(AND(48&gt;=E13,OR(F13="",48&lt;=F13)),1,0)+IF(AND(48&gt;=E14,OR(F14="",48&lt;=F14)),1,0)+IF(AND(48&gt;=E17,OR(F17="",48&lt;=F17)),1,0)+IF(AND(48&gt;=E22,OR(F22="",48&lt;=F22)),1,0)+IF(AND(48&gt;=E25,OR(F25="",48&lt;=F25)),1,0)+IF(AND(48&gt;=E26,OR(F26="",48&lt;=F26)),1,0)+IF(AND(48&gt;=E29,OR(F29="",48&lt;=F29)),1,0)+IF(AND(48&gt;=E32,OR(F32="",48&lt;=F32)),1,0)+IF(AND(48&gt;=E37,OR(F37="",48&lt;=F37)),1,0)+IF(AND(48&gt;=E39,OR(F39="",48&lt;=F39)),1,0)</f>
        <v>11</v>
      </c>
      <c r="BC48" s="16" t="n">
        <f aca="false">IF(AND(49&gt;=E6,OR(F6="",49&lt;=F6)),1,0)+IF(AND(49&gt;=E8,OR(F8="",49&lt;=F8)),1,0)+IF(AND(49&gt;=E10,OR(F10="",49&lt;=F10)),1,0)+IF(AND(49&gt;=E13,OR(F13="",49&lt;=F13)),1,0)+IF(AND(49&gt;=E14,OR(F14="",49&lt;=F14)),1,0)+IF(AND(49&gt;=E17,OR(F17="",49&lt;=F17)),1,0)+IF(AND(49&gt;=E22,OR(F22="",49&lt;=F22)),1,0)+IF(AND(49&gt;=E25,OR(F25="",49&lt;=F25)),1,0)+IF(AND(49&gt;=E26,OR(F26="",49&lt;=F26)),1,0)+IF(AND(49&gt;=E29,OR(F29="",49&lt;=F29)),1,0)+IF(AND(49&gt;=E32,OR(F32="",49&lt;=F32)),1,0)+IF(AND(49&gt;=E37,OR(F37="",49&lt;=F37)),1,0)+IF(AND(49&gt;=E39,OR(F39="",49&lt;=F39)),1,0)</f>
        <v>11</v>
      </c>
      <c r="BD48" s="16" t="n">
        <f aca="false">IF(AND(50&gt;=E6,OR(F6="",50&lt;=F6)),1,0)+IF(AND(50&gt;=E8,OR(F8="",50&lt;=F8)),1,0)+IF(AND(50&gt;=E10,OR(F10="",50&lt;=F10)),1,0)+IF(AND(50&gt;=E13,OR(F13="",50&lt;=F13)),1,0)+IF(AND(50&gt;=E14,OR(F14="",50&lt;=F14)),1,0)+IF(AND(50&gt;=E17,OR(F17="",50&lt;=F17)),1,0)+IF(AND(50&gt;=E22,OR(F22="",50&lt;=F22)),1,0)+IF(AND(50&gt;=E25,OR(F25="",50&lt;=F25)),1,0)+IF(AND(50&gt;=E26,OR(F26="",50&lt;=F26)),1,0)+IF(AND(50&gt;=E29,OR(F29="",50&lt;=F29)),1,0)+IF(AND(50&gt;=E32,OR(F32="",50&lt;=F32)),1,0)+IF(AND(50&gt;=E37,OR(F37="",50&lt;=F37)),1,0)+IF(AND(50&gt;=E39,OR(F39="",50&lt;=F39)),1,0)</f>
        <v>12</v>
      </c>
      <c r="BE48" s="16" t="n">
        <f aca="false">IF(AND(51&gt;=E6,OR(F6="",51&lt;=F6)),1,0)+IF(AND(51&gt;=E8,OR(F8="",51&lt;=F8)),1,0)+IF(AND(51&gt;=E10,OR(F10="",51&lt;=F10)),1,0)+IF(AND(51&gt;=E13,OR(F13="",51&lt;=F13)),1,0)+IF(AND(51&gt;=E14,OR(F14="",51&lt;=F14)),1,0)+IF(AND(51&gt;=E17,OR(F17="",51&lt;=F17)),1,0)+IF(AND(51&gt;=E22,OR(F22="",51&lt;=F22)),1,0)+IF(AND(51&gt;=E25,OR(F25="",51&lt;=F25)),1,0)+IF(AND(51&gt;=E26,OR(F26="",51&lt;=F26)),1,0)+IF(AND(51&gt;=E29,OR(F29="",51&lt;=F29)),1,0)+IF(AND(51&gt;=E32,OR(F32="",51&lt;=F32)),1,0)+IF(AND(51&gt;=E37,OR(F37="",51&lt;=F37)),1,0)+IF(AND(51&gt;=E39,OR(F39="",51&lt;=F39)),1,0)</f>
        <v>12</v>
      </c>
      <c r="BF48" s="16" t="n">
        <f aca="false">IF(AND(52&gt;=E6,OR(F6="",52&lt;=F6)),1,0)+IF(AND(52&gt;=E8,OR(F8="",52&lt;=F8)),1,0)+IF(AND(52&gt;=E10,OR(F10="",52&lt;=F10)),1,0)+IF(AND(52&gt;=E13,OR(F13="",52&lt;=F13)),1,0)+IF(AND(52&gt;=E14,OR(F14="",52&lt;=F14)),1,0)+IF(AND(52&gt;=E17,OR(F17="",52&lt;=F17)),1,0)+IF(AND(52&gt;=E22,OR(F22="",52&lt;=F22)),1,0)+IF(AND(52&gt;=E25,OR(F25="",52&lt;=F25)),1,0)+IF(AND(52&gt;=E26,OR(F26="",52&lt;=F26)),1,0)+IF(AND(52&gt;=E29,OR(F29="",52&lt;=F29)),1,0)+IF(AND(52&gt;=E32,OR(F32="",52&lt;=F32)),1,0)+IF(AND(52&gt;=E37,OR(F37="",52&lt;=F37)),1,0)+IF(AND(52&gt;=E39,OR(F39="",52&lt;=F39)),1,0)</f>
        <v>12</v>
      </c>
      <c r="BG48" s="16" t="n">
        <f aca="false">IF(AND(53&gt;=E6,OR(F6="",53&lt;=F6)),1,0)+IF(AND(53&gt;=E8,OR(F8="",53&lt;=F8)),1,0)+IF(AND(53&gt;=E10,OR(F10="",53&lt;=F10)),1,0)+IF(AND(53&gt;=E13,OR(F13="",53&lt;=F13)),1,0)+IF(AND(53&gt;=E14,OR(F14="",53&lt;=F14)),1,0)+IF(AND(53&gt;=E17,OR(F17="",53&lt;=F17)),1,0)+IF(AND(53&gt;=E22,OR(F22="",53&lt;=F22)),1,0)+IF(AND(53&gt;=E25,OR(F25="",53&lt;=F25)),1,0)+IF(AND(53&gt;=E26,OR(F26="",53&lt;=F26)),1,0)+IF(AND(53&gt;=E29,OR(F29="",53&lt;=F29)),1,0)+IF(AND(53&gt;=E32,OR(F32="",53&lt;=F32)),1,0)+IF(AND(53&gt;=E37,OR(F37="",53&lt;=F37)),1,0)+IF(AND(53&gt;=E39,OR(F39="",53&lt;=F39)),1,0)</f>
        <v>12</v>
      </c>
      <c r="BH48" s="16" t="n">
        <f aca="false">IF(AND(54&gt;=E6,OR(F6="",54&lt;=F6)),1,0)+IF(AND(54&gt;=E8,OR(F8="",54&lt;=F8)),1,0)+IF(AND(54&gt;=E10,OR(F10="",54&lt;=F10)),1,0)+IF(AND(54&gt;=E13,OR(F13="",54&lt;=F13)),1,0)+IF(AND(54&gt;=E14,OR(F14="",54&lt;=F14)),1,0)+IF(AND(54&gt;=E17,OR(F17="",54&lt;=F17)),1,0)+IF(AND(54&gt;=E22,OR(F22="",54&lt;=F22)),1,0)+IF(AND(54&gt;=E25,OR(F25="",54&lt;=F25)),1,0)+IF(AND(54&gt;=E26,OR(F26="",54&lt;=F26)),1,0)+IF(AND(54&gt;=E29,OR(F29="",54&lt;=F29)),1,0)+IF(AND(54&gt;=E32,OR(F32="",54&lt;=F32)),1,0)+IF(AND(54&gt;=E37,OR(F37="",54&lt;=F37)),1,0)+IF(AND(54&gt;=E39,OR(F39="",54&lt;=F39)),1,0)</f>
        <v>13</v>
      </c>
      <c r="BI48" s="16" t="n">
        <f aca="false">IF(AND(55&gt;=E6,OR(F6="",55&lt;=F6)),1,0)+IF(AND(55&gt;=E8,OR(F8="",55&lt;=F8)),1,0)+IF(AND(55&gt;=E10,OR(F10="",55&lt;=F10)),1,0)+IF(AND(55&gt;=E13,OR(F13="",55&lt;=F13)),1,0)+IF(AND(55&gt;=E14,OR(F14="",55&lt;=F14)),1,0)+IF(AND(55&gt;=E17,OR(F17="",55&lt;=F17)),1,0)+IF(AND(55&gt;=E22,OR(F22="",55&lt;=F22)),1,0)+IF(AND(55&gt;=E25,OR(F25="",55&lt;=F25)),1,0)+IF(AND(55&gt;=E26,OR(F26="",55&lt;=F26)),1,0)+IF(AND(55&gt;=E29,OR(F29="",55&lt;=F29)),1,0)+IF(AND(55&gt;=E32,OR(F32="",55&lt;=F32)),1,0)+IF(AND(55&gt;=E37,OR(F37="",55&lt;=F37)),1,0)+IF(AND(55&gt;=E39,OR(F39="",55&lt;=F39)),1,0)</f>
        <v>13</v>
      </c>
      <c r="BJ48" s="16" t="n">
        <f aca="false">IF(AND(56&gt;=E6,OR(F6="",56&lt;=F6)),1,0)+IF(AND(56&gt;=E8,OR(F8="",56&lt;=F8)),1,0)+IF(AND(56&gt;=E10,OR(F10="",56&lt;=F10)),1,0)+IF(AND(56&gt;=E13,OR(F13="",56&lt;=F13)),1,0)+IF(AND(56&gt;=E14,OR(F14="",56&lt;=F14)),1,0)+IF(AND(56&gt;=E17,OR(F17="",56&lt;=F17)),1,0)+IF(AND(56&gt;=E22,OR(F22="",56&lt;=F22)),1,0)+IF(AND(56&gt;=E25,OR(F25="",56&lt;=F25)),1,0)+IF(AND(56&gt;=E26,OR(F26="",56&lt;=F26)),1,0)+IF(AND(56&gt;=E29,OR(F29="",56&lt;=F29)),1,0)+IF(AND(56&gt;=E32,OR(F32="",56&lt;=F32)),1,0)+IF(AND(56&gt;=E37,OR(F37="",56&lt;=F37)),1,0)+IF(AND(56&gt;=E39,OR(F39="",56&lt;=F39)),1,0)</f>
        <v>13</v>
      </c>
      <c r="BK48" s="16" t="n">
        <f aca="false">IF(AND(57&gt;=E6,OR(F6="",57&lt;=F6)),1,0)+IF(AND(57&gt;=E8,OR(F8="",57&lt;=F8)),1,0)+IF(AND(57&gt;=E10,OR(F10="",57&lt;=F10)),1,0)+IF(AND(57&gt;=E13,OR(F13="",57&lt;=F13)),1,0)+IF(AND(57&gt;=E14,OR(F14="",57&lt;=F14)),1,0)+IF(AND(57&gt;=E17,OR(F17="",57&lt;=F17)),1,0)+IF(AND(57&gt;=E22,OR(F22="",57&lt;=F22)),1,0)+IF(AND(57&gt;=E25,OR(F25="",57&lt;=F25)),1,0)+IF(AND(57&gt;=E26,OR(F26="",57&lt;=F26)),1,0)+IF(AND(57&gt;=E29,OR(F29="",57&lt;=F29)),1,0)+IF(AND(57&gt;=E32,OR(F32="",57&lt;=F32)),1,0)+IF(AND(57&gt;=E37,OR(F37="",57&lt;=F37)),1,0)+IF(AND(57&gt;=E39,OR(F39="",57&lt;=F39)),1,0)</f>
        <v>13</v>
      </c>
      <c r="BL48" s="16" t="n">
        <f aca="false">IF(AND(58&gt;=E6,OR(F6="",58&lt;=F6)),1,0)+IF(AND(58&gt;=E8,OR(F8="",58&lt;=F8)),1,0)+IF(AND(58&gt;=E10,OR(F10="",58&lt;=F10)),1,0)+IF(AND(58&gt;=E13,OR(F13="",58&lt;=F13)),1,0)+IF(AND(58&gt;=E14,OR(F14="",58&lt;=F14)),1,0)+IF(AND(58&gt;=E17,OR(F17="",58&lt;=F17)),1,0)+IF(AND(58&gt;=E22,OR(F22="",58&lt;=F22)),1,0)+IF(AND(58&gt;=E25,OR(F25="",58&lt;=F25)),1,0)+IF(AND(58&gt;=E26,OR(F26="",58&lt;=F26)),1,0)+IF(AND(58&gt;=E29,OR(F29="",58&lt;=F29)),1,0)+IF(AND(58&gt;=E32,OR(F32="",58&lt;=F32)),1,0)+IF(AND(58&gt;=E37,OR(F37="",58&lt;=F37)),1,0)+IF(AND(58&gt;=E39,OR(F39="",58&lt;=F39)),1,0)</f>
        <v>13</v>
      </c>
      <c r="BM48" s="16" t="n">
        <f aca="false">IF(AND(59&gt;=E6,OR(F6="",59&lt;=F6)),1,0)+IF(AND(59&gt;=E8,OR(F8="",59&lt;=F8)),1,0)+IF(AND(59&gt;=E10,OR(F10="",59&lt;=F10)),1,0)+IF(AND(59&gt;=E13,OR(F13="",59&lt;=F13)),1,0)+IF(AND(59&gt;=E14,OR(F14="",59&lt;=F14)),1,0)+IF(AND(59&gt;=E17,OR(F17="",59&lt;=F17)),1,0)+IF(AND(59&gt;=E22,OR(F22="",59&lt;=F22)),1,0)+IF(AND(59&gt;=E25,OR(F25="",59&lt;=F25)),1,0)+IF(AND(59&gt;=E26,OR(F26="",59&lt;=F26)),1,0)+IF(AND(59&gt;=E29,OR(F29="",59&lt;=F29)),1,0)+IF(AND(59&gt;=E32,OR(F32="",59&lt;=F32)),1,0)+IF(AND(59&gt;=E37,OR(F37="",59&lt;=F37)),1,0)+IF(AND(59&gt;=E39,OR(F39="",59&lt;=F39)),1,0)</f>
        <v>13</v>
      </c>
      <c r="BN48" s="16" t="n">
        <f aca="false">IF(AND(60&gt;=E6,OR(F6="",60&lt;=F6)),1,0)+IF(AND(60&gt;=E8,OR(F8="",60&lt;=F8)),1,0)+IF(AND(60&gt;=E10,OR(F10="",60&lt;=F10)),1,0)+IF(AND(60&gt;=E13,OR(F13="",60&lt;=F13)),1,0)+IF(AND(60&gt;=E14,OR(F14="",60&lt;=F14)),1,0)+IF(AND(60&gt;=E17,OR(F17="",60&lt;=F17)),1,0)+IF(AND(60&gt;=E22,OR(F22="",60&lt;=F22)),1,0)+IF(AND(60&gt;=E25,OR(F25="",60&lt;=F25)),1,0)+IF(AND(60&gt;=E26,OR(F26="",60&lt;=F26)),1,0)+IF(AND(60&gt;=E29,OR(F29="",60&lt;=F29)),1,0)+IF(AND(60&gt;=E32,OR(F32="",60&lt;=F32)),1,0)+IF(AND(60&gt;=E37,OR(F37="",60&lt;=F37)),1,0)+IF(AND(60&gt;=E39,OR(F39="",60&lt;=F39)),1,0)</f>
        <v>13</v>
      </c>
    </row>
    <row r="49" customFormat="false" ht="14.25" hidden="false" customHeight="false" outlineLevel="0" collapsed="false">
      <c r="B49" s="7" t="s">
        <v>388</v>
      </c>
      <c r="G49" s="16" t="n">
        <f aca="false">IF(AND(1&gt;=E20,OR(F20="",1&lt;=F20)),1,0)+IF(AND(1&gt;=E35,OR(F35="",1&lt;=F35)),1,0)+IF(AND(1&gt;=E41,OR(F41="",1&lt;=F41)),1,0)</f>
        <v>0</v>
      </c>
      <c r="H49" s="16" t="n">
        <f aca="false">IF(AND(2&gt;=E20,OR(F20="",2&lt;=F20)),1,0)+IF(AND(2&gt;=E35,OR(F35="",2&lt;=F35)),1,0)+IF(AND(2&gt;=E41,OR(F41="",2&lt;=F41)),1,0)</f>
        <v>0</v>
      </c>
      <c r="I49" s="16" t="n">
        <f aca="false">IF(AND(3&gt;=E20,OR(F20="",3&lt;=F20)),1,0)+IF(AND(3&gt;=E35,OR(F35="",3&lt;=F35)),1,0)+IF(AND(3&gt;=E41,OR(F41="",3&lt;=F41)),1,0)</f>
        <v>0</v>
      </c>
      <c r="J49" s="16" t="n">
        <f aca="false">IF(AND(4&gt;=E20,OR(F20="",4&lt;=F20)),1,0)+IF(AND(4&gt;=E35,OR(F35="",4&lt;=F35)),1,0)+IF(AND(4&gt;=E41,OR(F41="",4&lt;=F41)),1,0)</f>
        <v>0</v>
      </c>
      <c r="K49" s="16" t="n">
        <f aca="false">IF(AND(5&gt;=E20,OR(F20="",5&lt;=F20)),1,0)+IF(AND(5&gt;=E35,OR(F35="",5&lt;=F35)),1,0)+IF(AND(5&gt;=E41,OR(F41="",5&lt;=F41)),1,0)</f>
        <v>0</v>
      </c>
      <c r="L49" s="16" t="n">
        <f aca="false">IF(AND(6&gt;=E20,OR(F20="",6&lt;=F20)),1,0)+IF(AND(6&gt;=E35,OR(F35="",6&lt;=F35)),1,0)+IF(AND(6&gt;=E41,OR(F41="",6&lt;=F41)),1,0)</f>
        <v>0</v>
      </c>
      <c r="M49" s="16" t="n">
        <f aca="false">IF(AND(7&gt;=E20,OR(F20="",7&lt;=F20)),1,0)+IF(AND(7&gt;=E35,OR(F35="",7&lt;=F35)),1,0)+IF(AND(7&gt;=E41,OR(F41="",7&lt;=F41)),1,0)</f>
        <v>0</v>
      </c>
      <c r="N49" s="16" t="n">
        <f aca="false">IF(AND(8&gt;=E20,OR(F20="",8&lt;=F20)),1,0)+IF(AND(8&gt;=E35,OR(F35="",8&lt;=F35)),1,0)+IF(AND(8&gt;=E41,OR(F41="",8&lt;=F41)),1,0)</f>
        <v>0</v>
      </c>
      <c r="O49" s="16" t="n">
        <f aca="false">IF(AND(9&gt;=E20,OR(F20="",9&lt;=F20)),1,0)+IF(AND(9&gt;=E35,OR(F35="",9&lt;=F35)),1,0)+IF(AND(9&gt;=E41,OR(F41="",9&lt;=F41)),1,0)</f>
        <v>0</v>
      </c>
      <c r="P49" s="16" t="n">
        <f aca="false">IF(AND(10&gt;=E20,OR(F20="",10&lt;=F20)),1,0)+IF(AND(10&gt;=E35,OR(F35="",10&lt;=F35)),1,0)+IF(AND(10&gt;=E41,OR(F41="",10&lt;=F41)),1,0)</f>
        <v>0</v>
      </c>
      <c r="Q49" s="16" t="n">
        <f aca="false">IF(AND(11&gt;=E20,OR(F20="",11&lt;=F20)),1,0)+IF(AND(11&gt;=E35,OR(F35="",11&lt;=F35)),1,0)+IF(AND(11&gt;=E41,OR(F41="",11&lt;=F41)),1,0)</f>
        <v>0</v>
      </c>
      <c r="R49" s="16" t="n">
        <f aca="false">IF(AND(12&gt;=E20,OR(F20="",12&lt;=F20)),1,0)+IF(AND(12&gt;=E35,OR(F35="",12&lt;=F35)),1,0)+IF(AND(12&gt;=E41,OR(F41="",12&lt;=F41)),1,0)</f>
        <v>0</v>
      </c>
      <c r="S49" s="16" t="n">
        <f aca="false">IF(AND(13&gt;=E20,OR(F20="",13&lt;=F20)),1,0)+IF(AND(13&gt;=E35,OR(F35="",13&lt;=F35)),1,0)+IF(AND(13&gt;=E41,OR(F41="",13&lt;=F41)),1,0)</f>
        <v>0</v>
      </c>
      <c r="T49" s="16" t="n">
        <f aca="false">IF(AND(14&gt;=E20,OR(F20="",14&lt;=F20)),1,0)+IF(AND(14&gt;=E35,OR(F35="",14&lt;=F35)),1,0)+IF(AND(14&gt;=E41,OR(F41="",14&lt;=F41)),1,0)</f>
        <v>0</v>
      </c>
      <c r="U49" s="16" t="n">
        <f aca="false">IF(AND(15&gt;=E20,OR(F20="",15&lt;=F20)),1,0)+IF(AND(15&gt;=E35,OR(F35="",15&lt;=F35)),1,0)+IF(AND(15&gt;=E41,OR(F41="",15&lt;=F41)),1,0)</f>
        <v>1</v>
      </c>
      <c r="V49" s="16" t="n">
        <f aca="false">IF(AND(16&gt;=E20,OR(F20="",16&lt;=F20)),1,0)+IF(AND(16&gt;=E35,OR(F35="",16&lt;=F35)),1,0)+IF(AND(16&gt;=E41,OR(F41="",16&lt;=F41)),1,0)</f>
        <v>1</v>
      </c>
      <c r="W49" s="16" t="n">
        <f aca="false">IF(AND(17&gt;=E20,OR(F20="",17&lt;=F20)),1,0)+IF(AND(17&gt;=E35,OR(F35="",17&lt;=F35)),1,0)+IF(AND(17&gt;=E41,OR(F41="",17&lt;=F41)),1,0)</f>
        <v>1</v>
      </c>
      <c r="X49" s="16" t="n">
        <f aca="false">IF(AND(18&gt;=E20,OR(F20="",18&lt;=F20)),1,0)+IF(AND(18&gt;=E35,OR(F35="",18&lt;=F35)),1,0)+IF(AND(18&gt;=E41,OR(F41="",18&lt;=F41)),1,0)</f>
        <v>1</v>
      </c>
      <c r="Y49" s="16" t="n">
        <f aca="false">IF(AND(19&gt;=E20,OR(F20="",19&lt;=F20)),1,0)+IF(AND(19&gt;=E35,OR(F35="",19&lt;=F35)),1,0)+IF(AND(19&gt;=E41,OR(F41="",19&lt;=F41)),1,0)</f>
        <v>1</v>
      </c>
      <c r="Z49" s="16" t="n">
        <f aca="false">IF(AND(20&gt;=E20,OR(F20="",20&lt;=F20)),1,0)+IF(AND(20&gt;=E35,OR(F35="",20&lt;=F35)),1,0)+IF(AND(20&gt;=E41,OR(F41="",20&lt;=F41)),1,0)</f>
        <v>1</v>
      </c>
      <c r="AA49" s="16" t="n">
        <f aca="false">IF(AND(21&gt;=E20,OR(F20="",21&lt;=F20)),1,0)+IF(AND(21&gt;=E35,OR(F35="",21&lt;=F35)),1,0)+IF(AND(21&gt;=E41,OR(F41="",21&lt;=F41)),1,0)</f>
        <v>1</v>
      </c>
      <c r="AB49" s="16" t="n">
        <f aca="false">IF(AND(22&gt;=E20,OR(F20="",22&lt;=F20)),1,0)+IF(AND(22&gt;=E35,OR(F35="",22&lt;=F35)),1,0)+IF(AND(22&gt;=E41,OR(F41="",22&lt;=F41)),1,0)</f>
        <v>1</v>
      </c>
      <c r="AC49" s="16" t="n">
        <f aca="false">IF(AND(23&gt;=E20,OR(F20="",23&lt;=F20)),1,0)+IF(AND(23&gt;=E35,OR(F35="",23&lt;=F35)),1,0)+IF(AND(23&gt;=E41,OR(F41="",23&lt;=F41)),1,0)</f>
        <v>1</v>
      </c>
      <c r="AD49" s="16" t="n">
        <f aca="false">IF(AND(24&gt;=E20,OR(F20="",24&lt;=F20)),1,0)+IF(AND(24&gt;=E35,OR(F35="",24&lt;=F35)),1,0)+IF(AND(24&gt;=E41,OR(F41="",24&lt;=F41)),1,0)</f>
        <v>1</v>
      </c>
      <c r="AE49" s="16" t="n">
        <f aca="false">IF(AND(25&gt;=E20,OR(F20="",25&lt;=F20)),1,0)+IF(AND(25&gt;=E35,OR(F35="",25&lt;=F35)),1,0)+IF(AND(25&gt;=E41,OR(F41="",25&lt;=F41)),1,0)</f>
        <v>1</v>
      </c>
      <c r="AF49" s="16" t="n">
        <f aca="false">IF(AND(26&gt;=E20,OR(F20="",26&lt;=F20)),1,0)+IF(AND(26&gt;=E35,OR(F35="",26&lt;=F35)),1,0)+IF(AND(26&gt;=E41,OR(F41="",26&lt;=F41)),1,0)</f>
        <v>1</v>
      </c>
      <c r="AG49" s="16" t="n">
        <f aca="false">IF(AND(27&gt;=E20,OR(F20="",27&lt;=F20)),1,0)+IF(AND(27&gt;=E35,OR(F35="",27&lt;=F35)),1,0)+IF(AND(27&gt;=E41,OR(F41="",27&lt;=F41)),1,0)</f>
        <v>1</v>
      </c>
      <c r="AH49" s="16" t="n">
        <f aca="false">IF(AND(28&gt;=E20,OR(F20="",28&lt;=F20)),1,0)+IF(AND(28&gt;=E35,OR(F35="",28&lt;=F35)),1,0)+IF(AND(28&gt;=E41,OR(F41="",28&lt;=F41)),1,0)</f>
        <v>1</v>
      </c>
      <c r="AI49" s="16" t="n">
        <f aca="false">IF(AND(29&gt;=E20,OR(F20="",29&lt;=F20)),1,0)+IF(AND(29&gt;=E35,OR(F35="",29&lt;=F35)),1,0)+IF(AND(29&gt;=E41,OR(F41="",29&lt;=F41)),1,0)</f>
        <v>1</v>
      </c>
      <c r="AJ49" s="16" t="n">
        <f aca="false">IF(AND(30&gt;=E20,OR(F20="",30&lt;=F20)),1,0)+IF(AND(30&gt;=E35,OR(F35="",30&lt;=F35)),1,0)+IF(AND(30&gt;=E41,OR(F41="",30&lt;=F41)),1,0)</f>
        <v>1</v>
      </c>
      <c r="AK49" s="16" t="n">
        <f aca="false">IF(AND(31&gt;=E20,OR(F20="",31&lt;=F20)),1,0)+IF(AND(31&gt;=E35,OR(F35="",31&lt;=F35)),1,0)+IF(AND(31&gt;=E41,OR(F41="",31&lt;=F41)),1,0)</f>
        <v>1</v>
      </c>
      <c r="AL49" s="16" t="n">
        <f aca="false">IF(AND(32&gt;=E20,OR(F20="",32&lt;=F20)),1,0)+IF(AND(32&gt;=E35,OR(F35="",32&lt;=F35)),1,0)+IF(AND(32&gt;=E41,OR(F41="",32&lt;=F41)),1,0)</f>
        <v>1</v>
      </c>
      <c r="AM49" s="16" t="n">
        <f aca="false">IF(AND(33&gt;=E20,OR(F20="",33&lt;=F20)),1,0)+IF(AND(33&gt;=E35,OR(F35="",33&lt;=F35)),1,0)+IF(AND(33&gt;=E41,OR(F41="",33&lt;=F41)),1,0)</f>
        <v>1</v>
      </c>
      <c r="AN49" s="16" t="n">
        <f aca="false">IF(AND(34&gt;=E20,OR(F20="",34&lt;=F20)),1,0)+IF(AND(34&gt;=E35,OR(F35="",34&lt;=F35)),1,0)+IF(AND(34&gt;=E41,OR(F41="",34&lt;=F41)),1,0)</f>
        <v>1</v>
      </c>
      <c r="AO49" s="16" t="n">
        <f aca="false">IF(AND(35&gt;=E20,OR(F20="",35&lt;=F20)),1,0)+IF(AND(35&gt;=E35,OR(F35="",35&lt;=F35)),1,0)+IF(AND(35&gt;=E41,OR(F41="",35&lt;=F41)),1,0)</f>
        <v>1</v>
      </c>
      <c r="AP49" s="16" t="n">
        <f aca="false">IF(AND(36&gt;=E20,OR(F20="",36&lt;=F20)),1,0)+IF(AND(36&gt;=E35,OR(F35="",36&lt;=F35)),1,0)+IF(AND(36&gt;=E41,OR(F41="",36&lt;=F41)),1,0)</f>
        <v>1</v>
      </c>
      <c r="AQ49" s="16" t="n">
        <f aca="false">IF(AND(37&gt;=E20,OR(F20="",37&lt;=F20)),1,0)+IF(AND(37&gt;=E35,OR(F35="",37&lt;=F35)),1,0)+IF(AND(37&gt;=E41,OR(F41="",37&lt;=F41)),1,0)</f>
        <v>1</v>
      </c>
      <c r="AR49" s="16" t="n">
        <f aca="false">IF(AND(38&gt;=E20,OR(F20="",38&lt;=F20)),1,0)+IF(AND(38&gt;=E35,OR(F35="",38&lt;=F35)),1,0)+IF(AND(38&gt;=E41,OR(F41="",38&lt;=F41)),1,0)</f>
        <v>1</v>
      </c>
      <c r="AS49" s="16" t="n">
        <f aca="false">IF(AND(39&gt;=E20,OR(F20="",39&lt;=F20)),1,0)+IF(AND(39&gt;=E35,OR(F35="",39&lt;=F35)),1,0)+IF(AND(39&gt;=E41,OR(F41="",39&lt;=F41)),1,0)</f>
        <v>1</v>
      </c>
      <c r="AT49" s="16" t="n">
        <f aca="false">IF(AND(40&gt;=E20,OR(F20="",40&lt;=F20)),1,0)+IF(AND(40&gt;=E35,OR(F35="",40&lt;=F35)),1,0)+IF(AND(40&gt;=E41,OR(F41="",40&lt;=F41)),1,0)</f>
        <v>1</v>
      </c>
      <c r="AU49" s="16" t="n">
        <f aca="false">IF(AND(41&gt;=E20,OR(F20="",41&lt;=F20)),1,0)+IF(AND(41&gt;=E35,OR(F35="",41&lt;=F35)),1,0)+IF(AND(41&gt;=E41,OR(F41="",41&lt;=F41)),1,0)</f>
        <v>1</v>
      </c>
      <c r="AV49" s="16" t="n">
        <f aca="false">IF(AND(42&gt;=E20,OR(F20="",42&lt;=F20)),1,0)+IF(AND(42&gt;=E35,OR(F35="",42&lt;=F35)),1,0)+IF(AND(42&gt;=E41,OR(F41="",42&lt;=F41)),1,0)</f>
        <v>1</v>
      </c>
      <c r="AW49" s="16" t="n">
        <f aca="false">IF(AND(43&gt;=E20,OR(F20="",43&lt;=F20)),1,0)+IF(AND(43&gt;=E35,OR(F35="",43&lt;=F35)),1,0)+IF(AND(43&gt;=E41,OR(F41="",43&lt;=F41)),1,0)</f>
        <v>1</v>
      </c>
      <c r="AX49" s="16" t="n">
        <f aca="false">IF(AND(44&gt;=E20,OR(F20="",44&lt;=F20)),1,0)+IF(AND(44&gt;=E35,OR(F35="",44&lt;=F35)),1,0)+IF(AND(44&gt;=E41,OR(F41="",44&lt;=F41)),1,0)</f>
        <v>1</v>
      </c>
      <c r="AY49" s="16" t="n">
        <f aca="false">IF(AND(45&gt;=E20,OR(F20="",45&lt;=F20)),1,0)+IF(AND(45&gt;=E35,OR(F35="",45&lt;=F35)),1,0)+IF(AND(45&gt;=E41,OR(F41="",45&lt;=F41)),1,0)</f>
        <v>1</v>
      </c>
      <c r="AZ49" s="16" t="n">
        <f aca="false">IF(AND(46&gt;=E20,OR(F20="",46&lt;=F20)),1,0)+IF(AND(46&gt;=E35,OR(F35="",46&lt;=F35)),1,0)+IF(AND(46&gt;=E41,OR(F41="",46&lt;=F41)),1,0)</f>
        <v>2</v>
      </c>
      <c r="BA49" s="16" t="n">
        <f aca="false">IF(AND(47&gt;=E20,OR(F20="",47&lt;=F20)),1,0)+IF(AND(47&gt;=E35,OR(F35="",47&lt;=F35)),1,0)+IF(AND(47&gt;=E41,OR(F41="",47&lt;=F41)),1,0)</f>
        <v>2</v>
      </c>
      <c r="BB49" s="16" t="n">
        <f aca="false">IF(AND(48&gt;=E20,OR(F20="",48&lt;=F20)),1,0)+IF(AND(48&gt;=E35,OR(F35="",48&lt;=F35)),1,0)+IF(AND(48&gt;=E41,OR(F41="",48&lt;=F41)),1,0)</f>
        <v>2</v>
      </c>
      <c r="BC49" s="16" t="n">
        <f aca="false">IF(AND(49&gt;=E20,OR(F20="",49&lt;=F20)),1,0)+IF(AND(49&gt;=E35,OR(F35="",49&lt;=F35)),1,0)+IF(AND(49&gt;=E41,OR(F41="",49&lt;=F41)),1,0)</f>
        <v>2</v>
      </c>
      <c r="BD49" s="16" t="n">
        <f aca="false">IF(AND(50&gt;=E20,OR(F20="",50&lt;=F20)),1,0)+IF(AND(50&gt;=E35,OR(F35="",50&lt;=F35)),1,0)+IF(AND(50&gt;=E41,OR(F41="",50&lt;=F41)),1,0)</f>
        <v>2</v>
      </c>
      <c r="BE49" s="16" t="n">
        <f aca="false">IF(AND(51&gt;=E20,OR(F20="",51&lt;=F20)),1,0)+IF(AND(51&gt;=E35,OR(F35="",51&lt;=F35)),1,0)+IF(AND(51&gt;=E41,OR(F41="",51&lt;=F41)),1,0)</f>
        <v>2</v>
      </c>
      <c r="BF49" s="16" t="n">
        <f aca="false">IF(AND(52&gt;=E20,OR(F20="",52&lt;=F20)),1,0)+IF(AND(52&gt;=E35,OR(F35="",52&lt;=F35)),1,0)+IF(AND(52&gt;=E41,OR(F41="",52&lt;=F41)),1,0)</f>
        <v>2</v>
      </c>
      <c r="BG49" s="16" t="n">
        <f aca="false">IF(AND(53&gt;=E20,OR(F20="",53&lt;=F20)),1,0)+IF(AND(53&gt;=E35,OR(F35="",53&lt;=F35)),1,0)+IF(AND(53&gt;=E41,OR(F41="",53&lt;=F41)),1,0)</f>
        <v>2</v>
      </c>
      <c r="BH49" s="16" t="n">
        <f aca="false">IF(AND(54&gt;=E20,OR(F20="",54&lt;=F20)),1,0)+IF(AND(54&gt;=E35,OR(F35="",54&lt;=F35)),1,0)+IF(AND(54&gt;=E41,OR(F41="",54&lt;=F41)),1,0)</f>
        <v>2</v>
      </c>
      <c r="BI49" s="16" t="n">
        <f aca="false">IF(AND(55&gt;=E20,OR(F20="",55&lt;=F20)),1,0)+IF(AND(55&gt;=E35,OR(F35="",55&lt;=F35)),1,0)+IF(AND(55&gt;=E41,OR(F41="",55&lt;=F41)),1,0)</f>
        <v>2</v>
      </c>
      <c r="BJ49" s="16" t="n">
        <f aca="false">IF(AND(56&gt;=E20,OR(F20="",56&lt;=F20)),1,0)+IF(AND(56&gt;=E35,OR(F35="",56&lt;=F35)),1,0)+IF(AND(56&gt;=E41,OR(F41="",56&lt;=F41)),1,0)</f>
        <v>2</v>
      </c>
      <c r="BK49" s="16" t="n">
        <f aca="false">IF(AND(57&gt;=E20,OR(F20="",57&lt;=F20)),1,0)+IF(AND(57&gt;=E35,OR(F35="",57&lt;=F35)),1,0)+IF(AND(57&gt;=E41,OR(F41="",57&lt;=F41)),1,0)</f>
        <v>2</v>
      </c>
      <c r="BL49" s="16" t="n">
        <f aca="false">IF(AND(58&gt;=E20,OR(F20="",58&lt;=F20)),1,0)+IF(AND(58&gt;=E35,OR(F35="",58&lt;=F35)),1,0)+IF(AND(58&gt;=E41,OR(F41="",58&lt;=F41)),1,0)</f>
        <v>3</v>
      </c>
      <c r="BM49" s="16" t="n">
        <f aca="false">IF(AND(59&gt;=E20,OR(F20="",59&lt;=F20)),1,0)+IF(AND(59&gt;=E35,OR(F35="",59&lt;=F35)),1,0)+IF(AND(59&gt;=E41,OR(F41="",59&lt;=F41)),1,0)</f>
        <v>3</v>
      </c>
      <c r="BN49" s="16" t="n">
        <f aca="false">IF(AND(60&gt;=E20,OR(F20="",60&lt;=F20)),1,0)+IF(AND(60&gt;=E35,OR(F35="",60&lt;=F35)),1,0)+IF(AND(60&gt;=E41,OR(F41="",60&lt;=F41)),1,0)</f>
        <v>3</v>
      </c>
    </row>
    <row r="50" customFormat="false" ht="14.25" hidden="false" customHeight="false" outlineLevel="0" collapsed="false">
      <c r="B50" s="7" t="s">
        <v>389</v>
      </c>
      <c r="G50" s="16" t="n">
        <f aca="false">IF(AND(1&gt;=E9,OR(F9="",1&lt;=F9)),1,0)+IF(AND(1&gt;=E23,OR(F23="",1&lt;=F23)),1,0)+IF(AND(1&gt;=E31,OR(F31="",1&lt;=F31)),1,0)</f>
        <v>0</v>
      </c>
      <c r="H50" s="16" t="n">
        <f aca="false">IF(AND(2&gt;=E9,OR(F9="",2&lt;=F9)),1,0)+IF(AND(2&gt;=E23,OR(F23="",2&lt;=F23)),1,0)+IF(AND(2&gt;=E31,OR(F31="",2&lt;=F31)),1,0)</f>
        <v>1</v>
      </c>
      <c r="I50" s="16" t="n">
        <f aca="false">IF(AND(3&gt;=E9,OR(F9="",3&lt;=F9)),1,0)+IF(AND(3&gt;=E23,OR(F23="",3&lt;=F23)),1,0)+IF(AND(3&gt;=E31,OR(F31="",3&lt;=F31)),1,0)</f>
        <v>1</v>
      </c>
      <c r="J50" s="16" t="n">
        <f aca="false">IF(AND(4&gt;=E9,OR(F9="",4&lt;=F9)),1,0)+IF(AND(4&gt;=E23,OR(F23="",4&lt;=F23)),1,0)+IF(AND(4&gt;=E31,OR(F31="",4&lt;=F31)),1,0)</f>
        <v>1</v>
      </c>
      <c r="K50" s="16" t="n">
        <f aca="false">IF(AND(5&gt;=E9,OR(F9="",5&lt;=F9)),1,0)+IF(AND(5&gt;=E23,OR(F23="",5&lt;=F23)),1,0)+IF(AND(5&gt;=E31,OR(F31="",5&lt;=F31)),1,0)</f>
        <v>1</v>
      </c>
      <c r="L50" s="16" t="n">
        <f aca="false">IF(AND(6&gt;=E9,OR(F9="",6&lt;=F9)),1,0)+IF(AND(6&gt;=E23,OR(F23="",6&lt;=F23)),1,0)+IF(AND(6&gt;=E31,OR(F31="",6&lt;=F31)),1,0)</f>
        <v>1</v>
      </c>
      <c r="M50" s="16" t="n">
        <f aca="false">IF(AND(7&gt;=E9,OR(F9="",7&lt;=F9)),1,0)+IF(AND(7&gt;=E23,OR(F23="",7&lt;=F23)),1,0)+IF(AND(7&gt;=E31,OR(F31="",7&lt;=F31)),1,0)</f>
        <v>1</v>
      </c>
      <c r="N50" s="16" t="n">
        <f aca="false">IF(AND(8&gt;=E9,OR(F9="",8&lt;=F9)),1,0)+IF(AND(8&gt;=E23,OR(F23="",8&lt;=F23)),1,0)+IF(AND(8&gt;=E31,OR(F31="",8&lt;=F31)),1,0)</f>
        <v>1</v>
      </c>
      <c r="O50" s="16" t="n">
        <f aca="false">IF(AND(9&gt;=E9,OR(F9="",9&lt;=F9)),1,0)+IF(AND(9&gt;=E23,OR(F23="",9&lt;=F23)),1,0)+IF(AND(9&gt;=E31,OR(F31="",9&lt;=F31)),1,0)</f>
        <v>1</v>
      </c>
      <c r="P50" s="16" t="n">
        <f aca="false">IF(AND(10&gt;=E9,OR(F9="",10&lt;=F9)),1,0)+IF(AND(10&gt;=E23,OR(F23="",10&lt;=F23)),1,0)+IF(AND(10&gt;=E31,OR(F31="",10&lt;=F31)),1,0)</f>
        <v>1</v>
      </c>
      <c r="Q50" s="16" t="n">
        <f aca="false">IF(AND(11&gt;=E9,OR(F9="",11&lt;=F9)),1,0)+IF(AND(11&gt;=E23,OR(F23="",11&lt;=F23)),1,0)+IF(AND(11&gt;=E31,OR(F31="",11&lt;=F31)),1,0)</f>
        <v>1</v>
      </c>
      <c r="R50" s="16" t="n">
        <f aca="false">IF(AND(12&gt;=E9,OR(F9="",12&lt;=F9)),1,0)+IF(AND(12&gt;=E23,OR(F23="",12&lt;=F23)),1,0)+IF(AND(12&gt;=E31,OR(F31="",12&lt;=F31)),1,0)</f>
        <v>1</v>
      </c>
      <c r="S50" s="16" t="n">
        <f aca="false">IF(AND(13&gt;=E9,OR(F9="",13&lt;=F9)),1,0)+IF(AND(13&gt;=E23,OR(F23="",13&lt;=F23)),1,0)+IF(AND(13&gt;=E31,OR(F31="",13&lt;=F31)),1,0)</f>
        <v>1</v>
      </c>
      <c r="T50" s="16" t="n">
        <f aca="false">IF(AND(14&gt;=E9,OR(F9="",14&lt;=F9)),1,0)+IF(AND(14&gt;=E23,OR(F23="",14&lt;=F23)),1,0)+IF(AND(14&gt;=E31,OR(F31="",14&lt;=F31)),1,0)</f>
        <v>1</v>
      </c>
      <c r="U50" s="16" t="n">
        <f aca="false">IF(AND(15&gt;=E9,OR(F9="",15&lt;=F9)),1,0)+IF(AND(15&gt;=E23,OR(F23="",15&lt;=F23)),1,0)+IF(AND(15&gt;=E31,OR(F31="",15&lt;=F31)),1,0)</f>
        <v>1</v>
      </c>
      <c r="V50" s="16" t="n">
        <f aca="false">IF(AND(16&gt;=E9,OR(F9="",16&lt;=F9)),1,0)+IF(AND(16&gt;=E23,OR(F23="",16&lt;=F23)),1,0)+IF(AND(16&gt;=E31,OR(F31="",16&lt;=F31)),1,0)</f>
        <v>1</v>
      </c>
      <c r="W50" s="16" t="n">
        <f aca="false">IF(AND(17&gt;=E9,OR(F9="",17&lt;=F9)),1,0)+IF(AND(17&gt;=E23,OR(F23="",17&lt;=F23)),1,0)+IF(AND(17&gt;=E31,OR(F31="",17&lt;=F31)),1,0)</f>
        <v>1</v>
      </c>
      <c r="X50" s="16" t="n">
        <f aca="false">IF(AND(18&gt;=E9,OR(F9="",18&lt;=F9)),1,0)+IF(AND(18&gt;=E23,OR(F23="",18&lt;=F23)),1,0)+IF(AND(18&gt;=E31,OR(F31="",18&lt;=F31)),1,0)</f>
        <v>1</v>
      </c>
      <c r="Y50" s="16" t="n">
        <f aca="false">IF(AND(19&gt;=E9,OR(F9="",19&lt;=F9)),1,0)+IF(AND(19&gt;=E23,OR(F23="",19&lt;=F23)),1,0)+IF(AND(19&gt;=E31,OR(F31="",19&lt;=F31)),1,0)</f>
        <v>1</v>
      </c>
      <c r="Z50" s="16" t="n">
        <f aca="false">IF(AND(20&gt;=E9,OR(F9="",20&lt;=F9)),1,0)+IF(AND(20&gt;=E23,OR(F23="",20&lt;=F23)),1,0)+IF(AND(20&gt;=E31,OR(F31="",20&lt;=F31)),1,0)</f>
        <v>1</v>
      </c>
      <c r="AA50" s="16" t="n">
        <f aca="false">IF(AND(21&gt;=E9,OR(F9="",21&lt;=F9)),1,0)+IF(AND(21&gt;=E23,OR(F23="",21&lt;=F23)),1,0)+IF(AND(21&gt;=E31,OR(F31="",21&lt;=F31)),1,0)</f>
        <v>1</v>
      </c>
      <c r="AB50" s="16" t="n">
        <f aca="false">IF(AND(22&gt;=E9,OR(F9="",22&lt;=F9)),1,0)+IF(AND(22&gt;=E23,OR(F23="",22&lt;=F23)),1,0)+IF(AND(22&gt;=E31,OR(F31="",22&lt;=F31)),1,0)</f>
        <v>2</v>
      </c>
      <c r="AC50" s="16" t="n">
        <f aca="false">IF(AND(23&gt;=E9,OR(F9="",23&lt;=F9)),1,0)+IF(AND(23&gt;=E23,OR(F23="",23&lt;=F23)),1,0)+IF(AND(23&gt;=E31,OR(F31="",23&lt;=F31)),1,0)</f>
        <v>2</v>
      </c>
      <c r="AD50" s="16" t="n">
        <f aca="false">IF(AND(24&gt;=E9,OR(F9="",24&lt;=F9)),1,0)+IF(AND(24&gt;=E23,OR(F23="",24&lt;=F23)),1,0)+IF(AND(24&gt;=E31,OR(F31="",24&lt;=F31)),1,0)</f>
        <v>2</v>
      </c>
      <c r="AE50" s="16" t="n">
        <f aca="false">IF(AND(25&gt;=E9,OR(F9="",25&lt;=F9)),1,0)+IF(AND(25&gt;=E23,OR(F23="",25&lt;=F23)),1,0)+IF(AND(25&gt;=E31,OR(F31="",25&lt;=F31)),1,0)</f>
        <v>2</v>
      </c>
      <c r="AF50" s="16" t="n">
        <f aca="false">IF(AND(26&gt;=E9,OR(F9="",26&lt;=F9)),1,0)+IF(AND(26&gt;=E23,OR(F23="",26&lt;=F23)),1,0)+IF(AND(26&gt;=E31,OR(F31="",26&lt;=F31)),1,0)</f>
        <v>2</v>
      </c>
      <c r="AG50" s="16" t="n">
        <f aca="false">IF(AND(27&gt;=E9,OR(F9="",27&lt;=F9)),1,0)+IF(AND(27&gt;=E23,OR(F23="",27&lt;=F23)),1,0)+IF(AND(27&gt;=E31,OR(F31="",27&lt;=F31)),1,0)</f>
        <v>2</v>
      </c>
      <c r="AH50" s="16" t="n">
        <f aca="false">IF(AND(28&gt;=E9,OR(F9="",28&lt;=F9)),1,0)+IF(AND(28&gt;=E23,OR(F23="",28&lt;=F23)),1,0)+IF(AND(28&gt;=E31,OR(F31="",28&lt;=F31)),1,0)</f>
        <v>2</v>
      </c>
      <c r="AI50" s="16" t="n">
        <f aca="false">IF(AND(29&gt;=E9,OR(F9="",29&lt;=F9)),1,0)+IF(AND(29&gt;=E23,OR(F23="",29&lt;=F23)),1,0)+IF(AND(29&gt;=E31,OR(F31="",29&lt;=F31)),1,0)</f>
        <v>2</v>
      </c>
      <c r="AJ50" s="16" t="n">
        <f aca="false">IF(AND(30&gt;=E9,OR(F9="",30&lt;=F9)),1,0)+IF(AND(30&gt;=E23,OR(F23="",30&lt;=F23)),1,0)+IF(AND(30&gt;=E31,OR(F31="",30&lt;=F31)),1,0)</f>
        <v>2</v>
      </c>
      <c r="AK50" s="16" t="n">
        <f aca="false">IF(AND(31&gt;=E9,OR(F9="",31&lt;=F9)),1,0)+IF(AND(31&gt;=E23,OR(F23="",31&lt;=F23)),1,0)+IF(AND(31&gt;=E31,OR(F31="",31&lt;=F31)),1,0)</f>
        <v>2</v>
      </c>
      <c r="AL50" s="16" t="n">
        <f aca="false">IF(AND(32&gt;=E9,OR(F9="",32&lt;=F9)),1,0)+IF(AND(32&gt;=E23,OR(F23="",32&lt;=F23)),1,0)+IF(AND(32&gt;=E31,OR(F31="",32&lt;=F31)),1,0)</f>
        <v>2</v>
      </c>
      <c r="AM50" s="16" t="n">
        <f aca="false">IF(AND(33&gt;=E9,OR(F9="",33&lt;=F9)),1,0)+IF(AND(33&gt;=E23,OR(F23="",33&lt;=F23)),1,0)+IF(AND(33&gt;=E31,OR(F31="",33&lt;=F31)),1,0)</f>
        <v>2</v>
      </c>
      <c r="AN50" s="16" t="n">
        <f aca="false">IF(AND(34&gt;=E9,OR(F9="",34&lt;=F9)),1,0)+IF(AND(34&gt;=E23,OR(F23="",34&lt;=F23)),1,0)+IF(AND(34&gt;=E31,OR(F31="",34&lt;=F31)),1,0)</f>
        <v>2</v>
      </c>
      <c r="AO50" s="16" t="n">
        <f aca="false">IF(AND(35&gt;=E9,OR(F9="",35&lt;=F9)),1,0)+IF(AND(35&gt;=E23,OR(F23="",35&lt;=F23)),1,0)+IF(AND(35&gt;=E31,OR(F31="",35&lt;=F31)),1,0)</f>
        <v>2</v>
      </c>
      <c r="AP50" s="16" t="n">
        <f aca="false">IF(AND(36&gt;=E9,OR(F9="",36&lt;=F9)),1,0)+IF(AND(36&gt;=E23,OR(F23="",36&lt;=F23)),1,0)+IF(AND(36&gt;=E31,OR(F31="",36&lt;=F31)),1,0)</f>
        <v>2</v>
      </c>
      <c r="AQ50" s="16" t="n">
        <f aca="false">IF(AND(37&gt;=E9,OR(F9="",37&lt;=F9)),1,0)+IF(AND(37&gt;=E23,OR(F23="",37&lt;=F23)),1,0)+IF(AND(37&gt;=E31,OR(F31="",37&lt;=F31)),1,0)</f>
        <v>2</v>
      </c>
      <c r="AR50" s="16" t="n">
        <f aca="false">IF(AND(38&gt;=E9,OR(F9="",38&lt;=F9)),1,0)+IF(AND(38&gt;=E23,OR(F23="",38&lt;=F23)),1,0)+IF(AND(38&gt;=E31,OR(F31="",38&lt;=F31)),1,0)</f>
        <v>3</v>
      </c>
      <c r="AS50" s="16" t="n">
        <f aca="false">IF(AND(39&gt;=E9,OR(F9="",39&lt;=F9)),1,0)+IF(AND(39&gt;=E23,OR(F23="",39&lt;=F23)),1,0)+IF(AND(39&gt;=E31,OR(F31="",39&lt;=F31)),1,0)</f>
        <v>3</v>
      </c>
      <c r="AT50" s="16" t="n">
        <f aca="false">IF(AND(40&gt;=E9,OR(F9="",40&lt;=F9)),1,0)+IF(AND(40&gt;=E23,OR(F23="",40&lt;=F23)),1,0)+IF(AND(40&gt;=E31,OR(F31="",40&lt;=F31)),1,0)</f>
        <v>3</v>
      </c>
      <c r="AU50" s="16" t="n">
        <f aca="false">IF(AND(41&gt;=E9,OR(F9="",41&lt;=F9)),1,0)+IF(AND(41&gt;=E23,OR(F23="",41&lt;=F23)),1,0)+IF(AND(41&gt;=E31,OR(F31="",41&lt;=F31)),1,0)</f>
        <v>3</v>
      </c>
      <c r="AV50" s="16" t="n">
        <f aca="false">IF(AND(42&gt;=E9,OR(F9="",42&lt;=F9)),1,0)+IF(AND(42&gt;=E23,OR(F23="",42&lt;=F23)),1,0)+IF(AND(42&gt;=E31,OR(F31="",42&lt;=F31)),1,0)</f>
        <v>3</v>
      </c>
      <c r="AW50" s="16" t="n">
        <f aca="false">IF(AND(43&gt;=E9,OR(F9="",43&lt;=F9)),1,0)+IF(AND(43&gt;=E23,OR(F23="",43&lt;=F23)),1,0)+IF(AND(43&gt;=E31,OR(F31="",43&lt;=F31)),1,0)</f>
        <v>3</v>
      </c>
      <c r="AX50" s="16" t="n">
        <f aca="false">IF(AND(44&gt;=E9,OR(F9="",44&lt;=F9)),1,0)+IF(AND(44&gt;=E23,OR(F23="",44&lt;=F23)),1,0)+IF(AND(44&gt;=E31,OR(F31="",44&lt;=F31)),1,0)</f>
        <v>3</v>
      </c>
      <c r="AY50" s="16" t="n">
        <f aca="false">IF(AND(45&gt;=E9,OR(F9="",45&lt;=F9)),1,0)+IF(AND(45&gt;=E23,OR(F23="",45&lt;=F23)),1,0)+IF(AND(45&gt;=E31,OR(F31="",45&lt;=F31)),1,0)</f>
        <v>3</v>
      </c>
      <c r="AZ50" s="16" t="n">
        <f aca="false">IF(AND(46&gt;=E9,OR(F9="",46&lt;=F9)),1,0)+IF(AND(46&gt;=E23,OR(F23="",46&lt;=F23)),1,0)+IF(AND(46&gt;=E31,OR(F31="",46&lt;=F31)),1,0)</f>
        <v>3</v>
      </c>
      <c r="BA50" s="16" t="n">
        <f aca="false">IF(AND(47&gt;=E9,OR(F9="",47&lt;=F9)),1,0)+IF(AND(47&gt;=E23,OR(F23="",47&lt;=F23)),1,0)+IF(AND(47&gt;=E31,OR(F31="",47&lt;=F31)),1,0)</f>
        <v>3</v>
      </c>
      <c r="BB50" s="16" t="n">
        <f aca="false">IF(AND(48&gt;=E9,OR(F9="",48&lt;=F9)),1,0)+IF(AND(48&gt;=E23,OR(F23="",48&lt;=F23)),1,0)+IF(AND(48&gt;=E31,OR(F31="",48&lt;=F31)),1,0)</f>
        <v>3</v>
      </c>
      <c r="BC50" s="16" t="n">
        <f aca="false">IF(AND(49&gt;=E9,OR(F9="",49&lt;=F9)),1,0)+IF(AND(49&gt;=E23,OR(F23="",49&lt;=F23)),1,0)+IF(AND(49&gt;=E31,OR(F31="",49&lt;=F31)),1,0)</f>
        <v>3</v>
      </c>
      <c r="BD50" s="16" t="n">
        <f aca="false">IF(AND(50&gt;=E9,OR(F9="",50&lt;=F9)),1,0)+IF(AND(50&gt;=E23,OR(F23="",50&lt;=F23)),1,0)+IF(AND(50&gt;=E31,OR(F31="",50&lt;=F31)),1,0)</f>
        <v>3</v>
      </c>
      <c r="BE50" s="16" t="n">
        <f aca="false">IF(AND(51&gt;=E9,OR(F9="",51&lt;=F9)),1,0)+IF(AND(51&gt;=E23,OR(F23="",51&lt;=F23)),1,0)+IF(AND(51&gt;=E31,OR(F31="",51&lt;=F31)),1,0)</f>
        <v>3</v>
      </c>
      <c r="BF50" s="16" t="n">
        <f aca="false">IF(AND(52&gt;=E9,OR(F9="",52&lt;=F9)),1,0)+IF(AND(52&gt;=E23,OR(F23="",52&lt;=F23)),1,0)+IF(AND(52&gt;=E31,OR(F31="",52&lt;=F31)),1,0)</f>
        <v>3</v>
      </c>
      <c r="BG50" s="16" t="n">
        <f aca="false">IF(AND(53&gt;=E9,OR(F9="",53&lt;=F9)),1,0)+IF(AND(53&gt;=E23,OR(F23="",53&lt;=F23)),1,0)+IF(AND(53&gt;=E31,OR(F31="",53&lt;=F31)),1,0)</f>
        <v>3</v>
      </c>
      <c r="BH50" s="16" t="n">
        <f aca="false">IF(AND(54&gt;=E9,OR(F9="",54&lt;=F9)),1,0)+IF(AND(54&gt;=E23,OR(F23="",54&lt;=F23)),1,0)+IF(AND(54&gt;=E31,OR(F31="",54&lt;=F31)),1,0)</f>
        <v>3</v>
      </c>
      <c r="BI50" s="16" t="n">
        <f aca="false">IF(AND(55&gt;=E9,OR(F9="",55&lt;=F9)),1,0)+IF(AND(55&gt;=E23,OR(F23="",55&lt;=F23)),1,0)+IF(AND(55&gt;=E31,OR(F31="",55&lt;=F31)),1,0)</f>
        <v>3</v>
      </c>
      <c r="BJ50" s="16" t="n">
        <f aca="false">IF(AND(56&gt;=E9,OR(F9="",56&lt;=F9)),1,0)+IF(AND(56&gt;=E23,OR(F23="",56&lt;=F23)),1,0)+IF(AND(56&gt;=E31,OR(F31="",56&lt;=F31)),1,0)</f>
        <v>3</v>
      </c>
      <c r="BK50" s="16" t="n">
        <f aca="false">IF(AND(57&gt;=E9,OR(F9="",57&lt;=F9)),1,0)+IF(AND(57&gt;=E23,OR(F23="",57&lt;=F23)),1,0)+IF(AND(57&gt;=E31,OR(F31="",57&lt;=F31)),1,0)</f>
        <v>3</v>
      </c>
      <c r="BL50" s="16" t="n">
        <f aca="false">IF(AND(58&gt;=E9,OR(F9="",58&lt;=F9)),1,0)+IF(AND(58&gt;=E23,OR(F23="",58&lt;=F23)),1,0)+IF(AND(58&gt;=E31,OR(F31="",58&lt;=F31)),1,0)</f>
        <v>3</v>
      </c>
      <c r="BM50" s="16" t="n">
        <f aca="false">IF(AND(59&gt;=E9,OR(F9="",59&lt;=F9)),1,0)+IF(AND(59&gt;=E23,OR(F23="",59&lt;=F23)),1,0)+IF(AND(59&gt;=E31,OR(F31="",59&lt;=F31)),1,0)</f>
        <v>3</v>
      </c>
      <c r="BN50" s="16" t="n">
        <f aca="false">IF(AND(60&gt;=E9,OR(F9="",60&lt;=F9)),1,0)+IF(AND(60&gt;=E23,OR(F23="",60&lt;=F23)),1,0)+IF(AND(60&gt;=E31,OR(F31="",60&lt;=F31)),1,0)</f>
        <v>3</v>
      </c>
    </row>
    <row r="51" customFormat="false" ht="14.25" hidden="false" customHeight="false" outlineLevel="0" collapsed="false">
      <c r="B51" s="7" t="s">
        <v>390</v>
      </c>
      <c r="G51" s="16" t="n">
        <f aca="false">IF(AND(1&gt;=E7,OR(F7="",1&lt;=F7)),1,0)+IF(AND(1&gt;=E11,OR(F11="",1&lt;=F11)),1,0)+IF(AND(1&gt;=E15,OR(F15="",1&lt;=F15)),1,0)+IF(AND(1&gt;=E18,OR(F18="",1&lt;=F18)),1,0)+IF(AND(1&gt;=E24,OR(F24="",1&lt;=F24)),1,0)+IF(AND(1&gt;=E30,OR(F30="",1&lt;=F30)),1,0)+IF(AND(1&gt;=E36,OR(F36="",1&lt;=F36)),1,0)</f>
        <v>1</v>
      </c>
      <c r="H51" s="16" t="n">
        <f aca="false">IF(AND(2&gt;=E7,OR(F7="",2&lt;=F7)),1,0)+IF(AND(2&gt;=E11,OR(F11="",2&lt;=F11)),1,0)+IF(AND(2&gt;=E15,OR(F15="",2&lt;=F15)),1,0)+IF(AND(2&gt;=E18,OR(F18="",2&lt;=F18)),1,0)+IF(AND(2&gt;=E24,OR(F24="",2&lt;=F24)),1,0)+IF(AND(2&gt;=E30,OR(F30="",2&lt;=F30)),1,0)+IF(AND(2&gt;=E36,OR(F36="",2&lt;=F36)),1,0)</f>
        <v>1</v>
      </c>
      <c r="I51" s="16" t="n">
        <f aca="false">IF(AND(3&gt;=E7,OR(F7="",3&lt;=F7)),1,0)+IF(AND(3&gt;=E11,OR(F11="",3&lt;=F11)),1,0)+IF(AND(3&gt;=E15,OR(F15="",3&lt;=F15)),1,0)+IF(AND(3&gt;=E18,OR(F18="",3&lt;=F18)),1,0)+IF(AND(3&gt;=E24,OR(F24="",3&lt;=F24)),1,0)+IF(AND(3&gt;=E30,OR(F30="",3&lt;=F30)),1,0)+IF(AND(3&gt;=E36,OR(F36="",3&lt;=F36)),1,0)</f>
        <v>1</v>
      </c>
      <c r="J51" s="16" t="n">
        <f aca="false">IF(AND(4&gt;=E7,OR(F7="",4&lt;=F7)),1,0)+IF(AND(4&gt;=E11,OR(F11="",4&lt;=F11)),1,0)+IF(AND(4&gt;=E15,OR(F15="",4&lt;=F15)),1,0)+IF(AND(4&gt;=E18,OR(F18="",4&lt;=F18)),1,0)+IF(AND(4&gt;=E24,OR(F24="",4&lt;=F24)),1,0)+IF(AND(4&gt;=E30,OR(F30="",4&lt;=F30)),1,0)+IF(AND(4&gt;=E36,OR(F36="",4&lt;=F36)),1,0)</f>
        <v>2</v>
      </c>
      <c r="K51" s="16" t="n">
        <f aca="false">IF(AND(5&gt;=E7,OR(F7="",5&lt;=F7)),1,0)+IF(AND(5&gt;=E11,OR(F11="",5&lt;=F11)),1,0)+IF(AND(5&gt;=E15,OR(F15="",5&lt;=F15)),1,0)+IF(AND(5&gt;=E18,OR(F18="",5&lt;=F18)),1,0)+IF(AND(5&gt;=E24,OR(F24="",5&lt;=F24)),1,0)+IF(AND(5&gt;=E30,OR(F30="",5&lt;=F30)),1,0)+IF(AND(5&gt;=E36,OR(F36="",5&lt;=F36)),1,0)</f>
        <v>2</v>
      </c>
      <c r="L51" s="16" t="n">
        <f aca="false">IF(AND(6&gt;=E7,OR(F7="",6&lt;=F7)),1,0)+IF(AND(6&gt;=E11,OR(F11="",6&lt;=F11)),1,0)+IF(AND(6&gt;=E15,OR(F15="",6&lt;=F15)),1,0)+IF(AND(6&gt;=E18,OR(F18="",6&lt;=F18)),1,0)+IF(AND(6&gt;=E24,OR(F24="",6&lt;=F24)),1,0)+IF(AND(6&gt;=E30,OR(F30="",6&lt;=F30)),1,0)+IF(AND(6&gt;=E36,OR(F36="",6&lt;=F36)),1,0)</f>
        <v>2</v>
      </c>
      <c r="M51" s="16" t="n">
        <f aca="false">IF(AND(7&gt;=E7,OR(F7="",7&lt;=F7)),1,0)+IF(AND(7&gt;=E11,OR(F11="",7&lt;=F11)),1,0)+IF(AND(7&gt;=E15,OR(F15="",7&lt;=F15)),1,0)+IF(AND(7&gt;=E18,OR(F18="",7&lt;=F18)),1,0)+IF(AND(7&gt;=E24,OR(F24="",7&lt;=F24)),1,0)+IF(AND(7&gt;=E30,OR(F30="",7&lt;=F30)),1,0)+IF(AND(7&gt;=E36,OR(F36="",7&lt;=F36)),1,0)</f>
        <v>2</v>
      </c>
      <c r="N51" s="16" t="n">
        <f aca="false">IF(AND(8&gt;=E7,OR(F7="",8&lt;=F7)),1,0)+IF(AND(8&gt;=E11,OR(F11="",8&lt;=F11)),1,0)+IF(AND(8&gt;=E15,OR(F15="",8&lt;=F15)),1,0)+IF(AND(8&gt;=E18,OR(F18="",8&lt;=F18)),1,0)+IF(AND(8&gt;=E24,OR(F24="",8&lt;=F24)),1,0)+IF(AND(8&gt;=E30,OR(F30="",8&lt;=F30)),1,0)+IF(AND(8&gt;=E36,OR(F36="",8&lt;=F36)),1,0)</f>
        <v>2</v>
      </c>
      <c r="O51" s="16" t="n">
        <f aca="false">IF(AND(9&gt;=E7,OR(F7="",9&lt;=F7)),1,0)+IF(AND(9&gt;=E11,OR(F11="",9&lt;=F11)),1,0)+IF(AND(9&gt;=E15,OR(F15="",9&lt;=F15)),1,0)+IF(AND(9&gt;=E18,OR(F18="",9&lt;=F18)),1,0)+IF(AND(9&gt;=E24,OR(F24="",9&lt;=F24)),1,0)+IF(AND(9&gt;=E30,OR(F30="",9&lt;=F30)),1,0)+IF(AND(9&gt;=E36,OR(F36="",9&lt;=F36)),1,0)</f>
        <v>3</v>
      </c>
      <c r="P51" s="16" t="n">
        <f aca="false">IF(AND(10&gt;=E7,OR(F7="",10&lt;=F7)),1,0)+IF(AND(10&gt;=E11,OR(F11="",10&lt;=F11)),1,0)+IF(AND(10&gt;=E15,OR(F15="",10&lt;=F15)),1,0)+IF(AND(10&gt;=E18,OR(F18="",10&lt;=F18)),1,0)+IF(AND(10&gt;=E24,OR(F24="",10&lt;=F24)),1,0)+IF(AND(10&gt;=E30,OR(F30="",10&lt;=F30)),1,0)+IF(AND(10&gt;=E36,OR(F36="",10&lt;=F36)),1,0)</f>
        <v>3</v>
      </c>
      <c r="Q51" s="16" t="n">
        <f aca="false">IF(AND(11&gt;=E7,OR(F7="",11&lt;=F7)),1,0)+IF(AND(11&gt;=E11,OR(F11="",11&lt;=F11)),1,0)+IF(AND(11&gt;=E15,OR(F15="",11&lt;=F15)),1,0)+IF(AND(11&gt;=E18,OR(F18="",11&lt;=F18)),1,0)+IF(AND(11&gt;=E24,OR(F24="",11&lt;=F24)),1,0)+IF(AND(11&gt;=E30,OR(F30="",11&lt;=F30)),1,0)+IF(AND(11&gt;=E36,OR(F36="",11&lt;=F36)),1,0)</f>
        <v>3</v>
      </c>
      <c r="R51" s="16" t="n">
        <f aca="false">IF(AND(12&gt;=E7,OR(F7="",12&lt;=F7)),1,0)+IF(AND(12&gt;=E11,OR(F11="",12&lt;=F11)),1,0)+IF(AND(12&gt;=E15,OR(F15="",12&lt;=F15)),1,0)+IF(AND(12&gt;=E18,OR(F18="",12&lt;=F18)),1,0)+IF(AND(12&gt;=E24,OR(F24="",12&lt;=F24)),1,0)+IF(AND(12&gt;=E30,OR(F30="",12&lt;=F30)),1,0)+IF(AND(12&gt;=E36,OR(F36="",12&lt;=F36)),1,0)</f>
        <v>4</v>
      </c>
      <c r="S51" s="16" t="n">
        <f aca="false">IF(AND(13&gt;=E7,OR(F7="",13&lt;=F7)),1,0)+IF(AND(13&gt;=E11,OR(F11="",13&lt;=F11)),1,0)+IF(AND(13&gt;=E15,OR(F15="",13&lt;=F15)),1,0)+IF(AND(13&gt;=E18,OR(F18="",13&lt;=F18)),1,0)+IF(AND(13&gt;=E24,OR(F24="",13&lt;=F24)),1,0)+IF(AND(13&gt;=E30,OR(F30="",13&lt;=F30)),1,0)+IF(AND(13&gt;=E36,OR(F36="",13&lt;=F36)),1,0)</f>
        <v>4</v>
      </c>
      <c r="T51" s="16" t="n">
        <f aca="false">IF(AND(14&gt;=E7,OR(F7="",14&lt;=F7)),1,0)+IF(AND(14&gt;=E11,OR(F11="",14&lt;=F11)),1,0)+IF(AND(14&gt;=E15,OR(F15="",14&lt;=F15)),1,0)+IF(AND(14&gt;=E18,OR(F18="",14&lt;=F18)),1,0)+IF(AND(14&gt;=E24,OR(F24="",14&lt;=F24)),1,0)+IF(AND(14&gt;=E30,OR(F30="",14&lt;=F30)),1,0)+IF(AND(14&gt;=E36,OR(F36="",14&lt;=F36)),1,0)</f>
        <v>4</v>
      </c>
      <c r="U51" s="16" t="n">
        <f aca="false">IF(AND(15&gt;=E7,OR(F7="",15&lt;=F7)),1,0)+IF(AND(15&gt;=E11,OR(F11="",15&lt;=F11)),1,0)+IF(AND(15&gt;=E15,OR(F15="",15&lt;=F15)),1,0)+IF(AND(15&gt;=E18,OR(F18="",15&lt;=F18)),1,0)+IF(AND(15&gt;=E24,OR(F24="",15&lt;=F24)),1,0)+IF(AND(15&gt;=E30,OR(F30="",15&lt;=F30)),1,0)+IF(AND(15&gt;=E36,OR(F36="",15&lt;=F36)),1,0)</f>
        <v>4</v>
      </c>
      <c r="V51" s="16" t="n">
        <f aca="false">IF(AND(16&gt;=E7,OR(F7="",16&lt;=F7)),1,0)+IF(AND(16&gt;=E11,OR(F11="",16&lt;=F11)),1,0)+IF(AND(16&gt;=E15,OR(F15="",16&lt;=F15)),1,0)+IF(AND(16&gt;=E18,OR(F18="",16&lt;=F18)),1,0)+IF(AND(16&gt;=E24,OR(F24="",16&lt;=F24)),1,0)+IF(AND(16&gt;=E30,OR(F30="",16&lt;=F30)),1,0)+IF(AND(16&gt;=E36,OR(F36="",16&lt;=F36)),1,0)</f>
        <v>4</v>
      </c>
      <c r="W51" s="16" t="n">
        <f aca="false">IF(AND(17&gt;=E7,OR(F7="",17&lt;=F7)),1,0)+IF(AND(17&gt;=E11,OR(F11="",17&lt;=F11)),1,0)+IF(AND(17&gt;=E15,OR(F15="",17&lt;=F15)),1,0)+IF(AND(17&gt;=E18,OR(F18="",17&lt;=F18)),1,0)+IF(AND(17&gt;=E24,OR(F24="",17&lt;=F24)),1,0)+IF(AND(17&gt;=E30,OR(F30="",17&lt;=F30)),1,0)+IF(AND(17&gt;=E36,OR(F36="",17&lt;=F36)),1,0)</f>
        <v>4</v>
      </c>
      <c r="X51" s="16" t="n">
        <f aca="false">IF(AND(18&gt;=E7,OR(F7="",18&lt;=F7)),1,0)+IF(AND(18&gt;=E11,OR(F11="",18&lt;=F11)),1,0)+IF(AND(18&gt;=E15,OR(F15="",18&lt;=F15)),1,0)+IF(AND(18&gt;=E18,OR(F18="",18&lt;=F18)),1,0)+IF(AND(18&gt;=E24,OR(F24="",18&lt;=F24)),1,0)+IF(AND(18&gt;=E30,OR(F30="",18&lt;=F30)),1,0)+IF(AND(18&gt;=E36,OR(F36="",18&lt;=F36)),1,0)</f>
        <v>4</v>
      </c>
      <c r="Y51" s="16" t="n">
        <f aca="false">IF(AND(19&gt;=E7,OR(F7="",19&lt;=F7)),1,0)+IF(AND(19&gt;=E11,OR(F11="",19&lt;=F11)),1,0)+IF(AND(19&gt;=E15,OR(F15="",19&lt;=F15)),1,0)+IF(AND(19&gt;=E18,OR(F18="",19&lt;=F18)),1,0)+IF(AND(19&gt;=E24,OR(F24="",19&lt;=F24)),1,0)+IF(AND(19&gt;=E30,OR(F30="",19&lt;=F30)),1,0)+IF(AND(19&gt;=E36,OR(F36="",19&lt;=F36)),1,0)</f>
        <v>4</v>
      </c>
      <c r="Z51" s="16" t="n">
        <f aca="false">IF(AND(20&gt;=E7,OR(F7="",20&lt;=F7)),1,0)+IF(AND(20&gt;=E11,OR(F11="",20&lt;=F11)),1,0)+IF(AND(20&gt;=E15,OR(F15="",20&lt;=F15)),1,0)+IF(AND(20&gt;=E18,OR(F18="",20&lt;=F18)),1,0)+IF(AND(20&gt;=E24,OR(F24="",20&lt;=F24)),1,0)+IF(AND(20&gt;=E30,OR(F30="",20&lt;=F30)),1,0)+IF(AND(20&gt;=E36,OR(F36="",20&lt;=F36)),1,0)</f>
        <v>4</v>
      </c>
      <c r="AA51" s="16" t="n">
        <f aca="false">IF(AND(21&gt;=E7,OR(F7="",21&lt;=F7)),1,0)+IF(AND(21&gt;=E11,OR(F11="",21&lt;=F11)),1,0)+IF(AND(21&gt;=E15,OR(F15="",21&lt;=F15)),1,0)+IF(AND(21&gt;=E18,OR(F18="",21&lt;=F18)),1,0)+IF(AND(21&gt;=E24,OR(F24="",21&lt;=F24)),1,0)+IF(AND(21&gt;=E30,OR(F30="",21&lt;=F30)),1,0)+IF(AND(21&gt;=E36,OR(F36="",21&lt;=F36)),1,0)</f>
        <v>4</v>
      </c>
      <c r="AB51" s="16" t="n">
        <f aca="false">IF(AND(22&gt;=E7,OR(F7="",22&lt;=F7)),1,0)+IF(AND(22&gt;=E11,OR(F11="",22&lt;=F11)),1,0)+IF(AND(22&gt;=E15,OR(F15="",22&lt;=F15)),1,0)+IF(AND(22&gt;=E18,OR(F18="",22&lt;=F18)),1,0)+IF(AND(22&gt;=E24,OR(F24="",22&lt;=F24)),1,0)+IF(AND(22&gt;=E30,OR(F30="",22&lt;=F30)),1,0)+IF(AND(22&gt;=E36,OR(F36="",22&lt;=F36)),1,0)</f>
        <v>4</v>
      </c>
      <c r="AC51" s="16" t="n">
        <f aca="false">IF(AND(23&gt;=E7,OR(F7="",23&lt;=F7)),1,0)+IF(AND(23&gt;=E11,OR(F11="",23&lt;=F11)),1,0)+IF(AND(23&gt;=E15,OR(F15="",23&lt;=F15)),1,0)+IF(AND(23&gt;=E18,OR(F18="",23&lt;=F18)),1,0)+IF(AND(23&gt;=E24,OR(F24="",23&lt;=F24)),1,0)+IF(AND(23&gt;=E30,OR(F30="",23&lt;=F30)),1,0)+IF(AND(23&gt;=E36,OR(F36="",23&lt;=F36)),1,0)</f>
        <v>4</v>
      </c>
      <c r="AD51" s="16" t="n">
        <f aca="false">IF(AND(24&gt;=E7,OR(F7="",24&lt;=F7)),1,0)+IF(AND(24&gt;=E11,OR(F11="",24&lt;=F11)),1,0)+IF(AND(24&gt;=E15,OR(F15="",24&lt;=F15)),1,0)+IF(AND(24&gt;=E18,OR(F18="",24&lt;=F18)),1,0)+IF(AND(24&gt;=E24,OR(F24="",24&lt;=F24)),1,0)+IF(AND(24&gt;=E30,OR(F30="",24&lt;=F30)),1,0)+IF(AND(24&gt;=E36,OR(F36="",24&lt;=F36)),1,0)</f>
        <v>5</v>
      </c>
      <c r="AE51" s="16" t="n">
        <f aca="false">IF(AND(25&gt;=E7,OR(F7="",25&lt;=F7)),1,0)+IF(AND(25&gt;=E11,OR(F11="",25&lt;=F11)),1,0)+IF(AND(25&gt;=E15,OR(F15="",25&lt;=F15)),1,0)+IF(AND(25&gt;=E18,OR(F18="",25&lt;=F18)),1,0)+IF(AND(25&gt;=E24,OR(F24="",25&lt;=F24)),1,0)+IF(AND(25&gt;=E30,OR(F30="",25&lt;=F30)),1,0)+IF(AND(25&gt;=E36,OR(F36="",25&lt;=F36)),1,0)</f>
        <v>5</v>
      </c>
      <c r="AF51" s="16" t="n">
        <f aca="false">IF(AND(26&gt;=E7,OR(F7="",26&lt;=F7)),1,0)+IF(AND(26&gt;=E11,OR(F11="",26&lt;=F11)),1,0)+IF(AND(26&gt;=E15,OR(F15="",26&lt;=F15)),1,0)+IF(AND(26&gt;=E18,OR(F18="",26&lt;=F18)),1,0)+IF(AND(26&gt;=E24,OR(F24="",26&lt;=F24)),1,0)+IF(AND(26&gt;=E30,OR(F30="",26&lt;=F30)),1,0)+IF(AND(26&gt;=E36,OR(F36="",26&lt;=F36)),1,0)</f>
        <v>5</v>
      </c>
      <c r="AG51" s="16" t="n">
        <f aca="false">IF(AND(27&gt;=E7,OR(F7="",27&lt;=F7)),1,0)+IF(AND(27&gt;=E11,OR(F11="",27&lt;=F11)),1,0)+IF(AND(27&gt;=E15,OR(F15="",27&lt;=F15)),1,0)+IF(AND(27&gt;=E18,OR(F18="",27&lt;=F18)),1,0)+IF(AND(27&gt;=E24,OR(F24="",27&lt;=F24)),1,0)+IF(AND(27&gt;=E30,OR(F30="",27&lt;=F30)),1,0)+IF(AND(27&gt;=E36,OR(F36="",27&lt;=F36)),1,0)</f>
        <v>5</v>
      </c>
      <c r="AH51" s="16" t="n">
        <f aca="false">IF(AND(28&gt;=E7,OR(F7="",28&lt;=F7)),1,0)+IF(AND(28&gt;=E11,OR(F11="",28&lt;=F11)),1,0)+IF(AND(28&gt;=E15,OR(F15="",28&lt;=F15)),1,0)+IF(AND(28&gt;=E18,OR(F18="",28&lt;=F18)),1,0)+IF(AND(28&gt;=E24,OR(F24="",28&lt;=F24)),1,0)+IF(AND(28&gt;=E30,OR(F30="",28&lt;=F30)),1,0)+IF(AND(28&gt;=E36,OR(F36="",28&lt;=F36)),1,0)</f>
        <v>5</v>
      </c>
      <c r="AI51" s="16" t="n">
        <f aca="false">IF(AND(29&gt;=E7,OR(F7="",29&lt;=F7)),1,0)+IF(AND(29&gt;=E11,OR(F11="",29&lt;=F11)),1,0)+IF(AND(29&gt;=E15,OR(F15="",29&lt;=F15)),1,0)+IF(AND(29&gt;=E18,OR(F18="",29&lt;=F18)),1,0)+IF(AND(29&gt;=E24,OR(F24="",29&lt;=F24)),1,0)+IF(AND(29&gt;=E30,OR(F30="",29&lt;=F30)),1,0)+IF(AND(29&gt;=E36,OR(F36="",29&lt;=F36)),1,0)</f>
        <v>5</v>
      </c>
      <c r="AJ51" s="16" t="n">
        <f aca="false">IF(AND(30&gt;=E7,OR(F7="",30&lt;=F7)),1,0)+IF(AND(30&gt;=E11,OR(F11="",30&lt;=F11)),1,0)+IF(AND(30&gt;=E15,OR(F15="",30&lt;=F15)),1,0)+IF(AND(30&gt;=E18,OR(F18="",30&lt;=F18)),1,0)+IF(AND(30&gt;=E24,OR(F24="",30&lt;=F24)),1,0)+IF(AND(30&gt;=E30,OR(F30="",30&lt;=F30)),1,0)+IF(AND(30&gt;=E36,OR(F36="",30&lt;=F36)),1,0)</f>
        <v>5</v>
      </c>
      <c r="AK51" s="16" t="n">
        <f aca="false">IF(AND(31&gt;=E7,OR(F7="",31&lt;=F7)),1,0)+IF(AND(31&gt;=E11,OR(F11="",31&lt;=F11)),1,0)+IF(AND(31&gt;=E15,OR(F15="",31&lt;=F15)),1,0)+IF(AND(31&gt;=E18,OR(F18="",31&lt;=F18)),1,0)+IF(AND(31&gt;=E24,OR(F24="",31&lt;=F24)),1,0)+IF(AND(31&gt;=E30,OR(F30="",31&lt;=F30)),1,0)+IF(AND(31&gt;=E36,OR(F36="",31&lt;=F36)),1,0)</f>
        <v>5</v>
      </c>
      <c r="AL51" s="16" t="n">
        <f aca="false">IF(AND(32&gt;=E7,OR(F7="",32&lt;=F7)),1,0)+IF(AND(32&gt;=E11,OR(F11="",32&lt;=F11)),1,0)+IF(AND(32&gt;=E15,OR(F15="",32&lt;=F15)),1,0)+IF(AND(32&gt;=E18,OR(F18="",32&lt;=F18)),1,0)+IF(AND(32&gt;=E24,OR(F24="",32&lt;=F24)),1,0)+IF(AND(32&gt;=E30,OR(F30="",32&lt;=F30)),1,0)+IF(AND(32&gt;=E36,OR(F36="",32&lt;=F36)),1,0)</f>
        <v>5</v>
      </c>
      <c r="AM51" s="16" t="n">
        <f aca="false">IF(AND(33&gt;=E7,OR(F7="",33&lt;=F7)),1,0)+IF(AND(33&gt;=E11,OR(F11="",33&lt;=F11)),1,0)+IF(AND(33&gt;=E15,OR(F15="",33&lt;=F15)),1,0)+IF(AND(33&gt;=E18,OR(F18="",33&lt;=F18)),1,0)+IF(AND(33&gt;=E24,OR(F24="",33&lt;=F24)),1,0)+IF(AND(33&gt;=E30,OR(F30="",33&lt;=F30)),1,0)+IF(AND(33&gt;=E36,OR(F36="",33&lt;=F36)),1,0)</f>
        <v>5</v>
      </c>
      <c r="AN51" s="16" t="n">
        <f aca="false">IF(AND(34&gt;=E7,OR(F7="",34&lt;=F7)),1,0)+IF(AND(34&gt;=E11,OR(F11="",34&lt;=F11)),1,0)+IF(AND(34&gt;=E15,OR(F15="",34&lt;=F15)),1,0)+IF(AND(34&gt;=E18,OR(F18="",34&lt;=F18)),1,0)+IF(AND(34&gt;=E24,OR(F24="",34&lt;=F24)),1,0)+IF(AND(34&gt;=E30,OR(F30="",34&lt;=F30)),1,0)+IF(AND(34&gt;=E36,OR(F36="",34&lt;=F36)),1,0)</f>
        <v>5</v>
      </c>
      <c r="AO51" s="16" t="n">
        <f aca="false">IF(AND(35&gt;=E7,OR(F7="",35&lt;=F7)),1,0)+IF(AND(35&gt;=E11,OR(F11="",35&lt;=F11)),1,0)+IF(AND(35&gt;=E15,OR(F15="",35&lt;=F15)),1,0)+IF(AND(35&gt;=E18,OR(F18="",35&lt;=F18)),1,0)+IF(AND(35&gt;=E24,OR(F24="",35&lt;=F24)),1,0)+IF(AND(35&gt;=E30,OR(F30="",35&lt;=F30)),1,0)+IF(AND(35&gt;=E36,OR(F36="",35&lt;=F36)),1,0)</f>
        <v>5</v>
      </c>
      <c r="AP51" s="16" t="n">
        <f aca="false">IF(AND(36&gt;=E7,OR(F7="",36&lt;=F7)),1,0)+IF(AND(36&gt;=E11,OR(F11="",36&lt;=F11)),1,0)+IF(AND(36&gt;=E15,OR(F15="",36&lt;=F15)),1,0)+IF(AND(36&gt;=E18,OR(F18="",36&lt;=F18)),1,0)+IF(AND(36&gt;=E24,OR(F24="",36&lt;=F24)),1,0)+IF(AND(36&gt;=E30,OR(F30="",36&lt;=F30)),1,0)+IF(AND(36&gt;=E36,OR(F36="",36&lt;=F36)),1,0)</f>
        <v>6</v>
      </c>
      <c r="AQ51" s="16" t="n">
        <f aca="false">IF(AND(37&gt;=E7,OR(F7="",37&lt;=F7)),1,0)+IF(AND(37&gt;=E11,OR(F11="",37&lt;=F11)),1,0)+IF(AND(37&gt;=E15,OR(F15="",37&lt;=F15)),1,0)+IF(AND(37&gt;=E18,OR(F18="",37&lt;=F18)),1,0)+IF(AND(37&gt;=E24,OR(F24="",37&lt;=F24)),1,0)+IF(AND(37&gt;=E30,OR(F30="",37&lt;=F30)),1,0)+IF(AND(37&gt;=E36,OR(F36="",37&lt;=F36)),1,0)</f>
        <v>6</v>
      </c>
      <c r="AR51" s="16" t="n">
        <f aca="false">IF(AND(38&gt;=E7,OR(F7="",38&lt;=F7)),1,0)+IF(AND(38&gt;=E11,OR(F11="",38&lt;=F11)),1,0)+IF(AND(38&gt;=E15,OR(F15="",38&lt;=F15)),1,0)+IF(AND(38&gt;=E18,OR(F18="",38&lt;=F18)),1,0)+IF(AND(38&gt;=E24,OR(F24="",38&lt;=F24)),1,0)+IF(AND(38&gt;=E30,OR(F30="",38&lt;=F30)),1,0)+IF(AND(38&gt;=E36,OR(F36="",38&lt;=F36)),1,0)</f>
        <v>6</v>
      </c>
      <c r="AS51" s="16" t="n">
        <f aca="false">IF(AND(39&gt;=E7,OR(F7="",39&lt;=F7)),1,0)+IF(AND(39&gt;=E11,OR(F11="",39&lt;=F11)),1,0)+IF(AND(39&gt;=E15,OR(F15="",39&lt;=F15)),1,0)+IF(AND(39&gt;=E18,OR(F18="",39&lt;=F18)),1,0)+IF(AND(39&gt;=E24,OR(F24="",39&lt;=F24)),1,0)+IF(AND(39&gt;=E30,OR(F30="",39&lt;=F30)),1,0)+IF(AND(39&gt;=E36,OR(F36="",39&lt;=F36)),1,0)</f>
        <v>6</v>
      </c>
      <c r="AT51" s="16" t="n">
        <f aca="false">IF(AND(40&gt;=E7,OR(F7="",40&lt;=F7)),1,0)+IF(AND(40&gt;=E11,OR(F11="",40&lt;=F11)),1,0)+IF(AND(40&gt;=E15,OR(F15="",40&lt;=F15)),1,0)+IF(AND(40&gt;=E18,OR(F18="",40&lt;=F18)),1,0)+IF(AND(40&gt;=E24,OR(F24="",40&lt;=F24)),1,0)+IF(AND(40&gt;=E30,OR(F30="",40&lt;=F30)),1,0)+IF(AND(40&gt;=E36,OR(F36="",40&lt;=F36)),1,0)</f>
        <v>6</v>
      </c>
      <c r="AU51" s="16" t="n">
        <f aca="false">IF(AND(41&gt;=E7,OR(F7="",41&lt;=F7)),1,0)+IF(AND(41&gt;=E11,OR(F11="",41&lt;=F11)),1,0)+IF(AND(41&gt;=E15,OR(F15="",41&lt;=F15)),1,0)+IF(AND(41&gt;=E18,OR(F18="",41&lt;=F18)),1,0)+IF(AND(41&gt;=E24,OR(F24="",41&lt;=F24)),1,0)+IF(AND(41&gt;=E30,OR(F30="",41&lt;=F30)),1,0)+IF(AND(41&gt;=E36,OR(F36="",41&lt;=F36)),1,0)</f>
        <v>6</v>
      </c>
      <c r="AV51" s="16" t="n">
        <f aca="false">IF(AND(42&gt;=E7,OR(F7="",42&lt;=F7)),1,0)+IF(AND(42&gt;=E11,OR(F11="",42&lt;=F11)),1,0)+IF(AND(42&gt;=E15,OR(F15="",42&lt;=F15)),1,0)+IF(AND(42&gt;=E18,OR(F18="",42&lt;=F18)),1,0)+IF(AND(42&gt;=E24,OR(F24="",42&lt;=F24)),1,0)+IF(AND(42&gt;=E30,OR(F30="",42&lt;=F30)),1,0)+IF(AND(42&gt;=E36,OR(F36="",42&lt;=F36)),1,0)</f>
        <v>6</v>
      </c>
      <c r="AW51" s="16" t="n">
        <f aca="false">IF(AND(43&gt;=E7,OR(F7="",43&lt;=F7)),1,0)+IF(AND(43&gt;=E11,OR(F11="",43&lt;=F11)),1,0)+IF(AND(43&gt;=E15,OR(F15="",43&lt;=F15)),1,0)+IF(AND(43&gt;=E18,OR(F18="",43&lt;=F18)),1,0)+IF(AND(43&gt;=E24,OR(F24="",43&lt;=F24)),1,0)+IF(AND(43&gt;=E30,OR(F30="",43&lt;=F30)),1,0)+IF(AND(43&gt;=E36,OR(F36="",43&lt;=F36)),1,0)</f>
        <v>6</v>
      </c>
      <c r="AX51" s="16" t="n">
        <f aca="false">IF(AND(44&gt;=E7,OR(F7="",44&lt;=F7)),1,0)+IF(AND(44&gt;=E11,OR(F11="",44&lt;=F11)),1,0)+IF(AND(44&gt;=E15,OR(F15="",44&lt;=F15)),1,0)+IF(AND(44&gt;=E18,OR(F18="",44&lt;=F18)),1,0)+IF(AND(44&gt;=E24,OR(F24="",44&lt;=F24)),1,0)+IF(AND(44&gt;=E30,OR(F30="",44&lt;=F30)),1,0)+IF(AND(44&gt;=E36,OR(F36="",44&lt;=F36)),1,0)</f>
        <v>6</v>
      </c>
      <c r="AY51" s="16" t="n">
        <f aca="false">IF(AND(45&gt;=E7,OR(F7="",45&lt;=F7)),1,0)+IF(AND(45&gt;=E11,OR(F11="",45&lt;=F11)),1,0)+IF(AND(45&gt;=E15,OR(F15="",45&lt;=F15)),1,0)+IF(AND(45&gt;=E18,OR(F18="",45&lt;=F18)),1,0)+IF(AND(45&gt;=E24,OR(F24="",45&lt;=F24)),1,0)+IF(AND(45&gt;=E30,OR(F30="",45&lt;=F30)),1,0)+IF(AND(45&gt;=E36,OR(F36="",45&lt;=F36)),1,0)</f>
        <v>6</v>
      </c>
      <c r="AZ51" s="16" t="n">
        <f aca="false">IF(AND(46&gt;=E7,OR(F7="",46&lt;=F7)),1,0)+IF(AND(46&gt;=E11,OR(F11="",46&lt;=F11)),1,0)+IF(AND(46&gt;=E15,OR(F15="",46&lt;=F15)),1,0)+IF(AND(46&gt;=E18,OR(F18="",46&lt;=F18)),1,0)+IF(AND(46&gt;=E24,OR(F24="",46&lt;=F24)),1,0)+IF(AND(46&gt;=E30,OR(F30="",46&lt;=F30)),1,0)+IF(AND(46&gt;=E36,OR(F36="",46&lt;=F36)),1,0)</f>
        <v>6</v>
      </c>
      <c r="BA51" s="16" t="n">
        <f aca="false">IF(AND(47&gt;=E7,OR(F7="",47&lt;=F7)),1,0)+IF(AND(47&gt;=E11,OR(F11="",47&lt;=F11)),1,0)+IF(AND(47&gt;=E15,OR(F15="",47&lt;=F15)),1,0)+IF(AND(47&gt;=E18,OR(F18="",47&lt;=F18)),1,0)+IF(AND(47&gt;=E24,OR(F24="",47&lt;=F24)),1,0)+IF(AND(47&gt;=E30,OR(F30="",47&lt;=F30)),1,0)+IF(AND(47&gt;=E36,OR(F36="",47&lt;=F36)),1,0)</f>
        <v>6</v>
      </c>
      <c r="BB51" s="16" t="n">
        <f aca="false">IF(AND(48&gt;=E7,OR(F7="",48&lt;=F7)),1,0)+IF(AND(48&gt;=E11,OR(F11="",48&lt;=F11)),1,0)+IF(AND(48&gt;=E15,OR(F15="",48&lt;=F15)),1,0)+IF(AND(48&gt;=E18,OR(F18="",48&lt;=F18)),1,0)+IF(AND(48&gt;=E24,OR(F24="",48&lt;=F24)),1,0)+IF(AND(48&gt;=E30,OR(F30="",48&lt;=F30)),1,0)+IF(AND(48&gt;=E36,OR(F36="",48&lt;=F36)),1,0)</f>
        <v>7</v>
      </c>
      <c r="BC51" s="16" t="n">
        <f aca="false">IF(AND(49&gt;=E7,OR(F7="",49&lt;=F7)),1,0)+IF(AND(49&gt;=E11,OR(F11="",49&lt;=F11)),1,0)+IF(AND(49&gt;=E15,OR(F15="",49&lt;=F15)),1,0)+IF(AND(49&gt;=E18,OR(F18="",49&lt;=F18)),1,0)+IF(AND(49&gt;=E24,OR(F24="",49&lt;=F24)),1,0)+IF(AND(49&gt;=E30,OR(F30="",49&lt;=F30)),1,0)+IF(AND(49&gt;=E36,OR(F36="",49&lt;=F36)),1,0)</f>
        <v>7</v>
      </c>
      <c r="BD51" s="16" t="n">
        <f aca="false">IF(AND(50&gt;=E7,OR(F7="",50&lt;=F7)),1,0)+IF(AND(50&gt;=E11,OR(F11="",50&lt;=F11)),1,0)+IF(AND(50&gt;=E15,OR(F15="",50&lt;=F15)),1,0)+IF(AND(50&gt;=E18,OR(F18="",50&lt;=F18)),1,0)+IF(AND(50&gt;=E24,OR(F24="",50&lt;=F24)),1,0)+IF(AND(50&gt;=E30,OR(F30="",50&lt;=F30)),1,0)+IF(AND(50&gt;=E36,OR(F36="",50&lt;=F36)),1,0)</f>
        <v>7</v>
      </c>
      <c r="BE51" s="16" t="n">
        <f aca="false">IF(AND(51&gt;=E7,OR(F7="",51&lt;=F7)),1,0)+IF(AND(51&gt;=E11,OR(F11="",51&lt;=F11)),1,0)+IF(AND(51&gt;=E15,OR(F15="",51&lt;=F15)),1,0)+IF(AND(51&gt;=E18,OR(F18="",51&lt;=F18)),1,0)+IF(AND(51&gt;=E24,OR(F24="",51&lt;=F24)),1,0)+IF(AND(51&gt;=E30,OR(F30="",51&lt;=F30)),1,0)+IF(AND(51&gt;=E36,OR(F36="",51&lt;=F36)),1,0)</f>
        <v>7</v>
      </c>
      <c r="BF51" s="16" t="n">
        <f aca="false">IF(AND(52&gt;=E7,OR(F7="",52&lt;=F7)),1,0)+IF(AND(52&gt;=E11,OR(F11="",52&lt;=F11)),1,0)+IF(AND(52&gt;=E15,OR(F15="",52&lt;=F15)),1,0)+IF(AND(52&gt;=E18,OR(F18="",52&lt;=F18)),1,0)+IF(AND(52&gt;=E24,OR(F24="",52&lt;=F24)),1,0)+IF(AND(52&gt;=E30,OR(F30="",52&lt;=F30)),1,0)+IF(AND(52&gt;=E36,OR(F36="",52&lt;=F36)),1,0)</f>
        <v>7</v>
      </c>
      <c r="BG51" s="16" t="n">
        <f aca="false">IF(AND(53&gt;=E7,OR(F7="",53&lt;=F7)),1,0)+IF(AND(53&gt;=E11,OR(F11="",53&lt;=F11)),1,0)+IF(AND(53&gt;=E15,OR(F15="",53&lt;=F15)),1,0)+IF(AND(53&gt;=E18,OR(F18="",53&lt;=F18)),1,0)+IF(AND(53&gt;=E24,OR(F24="",53&lt;=F24)),1,0)+IF(AND(53&gt;=E30,OR(F30="",53&lt;=F30)),1,0)+IF(AND(53&gt;=E36,OR(F36="",53&lt;=F36)),1,0)</f>
        <v>7</v>
      </c>
      <c r="BH51" s="16" t="n">
        <f aca="false">IF(AND(54&gt;=E7,OR(F7="",54&lt;=F7)),1,0)+IF(AND(54&gt;=E11,OR(F11="",54&lt;=F11)),1,0)+IF(AND(54&gt;=E15,OR(F15="",54&lt;=F15)),1,0)+IF(AND(54&gt;=E18,OR(F18="",54&lt;=F18)),1,0)+IF(AND(54&gt;=E24,OR(F24="",54&lt;=F24)),1,0)+IF(AND(54&gt;=E30,OR(F30="",54&lt;=F30)),1,0)+IF(AND(54&gt;=E36,OR(F36="",54&lt;=F36)),1,0)</f>
        <v>7</v>
      </c>
      <c r="BI51" s="16" t="n">
        <f aca="false">IF(AND(55&gt;=E7,OR(F7="",55&lt;=F7)),1,0)+IF(AND(55&gt;=E11,OR(F11="",55&lt;=F11)),1,0)+IF(AND(55&gt;=E15,OR(F15="",55&lt;=F15)),1,0)+IF(AND(55&gt;=E18,OR(F18="",55&lt;=F18)),1,0)+IF(AND(55&gt;=E24,OR(F24="",55&lt;=F24)),1,0)+IF(AND(55&gt;=E30,OR(F30="",55&lt;=F30)),1,0)+IF(AND(55&gt;=E36,OR(F36="",55&lt;=F36)),1,0)</f>
        <v>7</v>
      </c>
      <c r="BJ51" s="16" t="n">
        <f aca="false">IF(AND(56&gt;=E7,OR(F7="",56&lt;=F7)),1,0)+IF(AND(56&gt;=E11,OR(F11="",56&lt;=F11)),1,0)+IF(AND(56&gt;=E15,OR(F15="",56&lt;=F15)),1,0)+IF(AND(56&gt;=E18,OR(F18="",56&lt;=F18)),1,0)+IF(AND(56&gt;=E24,OR(F24="",56&lt;=F24)),1,0)+IF(AND(56&gt;=E30,OR(F30="",56&lt;=F30)),1,0)+IF(AND(56&gt;=E36,OR(F36="",56&lt;=F36)),1,0)</f>
        <v>7</v>
      </c>
      <c r="BK51" s="16" t="n">
        <f aca="false">IF(AND(57&gt;=E7,OR(F7="",57&lt;=F7)),1,0)+IF(AND(57&gt;=E11,OR(F11="",57&lt;=F11)),1,0)+IF(AND(57&gt;=E15,OR(F15="",57&lt;=F15)),1,0)+IF(AND(57&gt;=E18,OR(F18="",57&lt;=F18)),1,0)+IF(AND(57&gt;=E24,OR(F24="",57&lt;=F24)),1,0)+IF(AND(57&gt;=E30,OR(F30="",57&lt;=F30)),1,0)+IF(AND(57&gt;=E36,OR(F36="",57&lt;=F36)),1,0)</f>
        <v>7</v>
      </c>
      <c r="BL51" s="16" t="n">
        <f aca="false">IF(AND(58&gt;=E7,OR(F7="",58&lt;=F7)),1,0)+IF(AND(58&gt;=E11,OR(F11="",58&lt;=F11)),1,0)+IF(AND(58&gt;=E15,OR(F15="",58&lt;=F15)),1,0)+IF(AND(58&gt;=E18,OR(F18="",58&lt;=F18)),1,0)+IF(AND(58&gt;=E24,OR(F24="",58&lt;=F24)),1,0)+IF(AND(58&gt;=E30,OR(F30="",58&lt;=F30)),1,0)+IF(AND(58&gt;=E36,OR(F36="",58&lt;=F36)),1,0)</f>
        <v>7</v>
      </c>
      <c r="BM51" s="16" t="n">
        <f aca="false">IF(AND(59&gt;=E7,OR(F7="",59&lt;=F7)),1,0)+IF(AND(59&gt;=E11,OR(F11="",59&lt;=F11)),1,0)+IF(AND(59&gt;=E15,OR(F15="",59&lt;=F15)),1,0)+IF(AND(59&gt;=E18,OR(F18="",59&lt;=F18)),1,0)+IF(AND(59&gt;=E24,OR(F24="",59&lt;=F24)),1,0)+IF(AND(59&gt;=E30,OR(F30="",59&lt;=F30)),1,0)+IF(AND(59&gt;=E36,OR(F36="",59&lt;=F36)),1,0)</f>
        <v>7</v>
      </c>
      <c r="BN51" s="16" t="n">
        <f aca="false">IF(AND(60&gt;=E7,OR(F7="",60&lt;=F7)),1,0)+IF(AND(60&gt;=E11,OR(F11="",60&lt;=F11)),1,0)+IF(AND(60&gt;=E15,OR(F15="",60&lt;=F15)),1,0)+IF(AND(60&gt;=E18,OR(F18="",60&lt;=F18)),1,0)+IF(AND(60&gt;=E24,OR(F24="",60&lt;=F24)),1,0)+IF(AND(60&gt;=E30,OR(F30="",60&lt;=F30)),1,0)+IF(AND(60&gt;=E36,OR(F36="",60&lt;=F36)),1,0)</f>
        <v>7</v>
      </c>
    </row>
    <row r="52" customFormat="false" ht="14.25" hidden="false" customHeight="false" outlineLevel="0" collapsed="false">
      <c r="B52" s="7" t="s">
        <v>391</v>
      </c>
      <c r="G52" s="16" t="n">
        <f aca="false">IF(AND(1&gt;=E12,OR(F12="",1&lt;=F12)),1,0)+IF(AND(1&gt;=E27,OR(F27="",1&lt;=F27)),1,0)</f>
        <v>0</v>
      </c>
      <c r="H52" s="16" t="n">
        <f aca="false">IF(AND(2&gt;=E12,OR(F12="",2&lt;=F12)),1,0)+IF(AND(2&gt;=E27,OR(F27="",2&lt;=F27)),1,0)</f>
        <v>0</v>
      </c>
      <c r="I52" s="16" t="n">
        <f aca="false">IF(AND(3&gt;=E12,OR(F12="",3&lt;=F12)),1,0)+IF(AND(3&gt;=E27,OR(F27="",3&lt;=F27)),1,0)</f>
        <v>0</v>
      </c>
      <c r="J52" s="16" t="n">
        <f aca="false">IF(AND(4&gt;=E12,OR(F12="",4&lt;=F12)),1,0)+IF(AND(4&gt;=E27,OR(F27="",4&lt;=F27)),1,0)</f>
        <v>0</v>
      </c>
      <c r="K52" s="16" t="n">
        <f aca="false">IF(AND(5&gt;=E12,OR(F12="",5&lt;=F12)),1,0)+IF(AND(5&gt;=E27,OR(F27="",5&lt;=F27)),1,0)</f>
        <v>0</v>
      </c>
      <c r="L52" s="16" t="n">
        <f aca="false">IF(AND(6&gt;=E12,OR(F12="",6&lt;=F12)),1,0)+IF(AND(6&gt;=E27,OR(F27="",6&lt;=F27)),1,0)</f>
        <v>1</v>
      </c>
      <c r="M52" s="16" t="n">
        <f aca="false">IF(AND(7&gt;=E12,OR(F12="",7&lt;=F12)),1,0)+IF(AND(7&gt;=E27,OR(F27="",7&lt;=F27)),1,0)</f>
        <v>1</v>
      </c>
      <c r="N52" s="16" t="n">
        <f aca="false">IF(AND(8&gt;=E12,OR(F12="",8&lt;=F12)),1,0)+IF(AND(8&gt;=E27,OR(F27="",8&lt;=F27)),1,0)</f>
        <v>1</v>
      </c>
      <c r="O52" s="16" t="n">
        <f aca="false">IF(AND(9&gt;=E12,OR(F12="",9&lt;=F12)),1,0)+IF(AND(9&gt;=E27,OR(F27="",9&lt;=F27)),1,0)</f>
        <v>1</v>
      </c>
      <c r="P52" s="16" t="n">
        <f aca="false">IF(AND(10&gt;=E12,OR(F12="",10&lt;=F12)),1,0)+IF(AND(10&gt;=E27,OR(F27="",10&lt;=F27)),1,0)</f>
        <v>1</v>
      </c>
      <c r="Q52" s="16" t="n">
        <f aca="false">IF(AND(11&gt;=E12,OR(F12="",11&lt;=F12)),1,0)+IF(AND(11&gt;=E27,OR(F27="",11&lt;=F27)),1,0)</f>
        <v>1</v>
      </c>
      <c r="R52" s="16" t="n">
        <f aca="false">IF(AND(12&gt;=E12,OR(F12="",12&lt;=F12)),1,0)+IF(AND(12&gt;=E27,OR(F27="",12&lt;=F27)),1,0)</f>
        <v>1</v>
      </c>
      <c r="S52" s="16" t="n">
        <f aca="false">IF(AND(13&gt;=E12,OR(F12="",13&lt;=F12)),1,0)+IF(AND(13&gt;=E27,OR(F27="",13&lt;=F27)),1,0)</f>
        <v>1</v>
      </c>
      <c r="T52" s="16" t="n">
        <f aca="false">IF(AND(14&gt;=E12,OR(F12="",14&lt;=F12)),1,0)+IF(AND(14&gt;=E27,OR(F27="",14&lt;=F27)),1,0)</f>
        <v>1</v>
      </c>
      <c r="U52" s="16" t="n">
        <f aca="false">IF(AND(15&gt;=E12,OR(F12="",15&lt;=F12)),1,0)+IF(AND(15&gt;=E27,OR(F27="",15&lt;=F27)),1,0)</f>
        <v>1</v>
      </c>
      <c r="V52" s="16" t="n">
        <f aca="false">IF(AND(16&gt;=E12,OR(F12="",16&lt;=F12)),1,0)+IF(AND(16&gt;=E27,OR(F27="",16&lt;=F27)),1,0)</f>
        <v>1</v>
      </c>
      <c r="W52" s="16" t="n">
        <f aca="false">IF(AND(17&gt;=E12,OR(F12="",17&lt;=F12)),1,0)+IF(AND(17&gt;=E27,OR(F27="",17&lt;=F27)),1,0)</f>
        <v>1</v>
      </c>
      <c r="X52" s="16" t="n">
        <f aca="false">IF(AND(18&gt;=E12,OR(F12="",18&lt;=F12)),1,0)+IF(AND(18&gt;=E27,OR(F27="",18&lt;=F27)),1,0)</f>
        <v>1</v>
      </c>
      <c r="Y52" s="16" t="n">
        <f aca="false">IF(AND(19&gt;=E12,OR(F12="",19&lt;=F12)),1,0)+IF(AND(19&gt;=E27,OR(F27="",19&lt;=F27)),1,0)</f>
        <v>1</v>
      </c>
      <c r="Z52" s="16" t="n">
        <f aca="false">IF(AND(20&gt;=E12,OR(F12="",20&lt;=F12)),1,0)+IF(AND(20&gt;=E27,OR(F27="",20&lt;=F27)),1,0)</f>
        <v>1</v>
      </c>
      <c r="AA52" s="16" t="n">
        <f aca="false">IF(AND(21&gt;=E12,OR(F12="",21&lt;=F12)),1,0)+IF(AND(21&gt;=E27,OR(F27="",21&lt;=F27)),1,0)</f>
        <v>1</v>
      </c>
      <c r="AB52" s="16" t="n">
        <f aca="false">IF(AND(22&gt;=E12,OR(F12="",22&lt;=F12)),1,0)+IF(AND(22&gt;=E27,OR(F27="",22&lt;=F27)),1,0)</f>
        <v>1</v>
      </c>
      <c r="AC52" s="16" t="n">
        <f aca="false">IF(AND(23&gt;=E12,OR(F12="",23&lt;=F12)),1,0)+IF(AND(23&gt;=E27,OR(F27="",23&lt;=F27)),1,0)</f>
        <v>1</v>
      </c>
      <c r="AD52" s="16" t="n">
        <f aca="false">IF(AND(24&gt;=E12,OR(F12="",24&lt;=F12)),1,0)+IF(AND(24&gt;=E27,OR(F27="",24&lt;=F27)),1,0)</f>
        <v>1</v>
      </c>
      <c r="AE52" s="16" t="n">
        <f aca="false">IF(AND(25&gt;=E12,OR(F12="",25&lt;=F12)),1,0)+IF(AND(25&gt;=E27,OR(F27="",25&lt;=F27)),1,0)</f>
        <v>1</v>
      </c>
      <c r="AF52" s="16" t="n">
        <f aca="false">IF(AND(26&gt;=E12,OR(F12="",26&lt;=F12)),1,0)+IF(AND(26&gt;=E27,OR(F27="",26&lt;=F27)),1,0)</f>
        <v>1</v>
      </c>
      <c r="AG52" s="16" t="n">
        <f aca="false">IF(AND(27&gt;=E12,OR(F12="",27&lt;=F12)),1,0)+IF(AND(27&gt;=E27,OR(F27="",27&lt;=F27)),1,0)</f>
        <v>1</v>
      </c>
      <c r="AH52" s="16" t="n">
        <f aca="false">IF(AND(28&gt;=E12,OR(F12="",28&lt;=F12)),1,0)+IF(AND(28&gt;=E27,OR(F27="",28&lt;=F27)),1,0)</f>
        <v>1</v>
      </c>
      <c r="AI52" s="16" t="n">
        <f aca="false">IF(AND(29&gt;=E12,OR(F12="",29&lt;=F12)),1,0)+IF(AND(29&gt;=E27,OR(F27="",29&lt;=F27)),1,0)</f>
        <v>1</v>
      </c>
      <c r="AJ52" s="16" t="n">
        <f aca="false">IF(AND(30&gt;=E12,OR(F12="",30&lt;=F12)),1,0)+IF(AND(30&gt;=E27,OR(F27="",30&lt;=F27)),1,0)</f>
        <v>2</v>
      </c>
      <c r="AK52" s="16" t="n">
        <f aca="false">IF(AND(31&gt;=E12,OR(F12="",31&lt;=F12)),1,0)+IF(AND(31&gt;=E27,OR(F27="",31&lt;=F27)),1,0)</f>
        <v>2</v>
      </c>
      <c r="AL52" s="16" t="n">
        <f aca="false">IF(AND(32&gt;=E12,OR(F12="",32&lt;=F12)),1,0)+IF(AND(32&gt;=E27,OR(F27="",32&lt;=F27)),1,0)</f>
        <v>2</v>
      </c>
      <c r="AM52" s="16" t="n">
        <f aca="false">IF(AND(33&gt;=E12,OR(F12="",33&lt;=F12)),1,0)+IF(AND(33&gt;=E27,OR(F27="",33&lt;=F27)),1,0)</f>
        <v>2</v>
      </c>
      <c r="AN52" s="16" t="n">
        <f aca="false">IF(AND(34&gt;=E12,OR(F12="",34&lt;=F12)),1,0)+IF(AND(34&gt;=E27,OR(F27="",34&lt;=F27)),1,0)</f>
        <v>2</v>
      </c>
      <c r="AO52" s="16" t="n">
        <f aca="false">IF(AND(35&gt;=E12,OR(F12="",35&lt;=F12)),1,0)+IF(AND(35&gt;=E27,OR(F27="",35&lt;=F27)),1,0)</f>
        <v>2</v>
      </c>
      <c r="AP52" s="16" t="n">
        <f aca="false">IF(AND(36&gt;=E12,OR(F12="",36&lt;=F12)),1,0)+IF(AND(36&gt;=E27,OR(F27="",36&lt;=F27)),1,0)</f>
        <v>2</v>
      </c>
      <c r="AQ52" s="16" t="n">
        <f aca="false">IF(AND(37&gt;=E12,OR(F12="",37&lt;=F12)),1,0)+IF(AND(37&gt;=E27,OR(F27="",37&lt;=F27)),1,0)</f>
        <v>2</v>
      </c>
      <c r="AR52" s="16" t="n">
        <f aca="false">IF(AND(38&gt;=E12,OR(F12="",38&lt;=F12)),1,0)+IF(AND(38&gt;=E27,OR(F27="",38&lt;=F27)),1,0)</f>
        <v>2</v>
      </c>
      <c r="AS52" s="16" t="n">
        <f aca="false">IF(AND(39&gt;=E12,OR(F12="",39&lt;=F12)),1,0)+IF(AND(39&gt;=E27,OR(F27="",39&lt;=F27)),1,0)</f>
        <v>2</v>
      </c>
      <c r="AT52" s="16" t="n">
        <f aca="false">IF(AND(40&gt;=E12,OR(F12="",40&lt;=F12)),1,0)+IF(AND(40&gt;=E27,OR(F27="",40&lt;=F27)),1,0)</f>
        <v>2</v>
      </c>
      <c r="AU52" s="16" t="n">
        <f aca="false">IF(AND(41&gt;=E12,OR(F12="",41&lt;=F12)),1,0)+IF(AND(41&gt;=E27,OR(F27="",41&lt;=F27)),1,0)</f>
        <v>2</v>
      </c>
      <c r="AV52" s="16" t="n">
        <f aca="false">IF(AND(42&gt;=E12,OR(F12="",42&lt;=F12)),1,0)+IF(AND(42&gt;=E27,OR(F27="",42&lt;=F27)),1,0)</f>
        <v>2</v>
      </c>
      <c r="AW52" s="16" t="n">
        <f aca="false">IF(AND(43&gt;=E12,OR(F12="",43&lt;=F12)),1,0)+IF(AND(43&gt;=E27,OR(F27="",43&lt;=F27)),1,0)</f>
        <v>2</v>
      </c>
      <c r="AX52" s="16" t="n">
        <f aca="false">IF(AND(44&gt;=E12,OR(F12="",44&lt;=F12)),1,0)+IF(AND(44&gt;=E27,OR(F27="",44&lt;=F27)),1,0)</f>
        <v>2</v>
      </c>
      <c r="AY52" s="16" t="n">
        <f aca="false">IF(AND(45&gt;=E12,OR(F12="",45&lt;=F12)),1,0)+IF(AND(45&gt;=E27,OR(F27="",45&lt;=F27)),1,0)</f>
        <v>2</v>
      </c>
      <c r="AZ52" s="16" t="n">
        <f aca="false">IF(AND(46&gt;=E12,OR(F12="",46&lt;=F12)),1,0)+IF(AND(46&gt;=E27,OR(F27="",46&lt;=F27)),1,0)</f>
        <v>2</v>
      </c>
      <c r="BA52" s="16" t="n">
        <f aca="false">IF(AND(47&gt;=E12,OR(F12="",47&lt;=F12)),1,0)+IF(AND(47&gt;=E27,OR(F27="",47&lt;=F27)),1,0)</f>
        <v>2</v>
      </c>
      <c r="BB52" s="16" t="n">
        <f aca="false">IF(AND(48&gt;=E12,OR(F12="",48&lt;=F12)),1,0)+IF(AND(48&gt;=E27,OR(F27="",48&lt;=F27)),1,0)</f>
        <v>2</v>
      </c>
      <c r="BC52" s="16" t="n">
        <f aca="false">IF(AND(49&gt;=E12,OR(F12="",49&lt;=F12)),1,0)+IF(AND(49&gt;=E27,OR(F27="",49&lt;=F27)),1,0)</f>
        <v>2</v>
      </c>
      <c r="BD52" s="16" t="n">
        <f aca="false">IF(AND(50&gt;=E12,OR(F12="",50&lt;=F12)),1,0)+IF(AND(50&gt;=E27,OR(F27="",50&lt;=F27)),1,0)</f>
        <v>2</v>
      </c>
      <c r="BE52" s="16" t="n">
        <f aca="false">IF(AND(51&gt;=E12,OR(F12="",51&lt;=F12)),1,0)+IF(AND(51&gt;=E27,OR(F27="",51&lt;=F27)),1,0)</f>
        <v>2</v>
      </c>
      <c r="BF52" s="16" t="n">
        <f aca="false">IF(AND(52&gt;=E12,OR(F12="",52&lt;=F12)),1,0)+IF(AND(52&gt;=E27,OR(F27="",52&lt;=F27)),1,0)</f>
        <v>2</v>
      </c>
      <c r="BG52" s="16" t="n">
        <f aca="false">IF(AND(53&gt;=E12,OR(F12="",53&lt;=F12)),1,0)+IF(AND(53&gt;=E27,OR(F27="",53&lt;=F27)),1,0)</f>
        <v>2</v>
      </c>
      <c r="BH52" s="16" t="n">
        <f aca="false">IF(AND(54&gt;=E12,OR(F12="",54&lt;=F12)),1,0)+IF(AND(54&gt;=E27,OR(F27="",54&lt;=F27)),1,0)</f>
        <v>2</v>
      </c>
      <c r="BI52" s="16" t="n">
        <f aca="false">IF(AND(55&gt;=E12,OR(F12="",55&lt;=F12)),1,0)+IF(AND(55&gt;=E27,OR(F27="",55&lt;=F27)),1,0)</f>
        <v>2</v>
      </c>
      <c r="BJ52" s="16" t="n">
        <f aca="false">IF(AND(56&gt;=E12,OR(F12="",56&lt;=F12)),1,0)+IF(AND(56&gt;=E27,OR(F27="",56&lt;=F27)),1,0)</f>
        <v>2</v>
      </c>
      <c r="BK52" s="16" t="n">
        <f aca="false">IF(AND(57&gt;=E12,OR(F12="",57&lt;=F12)),1,0)+IF(AND(57&gt;=E27,OR(F27="",57&lt;=F27)),1,0)</f>
        <v>2</v>
      </c>
      <c r="BL52" s="16" t="n">
        <f aca="false">IF(AND(58&gt;=E12,OR(F12="",58&lt;=F12)),1,0)+IF(AND(58&gt;=E27,OR(F27="",58&lt;=F27)),1,0)</f>
        <v>2</v>
      </c>
      <c r="BM52" s="16" t="n">
        <f aca="false">IF(AND(59&gt;=E12,OR(F12="",59&lt;=F12)),1,0)+IF(AND(59&gt;=E27,OR(F27="",59&lt;=F27)),1,0)</f>
        <v>2</v>
      </c>
      <c r="BN52" s="16" t="n">
        <f aca="false">IF(AND(60&gt;=E12,OR(F12="",60&lt;=F12)),1,0)+IF(AND(60&gt;=E27,OR(F27="",60&lt;=F27)),1,0)</f>
        <v>2</v>
      </c>
    </row>
    <row r="53" customFormat="false" ht="14.25" hidden="false" customHeight="false" outlineLevel="0" collapsed="false">
      <c r="B53" s="7" t="s">
        <v>392</v>
      </c>
      <c r="G53" s="16" t="n">
        <f aca="false">IF(AND(1&gt;=E19,OR(F19="",1&lt;=F19)),1,0)+IF(AND(1&gt;=E40,OR(F40="",1&lt;=F40)),1,0)</f>
        <v>0</v>
      </c>
      <c r="H53" s="16" t="n">
        <f aca="false">IF(AND(2&gt;=E19,OR(F19="",2&lt;=F19)),1,0)+IF(AND(2&gt;=E40,OR(F40="",2&lt;=F40)),1,0)</f>
        <v>0</v>
      </c>
      <c r="I53" s="16" t="n">
        <f aca="false">IF(AND(3&gt;=E19,OR(F19="",3&lt;=F19)),1,0)+IF(AND(3&gt;=E40,OR(F40="",3&lt;=F40)),1,0)</f>
        <v>0</v>
      </c>
      <c r="J53" s="16" t="n">
        <f aca="false">IF(AND(4&gt;=E19,OR(F19="",4&lt;=F19)),1,0)+IF(AND(4&gt;=E40,OR(F40="",4&lt;=F40)),1,0)</f>
        <v>0</v>
      </c>
      <c r="K53" s="16" t="n">
        <f aca="false">IF(AND(5&gt;=E19,OR(F19="",5&lt;=F19)),1,0)+IF(AND(5&gt;=E40,OR(F40="",5&lt;=F40)),1,0)</f>
        <v>0</v>
      </c>
      <c r="L53" s="16" t="n">
        <f aca="false">IF(AND(6&gt;=E19,OR(F19="",6&lt;=F19)),1,0)+IF(AND(6&gt;=E40,OR(F40="",6&lt;=F40)),1,0)</f>
        <v>0</v>
      </c>
      <c r="M53" s="16" t="n">
        <f aca="false">IF(AND(7&gt;=E19,OR(F19="",7&lt;=F19)),1,0)+IF(AND(7&gt;=E40,OR(F40="",7&lt;=F40)),1,0)</f>
        <v>0</v>
      </c>
      <c r="N53" s="16" t="n">
        <f aca="false">IF(AND(8&gt;=E19,OR(F19="",8&lt;=F19)),1,0)+IF(AND(8&gt;=E40,OR(F40="",8&lt;=F40)),1,0)</f>
        <v>0</v>
      </c>
      <c r="O53" s="16" t="n">
        <f aca="false">IF(AND(9&gt;=E19,OR(F19="",9&lt;=F19)),1,0)+IF(AND(9&gt;=E40,OR(F40="",9&lt;=F40)),1,0)</f>
        <v>0</v>
      </c>
      <c r="P53" s="16" t="n">
        <f aca="false">IF(AND(10&gt;=E19,OR(F19="",10&lt;=F19)),1,0)+IF(AND(10&gt;=E40,OR(F40="",10&lt;=F40)),1,0)</f>
        <v>0</v>
      </c>
      <c r="Q53" s="16" t="n">
        <f aca="false">IF(AND(11&gt;=E19,OR(F19="",11&lt;=F19)),1,0)+IF(AND(11&gt;=E40,OR(F40="",11&lt;=F40)),1,0)</f>
        <v>0</v>
      </c>
      <c r="R53" s="16" t="n">
        <f aca="false">IF(AND(12&gt;=E19,OR(F19="",12&lt;=F19)),1,0)+IF(AND(12&gt;=E40,OR(F40="",12&lt;=F40)),1,0)</f>
        <v>1</v>
      </c>
      <c r="S53" s="16" t="n">
        <f aca="false">IF(AND(13&gt;=E19,OR(F19="",13&lt;=F19)),1,0)+IF(AND(13&gt;=E40,OR(F40="",13&lt;=F40)),1,0)</f>
        <v>1</v>
      </c>
      <c r="T53" s="16" t="n">
        <f aca="false">IF(AND(14&gt;=E19,OR(F19="",14&lt;=F19)),1,0)+IF(AND(14&gt;=E40,OR(F40="",14&lt;=F40)),1,0)</f>
        <v>1</v>
      </c>
      <c r="U53" s="16" t="n">
        <f aca="false">IF(AND(15&gt;=E19,OR(F19="",15&lt;=F19)),1,0)+IF(AND(15&gt;=E40,OR(F40="",15&lt;=F40)),1,0)</f>
        <v>1</v>
      </c>
      <c r="V53" s="16" t="n">
        <f aca="false">IF(AND(16&gt;=E19,OR(F19="",16&lt;=F19)),1,0)+IF(AND(16&gt;=E40,OR(F40="",16&lt;=F40)),1,0)</f>
        <v>1</v>
      </c>
      <c r="W53" s="16" t="n">
        <f aca="false">IF(AND(17&gt;=E19,OR(F19="",17&lt;=F19)),1,0)+IF(AND(17&gt;=E40,OR(F40="",17&lt;=F40)),1,0)</f>
        <v>1</v>
      </c>
      <c r="X53" s="16" t="n">
        <f aca="false">IF(AND(18&gt;=E19,OR(F19="",18&lt;=F19)),1,0)+IF(AND(18&gt;=E40,OR(F40="",18&lt;=F40)),1,0)</f>
        <v>1</v>
      </c>
      <c r="Y53" s="16" t="n">
        <f aca="false">IF(AND(19&gt;=E19,OR(F19="",19&lt;=F19)),1,0)+IF(AND(19&gt;=E40,OR(F40="",19&lt;=F40)),1,0)</f>
        <v>1</v>
      </c>
      <c r="Z53" s="16" t="n">
        <f aca="false">IF(AND(20&gt;=E19,OR(F19="",20&lt;=F19)),1,0)+IF(AND(20&gt;=E40,OR(F40="",20&lt;=F40)),1,0)</f>
        <v>1</v>
      </c>
      <c r="AA53" s="16" t="n">
        <f aca="false">IF(AND(21&gt;=E19,OR(F19="",21&lt;=F19)),1,0)+IF(AND(21&gt;=E40,OR(F40="",21&lt;=F40)),1,0)</f>
        <v>1</v>
      </c>
      <c r="AB53" s="16" t="n">
        <f aca="false">IF(AND(22&gt;=E19,OR(F19="",22&lt;=F19)),1,0)+IF(AND(22&gt;=E40,OR(F40="",22&lt;=F40)),1,0)</f>
        <v>1</v>
      </c>
      <c r="AC53" s="16" t="n">
        <f aca="false">IF(AND(23&gt;=E19,OR(F19="",23&lt;=F19)),1,0)+IF(AND(23&gt;=E40,OR(F40="",23&lt;=F40)),1,0)</f>
        <v>1</v>
      </c>
      <c r="AD53" s="16" t="n">
        <f aca="false">IF(AND(24&gt;=E19,OR(F19="",24&lt;=F19)),1,0)+IF(AND(24&gt;=E40,OR(F40="",24&lt;=F40)),1,0)</f>
        <v>1</v>
      </c>
      <c r="AE53" s="16" t="n">
        <f aca="false">IF(AND(25&gt;=E19,OR(F19="",25&lt;=F19)),1,0)+IF(AND(25&gt;=E40,OR(F40="",25&lt;=F40)),1,0)</f>
        <v>1</v>
      </c>
      <c r="AF53" s="16" t="n">
        <f aca="false">IF(AND(26&gt;=E19,OR(F19="",26&lt;=F19)),1,0)+IF(AND(26&gt;=E40,OR(F40="",26&lt;=F40)),1,0)</f>
        <v>1</v>
      </c>
      <c r="AG53" s="16" t="n">
        <f aca="false">IF(AND(27&gt;=E19,OR(F19="",27&lt;=F19)),1,0)+IF(AND(27&gt;=E40,OR(F40="",27&lt;=F40)),1,0)</f>
        <v>1</v>
      </c>
      <c r="AH53" s="16" t="n">
        <f aca="false">IF(AND(28&gt;=E19,OR(F19="",28&lt;=F19)),1,0)+IF(AND(28&gt;=E40,OR(F40="",28&lt;=F40)),1,0)</f>
        <v>1</v>
      </c>
      <c r="AI53" s="16" t="n">
        <f aca="false">IF(AND(29&gt;=E19,OR(F19="",29&lt;=F19)),1,0)+IF(AND(29&gt;=E40,OR(F40="",29&lt;=F40)),1,0)</f>
        <v>1</v>
      </c>
      <c r="AJ53" s="16" t="n">
        <f aca="false">IF(AND(30&gt;=E19,OR(F19="",30&lt;=F19)),1,0)+IF(AND(30&gt;=E40,OR(F40="",30&lt;=F40)),1,0)</f>
        <v>1</v>
      </c>
      <c r="AK53" s="16" t="n">
        <f aca="false">IF(AND(31&gt;=E19,OR(F19="",31&lt;=F19)),1,0)+IF(AND(31&gt;=E40,OR(F40="",31&lt;=F40)),1,0)</f>
        <v>1</v>
      </c>
      <c r="AL53" s="16" t="n">
        <f aca="false">IF(AND(32&gt;=E19,OR(F19="",32&lt;=F19)),1,0)+IF(AND(32&gt;=E40,OR(F40="",32&lt;=F40)),1,0)</f>
        <v>1</v>
      </c>
      <c r="AM53" s="16" t="n">
        <f aca="false">IF(AND(33&gt;=E19,OR(F19="",33&lt;=F19)),1,0)+IF(AND(33&gt;=E40,OR(F40="",33&lt;=F40)),1,0)</f>
        <v>1</v>
      </c>
      <c r="AN53" s="16" t="n">
        <f aca="false">IF(AND(34&gt;=E19,OR(F19="",34&lt;=F19)),1,0)+IF(AND(34&gt;=E40,OR(F40="",34&lt;=F40)),1,0)</f>
        <v>1</v>
      </c>
      <c r="AO53" s="16" t="n">
        <f aca="false">IF(AND(35&gt;=E19,OR(F19="",35&lt;=F19)),1,0)+IF(AND(35&gt;=E40,OR(F40="",35&lt;=F40)),1,0)</f>
        <v>1</v>
      </c>
      <c r="AP53" s="16" t="n">
        <f aca="false">IF(AND(36&gt;=E19,OR(F19="",36&lt;=F19)),1,0)+IF(AND(36&gt;=E40,OR(F40="",36&lt;=F40)),1,0)</f>
        <v>1</v>
      </c>
      <c r="AQ53" s="16" t="n">
        <f aca="false">IF(AND(37&gt;=E19,OR(F19="",37&lt;=F19)),1,0)+IF(AND(37&gt;=E40,OR(F40="",37&lt;=F40)),1,0)</f>
        <v>1</v>
      </c>
      <c r="AR53" s="16" t="n">
        <f aca="false">IF(AND(38&gt;=E19,OR(F19="",38&lt;=F19)),1,0)+IF(AND(38&gt;=E40,OR(F40="",38&lt;=F40)),1,0)</f>
        <v>1</v>
      </c>
      <c r="AS53" s="16" t="n">
        <f aca="false">IF(AND(39&gt;=E19,OR(F19="",39&lt;=F19)),1,0)+IF(AND(39&gt;=E40,OR(F40="",39&lt;=F40)),1,0)</f>
        <v>1</v>
      </c>
      <c r="AT53" s="16" t="n">
        <f aca="false">IF(AND(40&gt;=E19,OR(F19="",40&lt;=F19)),1,0)+IF(AND(40&gt;=E40,OR(F40="",40&lt;=F40)),1,0)</f>
        <v>1</v>
      </c>
      <c r="AU53" s="16" t="n">
        <f aca="false">IF(AND(41&gt;=E19,OR(F19="",41&lt;=F19)),1,0)+IF(AND(41&gt;=E40,OR(F40="",41&lt;=F40)),1,0)</f>
        <v>1</v>
      </c>
      <c r="AV53" s="16" t="n">
        <f aca="false">IF(AND(42&gt;=E19,OR(F19="",42&lt;=F19)),1,0)+IF(AND(42&gt;=E40,OR(F40="",42&lt;=F40)),1,0)</f>
        <v>1</v>
      </c>
      <c r="AW53" s="16" t="n">
        <f aca="false">IF(AND(43&gt;=E19,OR(F19="",43&lt;=F19)),1,0)+IF(AND(43&gt;=E40,OR(F40="",43&lt;=F40)),1,0)</f>
        <v>1</v>
      </c>
      <c r="AX53" s="16" t="n">
        <f aca="false">IF(AND(44&gt;=E19,OR(F19="",44&lt;=F19)),1,0)+IF(AND(44&gt;=E40,OR(F40="",44&lt;=F40)),1,0)</f>
        <v>1</v>
      </c>
      <c r="AY53" s="16" t="n">
        <f aca="false">IF(AND(45&gt;=E19,OR(F19="",45&lt;=F19)),1,0)+IF(AND(45&gt;=E40,OR(F40="",45&lt;=F40)),1,0)</f>
        <v>1</v>
      </c>
      <c r="AZ53" s="16" t="n">
        <f aca="false">IF(AND(46&gt;=E19,OR(F19="",46&lt;=F19)),1,0)+IF(AND(46&gt;=E40,OR(F40="",46&lt;=F40)),1,0)</f>
        <v>1</v>
      </c>
      <c r="BA53" s="16" t="n">
        <f aca="false">IF(AND(47&gt;=E19,OR(F19="",47&lt;=F19)),1,0)+IF(AND(47&gt;=E40,OR(F40="",47&lt;=F40)),1,0)</f>
        <v>1</v>
      </c>
      <c r="BB53" s="16" t="n">
        <f aca="false">IF(AND(48&gt;=E19,OR(F19="",48&lt;=F19)),1,0)+IF(AND(48&gt;=E40,OR(F40="",48&lt;=F40)),1,0)</f>
        <v>1</v>
      </c>
      <c r="BC53" s="16" t="n">
        <f aca="false">IF(AND(49&gt;=E19,OR(F19="",49&lt;=F19)),1,0)+IF(AND(49&gt;=E40,OR(F40="",49&lt;=F40)),1,0)</f>
        <v>1</v>
      </c>
      <c r="BD53" s="16" t="n">
        <f aca="false">IF(AND(50&gt;=E19,OR(F19="",50&lt;=F19)),1,0)+IF(AND(50&gt;=E40,OR(F40="",50&lt;=F40)),1,0)</f>
        <v>1</v>
      </c>
      <c r="BE53" s="16" t="n">
        <f aca="false">IF(AND(51&gt;=E19,OR(F19="",51&lt;=F19)),1,0)+IF(AND(51&gt;=E40,OR(F40="",51&lt;=F40)),1,0)</f>
        <v>1</v>
      </c>
      <c r="BF53" s="16" t="n">
        <f aca="false">IF(AND(52&gt;=E19,OR(F19="",52&lt;=F19)),1,0)+IF(AND(52&gt;=E40,OR(F40="",52&lt;=F40)),1,0)</f>
        <v>1</v>
      </c>
      <c r="BG53" s="16" t="n">
        <f aca="false">IF(AND(53&gt;=E19,OR(F19="",53&lt;=F19)),1,0)+IF(AND(53&gt;=E40,OR(F40="",53&lt;=F40)),1,0)</f>
        <v>1</v>
      </c>
      <c r="BH53" s="16" t="n">
        <f aca="false">IF(AND(54&gt;=E19,OR(F19="",54&lt;=F19)),1,0)+IF(AND(54&gt;=E40,OR(F40="",54&lt;=F40)),1,0)</f>
        <v>1</v>
      </c>
      <c r="BI53" s="16" t="n">
        <f aca="false">IF(AND(55&gt;=E19,OR(F19="",55&lt;=F19)),1,0)+IF(AND(55&gt;=E40,OR(F40="",55&lt;=F40)),1,0)</f>
        <v>1</v>
      </c>
      <c r="BJ53" s="16" t="n">
        <f aca="false">IF(AND(56&gt;=E19,OR(F19="",56&lt;=F19)),1,0)+IF(AND(56&gt;=E40,OR(F40="",56&lt;=F40)),1,0)</f>
        <v>2</v>
      </c>
      <c r="BK53" s="16" t="n">
        <f aca="false">IF(AND(57&gt;=E19,OR(F19="",57&lt;=F19)),1,0)+IF(AND(57&gt;=E40,OR(F40="",57&lt;=F40)),1,0)</f>
        <v>2</v>
      </c>
      <c r="BL53" s="16" t="n">
        <f aca="false">IF(AND(58&gt;=E19,OR(F19="",58&lt;=F19)),1,0)+IF(AND(58&gt;=E40,OR(F40="",58&lt;=F40)),1,0)</f>
        <v>2</v>
      </c>
      <c r="BM53" s="16" t="n">
        <f aca="false">IF(AND(59&gt;=E19,OR(F19="",59&lt;=F19)),1,0)+IF(AND(59&gt;=E40,OR(F40="",59&lt;=F40)),1,0)</f>
        <v>2</v>
      </c>
      <c r="BN53" s="16" t="n">
        <f aca="false">IF(AND(60&gt;=E19,OR(F19="",60&lt;=F19)),1,0)+IF(AND(60&gt;=E40,OR(F40="",60&lt;=F40)),1,0)</f>
        <v>2</v>
      </c>
    </row>
    <row r="54" customFormat="false" ht="14.25" hidden="false" customHeight="false" outlineLevel="0" collapsed="false">
      <c r="B54" s="7" t="s">
        <v>393</v>
      </c>
      <c r="G54" s="16" t="n">
        <f aca="false">IF(AND(1&gt;=E16,OR(F16="",1&lt;=F16)),1,0)+IF(AND(1&gt;=E21,OR(F21="",1&lt;=F21)),1,0)+IF(AND(1&gt;=E28,OR(F28="",1&lt;=F28)),1,0)+IF(AND(1&gt;=E38,OR(F38="",1&lt;=F38)),1,0)</f>
        <v>0</v>
      </c>
      <c r="H54" s="16" t="n">
        <f aca="false">IF(AND(2&gt;=E16,OR(F16="",2&lt;=F16)),1,0)+IF(AND(2&gt;=E21,OR(F21="",2&lt;=F21)),1,0)+IF(AND(2&gt;=E28,OR(F28="",2&lt;=F28)),1,0)+IF(AND(2&gt;=E38,OR(F38="",2&lt;=F38)),1,0)</f>
        <v>0</v>
      </c>
      <c r="I54" s="16" t="n">
        <f aca="false">IF(AND(3&gt;=E16,OR(F16="",3&lt;=F16)),1,0)+IF(AND(3&gt;=E21,OR(F21="",3&lt;=F21)),1,0)+IF(AND(3&gt;=E28,OR(F28="",3&lt;=F28)),1,0)+IF(AND(3&gt;=E38,OR(F38="",3&lt;=F38)),1,0)</f>
        <v>0</v>
      </c>
      <c r="J54" s="16" t="n">
        <f aca="false">IF(AND(4&gt;=E16,OR(F16="",4&lt;=F16)),1,0)+IF(AND(4&gt;=E21,OR(F21="",4&lt;=F21)),1,0)+IF(AND(4&gt;=E28,OR(F28="",4&lt;=F28)),1,0)+IF(AND(4&gt;=E38,OR(F38="",4&lt;=F38)),1,0)</f>
        <v>0</v>
      </c>
      <c r="K54" s="16" t="n">
        <f aca="false">IF(AND(5&gt;=E16,OR(F16="",5&lt;=F16)),1,0)+IF(AND(5&gt;=E21,OR(F21="",5&lt;=F21)),1,0)+IF(AND(5&gt;=E28,OR(F28="",5&lt;=F28)),1,0)+IF(AND(5&gt;=E38,OR(F38="",5&lt;=F38)),1,0)</f>
        <v>0</v>
      </c>
      <c r="L54" s="16" t="n">
        <f aca="false">IF(AND(6&gt;=E16,OR(F16="",6&lt;=F16)),1,0)+IF(AND(6&gt;=E21,OR(F21="",6&lt;=F21)),1,0)+IF(AND(6&gt;=E28,OR(F28="",6&lt;=F28)),1,0)+IF(AND(6&gt;=E38,OR(F38="",6&lt;=F38)),1,0)</f>
        <v>0</v>
      </c>
      <c r="M54" s="16" t="n">
        <f aca="false">IF(AND(7&gt;=E16,OR(F16="",7&lt;=F16)),1,0)+IF(AND(7&gt;=E21,OR(F21="",7&lt;=F21)),1,0)+IF(AND(7&gt;=E28,OR(F28="",7&lt;=F28)),1,0)+IF(AND(7&gt;=E38,OR(F38="",7&lt;=F38)),1,0)</f>
        <v>0</v>
      </c>
      <c r="N54" s="16" t="n">
        <f aca="false">IF(AND(8&gt;=E16,OR(F16="",8&lt;=F16)),1,0)+IF(AND(8&gt;=E21,OR(F21="",8&lt;=F21)),1,0)+IF(AND(8&gt;=E28,OR(F28="",8&lt;=F28)),1,0)+IF(AND(8&gt;=E38,OR(F38="",8&lt;=F38)),1,0)</f>
        <v>0</v>
      </c>
      <c r="O54" s="16" t="n">
        <f aca="false">IF(AND(9&gt;=E16,OR(F16="",9&lt;=F16)),1,0)+IF(AND(9&gt;=E21,OR(F21="",9&lt;=F21)),1,0)+IF(AND(9&gt;=E28,OR(F28="",9&lt;=F28)),1,0)+IF(AND(9&gt;=E38,OR(F38="",9&lt;=F38)),1,0)</f>
        <v>1</v>
      </c>
      <c r="P54" s="16" t="n">
        <f aca="false">IF(AND(10&gt;=E16,OR(F16="",10&lt;=F16)),1,0)+IF(AND(10&gt;=E21,OR(F21="",10&lt;=F21)),1,0)+IF(AND(10&gt;=E28,OR(F28="",10&lt;=F28)),1,0)+IF(AND(10&gt;=E38,OR(F38="",10&lt;=F38)),1,0)</f>
        <v>1</v>
      </c>
      <c r="Q54" s="16" t="n">
        <f aca="false">IF(AND(11&gt;=E16,OR(F16="",11&lt;=F16)),1,0)+IF(AND(11&gt;=E21,OR(F21="",11&lt;=F21)),1,0)+IF(AND(11&gt;=E28,OR(F28="",11&lt;=F28)),1,0)+IF(AND(11&gt;=E38,OR(F38="",11&lt;=F38)),1,0)</f>
        <v>1</v>
      </c>
      <c r="R54" s="16" t="n">
        <f aca="false">IF(AND(12&gt;=E16,OR(F16="",12&lt;=F16)),1,0)+IF(AND(12&gt;=E21,OR(F21="",12&lt;=F21)),1,0)+IF(AND(12&gt;=E28,OR(F28="",12&lt;=F28)),1,0)+IF(AND(12&gt;=E38,OR(F38="",12&lt;=F38)),1,0)</f>
        <v>1</v>
      </c>
      <c r="S54" s="16" t="n">
        <f aca="false">IF(AND(13&gt;=E16,OR(F16="",13&lt;=F16)),1,0)+IF(AND(13&gt;=E21,OR(F21="",13&lt;=F21)),1,0)+IF(AND(13&gt;=E28,OR(F28="",13&lt;=F28)),1,0)+IF(AND(13&gt;=E38,OR(F38="",13&lt;=F38)),1,0)</f>
        <v>1</v>
      </c>
      <c r="T54" s="16" t="n">
        <f aca="false">IF(AND(14&gt;=E16,OR(F16="",14&lt;=F16)),1,0)+IF(AND(14&gt;=E21,OR(F21="",14&lt;=F21)),1,0)+IF(AND(14&gt;=E28,OR(F28="",14&lt;=F28)),1,0)+IF(AND(14&gt;=E38,OR(F38="",14&lt;=F38)),1,0)</f>
        <v>1</v>
      </c>
      <c r="U54" s="16" t="n">
        <f aca="false">IF(AND(15&gt;=E16,OR(F16="",15&lt;=F16)),1,0)+IF(AND(15&gt;=E21,OR(F21="",15&lt;=F21)),1,0)+IF(AND(15&gt;=E28,OR(F28="",15&lt;=F28)),1,0)+IF(AND(15&gt;=E38,OR(F38="",15&lt;=F38)),1,0)</f>
        <v>2</v>
      </c>
      <c r="V54" s="16" t="n">
        <f aca="false">IF(AND(16&gt;=E16,OR(F16="",16&lt;=F16)),1,0)+IF(AND(16&gt;=E21,OR(F21="",16&lt;=F21)),1,0)+IF(AND(16&gt;=E28,OR(F28="",16&lt;=F28)),1,0)+IF(AND(16&gt;=E38,OR(F38="",16&lt;=F38)),1,0)</f>
        <v>2</v>
      </c>
      <c r="W54" s="16" t="n">
        <f aca="false">IF(AND(17&gt;=E16,OR(F16="",17&lt;=F16)),1,0)+IF(AND(17&gt;=E21,OR(F21="",17&lt;=F21)),1,0)+IF(AND(17&gt;=E28,OR(F28="",17&lt;=F28)),1,0)+IF(AND(17&gt;=E38,OR(F38="",17&lt;=F38)),1,0)</f>
        <v>2</v>
      </c>
      <c r="X54" s="16" t="n">
        <f aca="false">IF(AND(18&gt;=E16,OR(F16="",18&lt;=F16)),1,0)+IF(AND(18&gt;=E21,OR(F21="",18&lt;=F21)),1,0)+IF(AND(18&gt;=E28,OR(F28="",18&lt;=F28)),1,0)+IF(AND(18&gt;=E38,OR(F38="",18&lt;=F38)),1,0)</f>
        <v>2</v>
      </c>
      <c r="Y54" s="16" t="n">
        <f aca="false">IF(AND(19&gt;=E16,OR(F16="",19&lt;=F16)),1,0)+IF(AND(19&gt;=E21,OR(F21="",19&lt;=F21)),1,0)+IF(AND(19&gt;=E28,OR(F28="",19&lt;=F28)),1,0)+IF(AND(19&gt;=E38,OR(F38="",19&lt;=F38)),1,0)</f>
        <v>2</v>
      </c>
      <c r="Z54" s="16" t="n">
        <f aca="false">IF(AND(20&gt;=E16,OR(F16="",20&lt;=F16)),1,0)+IF(AND(20&gt;=E21,OR(F21="",20&lt;=F21)),1,0)+IF(AND(20&gt;=E28,OR(F28="",20&lt;=F28)),1,0)+IF(AND(20&gt;=E38,OR(F38="",20&lt;=F38)),1,0)</f>
        <v>2</v>
      </c>
      <c r="AA54" s="16" t="n">
        <f aca="false">IF(AND(21&gt;=E16,OR(F16="",21&lt;=F16)),1,0)+IF(AND(21&gt;=E21,OR(F21="",21&lt;=F21)),1,0)+IF(AND(21&gt;=E28,OR(F28="",21&lt;=F28)),1,0)+IF(AND(21&gt;=E38,OR(F38="",21&lt;=F38)),1,0)</f>
        <v>2</v>
      </c>
      <c r="AB54" s="16" t="n">
        <f aca="false">IF(AND(22&gt;=E16,OR(F16="",22&lt;=F16)),1,0)+IF(AND(22&gt;=E21,OR(F21="",22&lt;=F21)),1,0)+IF(AND(22&gt;=E28,OR(F28="",22&lt;=F28)),1,0)+IF(AND(22&gt;=E38,OR(F38="",22&lt;=F38)),1,0)</f>
        <v>2</v>
      </c>
      <c r="AC54" s="16" t="n">
        <f aca="false">IF(AND(23&gt;=E16,OR(F16="",23&lt;=F16)),1,0)+IF(AND(23&gt;=E21,OR(F21="",23&lt;=F21)),1,0)+IF(AND(23&gt;=E28,OR(F28="",23&lt;=F28)),1,0)+IF(AND(23&gt;=E38,OR(F38="",23&lt;=F38)),1,0)</f>
        <v>2</v>
      </c>
      <c r="AD54" s="16" t="n">
        <f aca="false">IF(AND(24&gt;=E16,OR(F16="",24&lt;=F16)),1,0)+IF(AND(24&gt;=E21,OR(F21="",24&lt;=F21)),1,0)+IF(AND(24&gt;=E28,OR(F28="",24&lt;=F28)),1,0)+IF(AND(24&gt;=E38,OR(F38="",24&lt;=F38)),1,0)</f>
        <v>2</v>
      </c>
      <c r="AE54" s="16" t="n">
        <f aca="false">IF(AND(25&gt;=E16,OR(F16="",25&lt;=F16)),1,0)+IF(AND(25&gt;=E21,OR(F21="",25&lt;=F21)),1,0)+IF(AND(25&gt;=E28,OR(F28="",25&lt;=F28)),1,0)+IF(AND(25&gt;=E38,OR(F38="",25&lt;=F38)),1,0)</f>
        <v>2</v>
      </c>
      <c r="AF54" s="16" t="n">
        <f aca="false">IF(AND(26&gt;=E16,OR(F16="",26&lt;=F16)),1,0)+IF(AND(26&gt;=E21,OR(F21="",26&lt;=F21)),1,0)+IF(AND(26&gt;=E28,OR(F28="",26&lt;=F28)),1,0)+IF(AND(26&gt;=E38,OR(F38="",26&lt;=F38)),1,0)</f>
        <v>2</v>
      </c>
      <c r="AG54" s="16" t="n">
        <f aca="false">IF(AND(27&gt;=E16,OR(F16="",27&lt;=F16)),1,0)+IF(AND(27&gt;=E21,OR(F21="",27&lt;=F21)),1,0)+IF(AND(27&gt;=E28,OR(F28="",27&lt;=F28)),1,0)+IF(AND(27&gt;=E38,OR(F38="",27&lt;=F38)),1,0)</f>
        <v>2</v>
      </c>
      <c r="AH54" s="16" t="n">
        <f aca="false">IF(AND(28&gt;=E16,OR(F16="",28&lt;=F16)),1,0)+IF(AND(28&gt;=E21,OR(F21="",28&lt;=F21)),1,0)+IF(AND(28&gt;=E28,OR(F28="",28&lt;=F28)),1,0)+IF(AND(28&gt;=E38,OR(F38="",28&lt;=F38)),1,0)</f>
        <v>2</v>
      </c>
      <c r="AI54" s="16" t="n">
        <f aca="false">IF(AND(29&gt;=E16,OR(F16="",29&lt;=F16)),1,0)+IF(AND(29&gt;=E21,OR(F21="",29&lt;=F21)),1,0)+IF(AND(29&gt;=E28,OR(F28="",29&lt;=F28)),1,0)+IF(AND(29&gt;=E38,OR(F38="",29&lt;=F38)),1,0)</f>
        <v>2</v>
      </c>
      <c r="AJ54" s="16" t="n">
        <f aca="false">IF(AND(30&gt;=E16,OR(F16="",30&lt;=F16)),1,0)+IF(AND(30&gt;=E21,OR(F21="",30&lt;=F21)),1,0)+IF(AND(30&gt;=E28,OR(F28="",30&lt;=F28)),1,0)+IF(AND(30&gt;=E38,OR(F38="",30&lt;=F38)),1,0)</f>
        <v>2</v>
      </c>
      <c r="AK54" s="16" t="n">
        <f aca="false">IF(AND(31&gt;=E16,OR(F16="",31&lt;=F16)),1,0)+IF(AND(31&gt;=E21,OR(F21="",31&lt;=F21)),1,0)+IF(AND(31&gt;=E28,OR(F28="",31&lt;=F28)),1,0)+IF(AND(31&gt;=E38,OR(F38="",31&lt;=F38)),1,0)</f>
        <v>2</v>
      </c>
      <c r="AL54" s="16" t="n">
        <f aca="false">IF(AND(32&gt;=E16,OR(F16="",32&lt;=F16)),1,0)+IF(AND(32&gt;=E21,OR(F21="",32&lt;=F21)),1,0)+IF(AND(32&gt;=E28,OR(F28="",32&lt;=F28)),1,0)+IF(AND(32&gt;=E38,OR(F38="",32&lt;=F38)),1,0)</f>
        <v>3</v>
      </c>
      <c r="AM54" s="16" t="n">
        <f aca="false">IF(AND(33&gt;=E16,OR(F16="",33&lt;=F16)),1,0)+IF(AND(33&gt;=E21,OR(F21="",33&lt;=F21)),1,0)+IF(AND(33&gt;=E28,OR(F28="",33&lt;=F28)),1,0)+IF(AND(33&gt;=E38,OR(F38="",33&lt;=F38)),1,0)</f>
        <v>3</v>
      </c>
      <c r="AN54" s="16" t="n">
        <f aca="false">IF(AND(34&gt;=E16,OR(F16="",34&lt;=F16)),1,0)+IF(AND(34&gt;=E21,OR(F21="",34&lt;=F21)),1,0)+IF(AND(34&gt;=E28,OR(F28="",34&lt;=F28)),1,0)+IF(AND(34&gt;=E38,OR(F38="",34&lt;=F38)),1,0)</f>
        <v>3</v>
      </c>
      <c r="AO54" s="16" t="n">
        <f aca="false">IF(AND(35&gt;=E16,OR(F16="",35&lt;=F16)),1,0)+IF(AND(35&gt;=E21,OR(F21="",35&lt;=F21)),1,0)+IF(AND(35&gt;=E28,OR(F28="",35&lt;=F28)),1,0)+IF(AND(35&gt;=E38,OR(F38="",35&lt;=F38)),1,0)</f>
        <v>3</v>
      </c>
      <c r="AP54" s="16" t="n">
        <f aca="false">IF(AND(36&gt;=E16,OR(F16="",36&lt;=F16)),1,0)+IF(AND(36&gt;=E21,OR(F21="",36&lt;=F21)),1,0)+IF(AND(36&gt;=E28,OR(F28="",36&lt;=F28)),1,0)+IF(AND(36&gt;=E38,OR(F38="",36&lt;=F38)),1,0)</f>
        <v>3</v>
      </c>
      <c r="AQ54" s="16" t="n">
        <f aca="false">IF(AND(37&gt;=E16,OR(F16="",37&lt;=F16)),1,0)+IF(AND(37&gt;=E21,OR(F21="",37&lt;=F21)),1,0)+IF(AND(37&gt;=E28,OR(F28="",37&lt;=F28)),1,0)+IF(AND(37&gt;=E38,OR(F38="",37&lt;=F38)),1,0)</f>
        <v>3</v>
      </c>
      <c r="AR54" s="16" t="n">
        <f aca="false">IF(AND(38&gt;=E16,OR(F16="",38&lt;=F16)),1,0)+IF(AND(38&gt;=E21,OR(F21="",38&lt;=F21)),1,0)+IF(AND(38&gt;=E28,OR(F28="",38&lt;=F28)),1,0)+IF(AND(38&gt;=E38,OR(F38="",38&lt;=F38)),1,0)</f>
        <v>3</v>
      </c>
      <c r="AS54" s="16" t="n">
        <f aca="false">IF(AND(39&gt;=E16,OR(F16="",39&lt;=F16)),1,0)+IF(AND(39&gt;=E21,OR(F21="",39&lt;=F21)),1,0)+IF(AND(39&gt;=E28,OR(F28="",39&lt;=F28)),1,0)+IF(AND(39&gt;=E38,OR(F38="",39&lt;=F38)),1,0)</f>
        <v>3</v>
      </c>
      <c r="AT54" s="16" t="n">
        <f aca="false">IF(AND(40&gt;=E16,OR(F16="",40&lt;=F16)),1,0)+IF(AND(40&gt;=E21,OR(F21="",40&lt;=F21)),1,0)+IF(AND(40&gt;=E28,OR(F28="",40&lt;=F28)),1,0)+IF(AND(40&gt;=E38,OR(F38="",40&lt;=F38)),1,0)</f>
        <v>3</v>
      </c>
      <c r="AU54" s="16" t="n">
        <f aca="false">IF(AND(41&gt;=E16,OR(F16="",41&lt;=F16)),1,0)+IF(AND(41&gt;=E21,OR(F21="",41&lt;=F21)),1,0)+IF(AND(41&gt;=E28,OR(F28="",41&lt;=F28)),1,0)+IF(AND(41&gt;=E38,OR(F38="",41&lt;=F38)),1,0)</f>
        <v>3</v>
      </c>
      <c r="AV54" s="16" t="n">
        <f aca="false">IF(AND(42&gt;=E16,OR(F16="",42&lt;=F16)),1,0)+IF(AND(42&gt;=E21,OR(F21="",42&lt;=F21)),1,0)+IF(AND(42&gt;=E28,OR(F28="",42&lt;=F28)),1,0)+IF(AND(42&gt;=E38,OR(F38="",42&lt;=F38)),1,0)</f>
        <v>3</v>
      </c>
      <c r="AW54" s="16" t="n">
        <f aca="false">IF(AND(43&gt;=E16,OR(F16="",43&lt;=F16)),1,0)+IF(AND(43&gt;=E21,OR(F21="",43&lt;=F21)),1,0)+IF(AND(43&gt;=E28,OR(F28="",43&lt;=F28)),1,0)+IF(AND(43&gt;=E38,OR(F38="",43&lt;=F38)),1,0)</f>
        <v>3</v>
      </c>
      <c r="AX54" s="16" t="n">
        <f aca="false">IF(AND(44&gt;=E16,OR(F16="",44&lt;=F16)),1,0)+IF(AND(44&gt;=E21,OR(F21="",44&lt;=F21)),1,0)+IF(AND(44&gt;=E28,OR(F28="",44&lt;=F28)),1,0)+IF(AND(44&gt;=E38,OR(F38="",44&lt;=F38)),1,0)</f>
        <v>3</v>
      </c>
      <c r="AY54" s="16" t="n">
        <f aca="false">IF(AND(45&gt;=E16,OR(F16="",45&lt;=F16)),1,0)+IF(AND(45&gt;=E21,OR(F21="",45&lt;=F21)),1,0)+IF(AND(45&gt;=E28,OR(F28="",45&lt;=F28)),1,0)+IF(AND(45&gt;=E38,OR(F38="",45&lt;=F38)),1,0)</f>
        <v>3</v>
      </c>
      <c r="AZ54" s="16" t="n">
        <f aca="false">IF(AND(46&gt;=E16,OR(F16="",46&lt;=F16)),1,0)+IF(AND(46&gt;=E21,OR(F21="",46&lt;=F21)),1,0)+IF(AND(46&gt;=E28,OR(F28="",46&lt;=F28)),1,0)+IF(AND(46&gt;=E38,OR(F38="",46&lt;=F38)),1,0)</f>
        <v>3</v>
      </c>
      <c r="BA54" s="16" t="n">
        <f aca="false">IF(AND(47&gt;=E16,OR(F16="",47&lt;=F16)),1,0)+IF(AND(47&gt;=E21,OR(F21="",47&lt;=F21)),1,0)+IF(AND(47&gt;=E28,OR(F28="",47&lt;=F28)),1,0)+IF(AND(47&gt;=E38,OR(F38="",47&lt;=F38)),1,0)</f>
        <v>3</v>
      </c>
      <c r="BB54" s="16" t="n">
        <f aca="false">IF(AND(48&gt;=E16,OR(F16="",48&lt;=F16)),1,0)+IF(AND(48&gt;=E21,OR(F21="",48&lt;=F21)),1,0)+IF(AND(48&gt;=E28,OR(F28="",48&lt;=F28)),1,0)+IF(AND(48&gt;=E38,OR(F38="",48&lt;=F38)),1,0)</f>
        <v>3</v>
      </c>
      <c r="BC54" s="16" t="n">
        <f aca="false">IF(AND(49&gt;=E16,OR(F16="",49&lt;=F16)),1,0)+IF(AND(49&gt;=E21,OR(F21="",49&lt;=F21)),1,0)+IF(AND(49&gt;=E28,OR(F28="",49&lt;=F28)),1,0)+IF(AND(49&gt;=E38,OR(F38="",49&lt;=F38)),1,0)</f>
        <v>3</v>
      </c>
      <c r="BD54" s="16" t="n">
        <f aca="false">IF(AND(50&gt;=E16,OR(F16="",50&lt;=F16)),1,0)+IF(AND(50&gt;=E21,OR(F21="",50&lt;=F21)),1,0)+IF(AND(50&gt;=E28,OR(F28="",50&lt;=F28)),1,0)+IF(AND(50&gt;=E38,OR(F38="",50&lt;=F38)),1,0)</f>
        <v>3</v>
      </c>
      <c r="BE54" s="16" t="n">
        <f aca="false">IF(AND(51&gt;=E16,OR(F16="",51&lt;=F16)),1,0)+IF(AND(51&gt;=E21,OR(F21="",51&lt;=F21)),1,0)+IF(AND(51&gt;=E28,OR(F28="",51&lt;=F28)),1,0)+IF(AND(51&gt;=E38,OR(F38="",51&lt;=F38)),1,0)</f>
        <v>3</v>
      </c>
      <c r="BF54" s="16" t="n">
        <f aca="false">IF(AND(52&gt;=E16,OR(F16="",52&lt;=F16)),1,0)+IF(AND(52&gt;=E21,OR(F21="",52&lt;=F21)),1,0)+IF(AND(52&gt;=E28,OR(F28="",52&lt;=F28)),1,0)+IF(AND(52&gt;=E38,OR(F38="",52&lt;=F38)),1,0)</f>
        <v>4</v>
      </c>
      <c r="BG54" s="16" t="n">
        <f aca="false">IF(AND(53&gt;=E16,OR(F16="",53&lt;=F16)),1,0)+IF(AND(53&gt;=E21,OR(F21="",53&lt;=F21)),1,0)+IF(AND(53&gt;=E28,OR(F28="",53&lt;=F28)),1,0)+IF(AND(53&gt;=E38,OR(F38="",53&lt;=F38)),1,0)</f>
        <v>4</v>
      </c>
      <c r="BH54" s="16" t="n">
        <f aca="false">IF(AND(54&gt;=E16,OR(F16="",54&lt;=F16)),1,0)+IF(AND(54&gt;=E21,OR(F21="",54&lt;=F21)),1,0)+IF(AND(54&gt;=E28,OR(F28="",54&lt;=F28)),1,0)+IF(AND(54&gt;=E38,OR(F38="",54&lt;=F38)),1,0)</f>
        <v>4</v>
      </c>
      <c r="BI54" s="16" t="n">
        <f aca="false">IF(AND(55&gt;=E16,OR(F16="",55&lt;=F16)),1,0)+IF(AND(55&gt;=E21,OR(F21="",55&lt;=F21)),1,0)+IF(AND(55&gt;=E28,OR(F28="",55&lt;=F28)),1,0)+IF(AND(55&gt;=E38,OR(F38="",55&lt;=F38)),1,0)</f>
        <v>4</v>
      </c>
      <c r="BJ54" s="16" t="n">
        <f aca="false">IF(AND(56&gt;=E16,OR(F16="",56&lt;=F16)),1,0)+IF(AND(56&gt;=E21,OR(F21="",56&lt;=F21)),1,0)+IF(AND(56&gt;=E28,OR(F28="",56&lt;=F28)),1,0)+IF(AND(56&gt;=E38,OR(F38="",56&lt;=F38)),1,0)</f>
        <v>4</v>
      </c>
      <c r="BK54" s="16" t="n">
        <f aca="false">IF(AND(57&gt;=E16,OR(F16="",57&lt;=F16)),1,0)+IF(AND(57&gt;=E21,OR(F21="",57&lt;=F21)),1,0)+IF(AND(57&gt;=E28,OR(F28="",57&lt;=F28)),1,0)+IF(AND(57&gt;=E38,OR(F38="",57&lt;=F38)),1,0)</f>
        <v>4</v>
      </c>
      <c r="BL54" s="16" t="n">
        <f aca="false">IF(AND(58&gt;=E16,OR(F16="",58&lt;=F16)),1,0)+IF(AND(58&gt;=E21,OR(F21="",58&lt;=F21)),1,0)+IF(AND(58&gt;=E28,OR(F28="",58&lt;=F28)),1,0)+IF(AND(58&gt;=E38,OR(F38="",58&lt;=F38)),1,0)</f>
        <v>4</v>
      </c>
      <c r="BM54" s="16" t="n">
        <f aca="false">IF(AND(59&gt;=E16,OR(F16="",59&lt;=F16)),1,0)+IF(AND(59&gt;=E21,OR(F21="",59&lt;=F21)),1,0)+IF(AND(59&gt;=E28,OR(F28="",59&lt;=F28)),1,0)+IF(AND(59&gt;=E38,OR(F38="",59&lt;=F38)),1,0)</f>
        <v>4</v>
      </c>
      <c r="BN54" s="16" t="n">
        <f aca="false">IF(AND(60&gt;=E16,OR(F16="",60&lt;=F16)),1,0)+IF(AND(60&gt;=E21,OR(F21="",60&lt;=F21)),1,0)+IF(AND(60&gt;=E28,OR(F28="",60&lt;=F28)),1,0)+IF(AND(60&gt;=E38,OR(F38="",60&lt;=F38)),1,0)</f>
        <v>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36.8"/>
    <col collapsed="false" customWidth="true" hidden="false" outlineLevel="0" max="61" min="2" style="0" width="12"/>
  </cols>
  <sheetData>
    <row r="1" customFormat="false" ht="21.75" hidden="false" customHeight="true" outlineLevel="0" collapsed="false">
      <c r="A1" s="1" t="s">
        <v>394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3" customFormat="false" ht="14.25" hidden="false" customHeight="false" outlineLevel="0" collapsed="false">
      <c r="A3" s="54" t="s">
        <v>5</v>
      </c>
      <c r="B3" s="36" t="s">
        <v>276</v>
      </c>
      <c r="C3" s="36" t="s">
        <v>277</v>
      </c>
      <c r="D3" s="36" t="s">
        <v>278</v>
      </c>
      <c r="E3" s="36" t="s">
        <v>279</v>
      </c>
      <c r="F3" s="36" t="s">
        <v>280</v>
      </c>
      <c r="G3" s="36" t="s">
        <v>281</v>
      </c>
      <c r="H3" s="36" t="s">
        <v>282</v>
      </c>
      <c r="I3" s="36" t="s">
        <v>283</v>
      </c>
      <c r="J3" s="36" t="s">
        <v>284</v>
      </c>
      <c r="K3" s="36" t="s">
        <v>285</v>
      </c>
      <c r="L3" s="36" t="s">
        <v>286</v>
      </c>
      <c r="M3" s="36" t="s">
        <v>287</v>
      </c>
      <c r="N3" s="36" t="s">
        <v>288</v>
      </c>
      <c r="O3" s="36" t="s">
        <v>289</v>
      </c>
      <c r="P3" s="36" t="s">
        <v>290</v>
      </c>
      <c r="Q3" s="36" t="s">
        <v>291</v>
      </c>
      <c r="R3" s="36" t="s">
        <v>292</v>
      </c>
      <c r="S3" s="36" t="s">
        <v>293</v>
      </c>
      <c r="T3" s="36" t="s">
        <v>294</v>
      </c>
      <c r="U3" s="36" t="s">
        <v>295</v>
      </c>
      <c r="V3" s="36" t="s">
        <v>296</v>
      </c>
      <c r="W3" s="36" t="s">
        <v>297</v>
      </c>
      <c r="X3" s="36" t="s">
        <v>298</v>
      </c>
      <c r="Y3" s="36" t="s">
        <v>299</v>
      </c>
      <c r="Z3" s="36" t="s">
        <v>300</v>
      </c>
      <c r="AA3" s="36" t="s">
        <v>301</v>
      </c>
      <c r="AB3" s="36" t="s">
        <v>302</v>
      </c>
      <c r="AC3" s="36" t="s">
        <v>303</v>
      </c>
      <c r="AD3" s="36" t="s">
        <v>304</v>
      </c>
      <c r="AE3" s="36" t="s">
        <v>305</v>
      </c>
      <c r="AF3" s="36" t="s">
        <v>306</v>
      </c>
      <c r="AG3" s="36" t="s">
        <v>307</v>
      </c>
      <c r="AH3" s="36" t="s">
        <v>308</v>
      </c>
      <c r="AI3" s="36" t="s">
        <v>309</v>
      </c>
      <c r="AJ3" s="36" t="s">
        <v>310</v>
      </c>
      <c r="AK3" s="36" t="s">
        <v>311</v>
      </c>
      <c r="AL3" s="36" t="s">
        <v>312</v>
      </c>
      <c r="AM3" s="36" t="s">
        <v>313</v>
      </c>
      <c r="AN3" s="36" t="s">
        <v>314</v>
      </c>
      <c r="AO3" s="36" t="s">
        <v>315</v>
      </c>
      <c r="AP3" s="36" t="s">
        <v>316</v>
      </c>
      <c r="AQ3" s="36" t="s">
        <v>317</v>
      </c>
      <c r="AR3" s="36" t="s">
        <v>318</v>
      </c>
      <c r="AS3" s="36" t="s">
        <v>319</v>
      </c>
      <c r="AT3" s="36" t="s">
        <v>320</v>
      </c>
      <c r="AU3" s="36" t="s">
        <v>321</v>
      </c>
      <c r="AV3" s="36" t="s">
        <v>322</v>
      </c>
      <c r="AW3" s="36" t="s">
        <v>323</v>
      </c>
      <c r="AX3" s="36" t="s">
        <v>324</v>
      </c>
      <c r="AY3" s="36" t="s">
        <v>325</v>
      </c>
      <c r="AZ3" s="36" t="s">
        <v>326</v>
      </c>
      <c r="BA3" s="36" t="s">
        <v>327</v>
      </c>
      <c r="BB3" s="36" t="s">
        <v>328</v>
      </c>
      <c r="BC3" s="36" t="s">
        <v>329</v>
      </c>
      <c r="BD3" s="36" t="s">
        <v>330</v>
      </c>
      <c r="BE3" s="36" t="s">
        <v>331</v>
      </c>
      <c r="BF3" s="36" t="s">
        <v>332</v>
      </c>
      <c r="BG3" s="36" t="s">
        <v>333</v>
      </c>
      <c r="BH3" s="36" t="s">
        <v>334</v>
      </c>
      <c r="BI3" s="36" t="s">
        <v>335</v>
      </c>
    </row>
    <row r="4" customFormat="false" ht="14.25" hidden="false" customHeight="false" outlineLevel="0" collapsed="false">
      <c r="A4" s="51" t="s">
        <v>395</v>
      </c>
    </row>
    <row r="5" customFormat="false" ht="14.25" hidden="false" customHeight="false" outlineLevel="0" collapsed="false">
      <c r="A5" s="7" t="s">
        <v>396</v>
      </c>
      <c r="B5" s="15" t="n">
        <f aca="false">ROUND((assumptions!$G$16+(assumptions!$G$17-assumptions!$G$16)*1/12),0)</f>
        <v>42</v>
      </c>
      <c r="C5" s="15" t="n">
        <f aca="false">ROUND((assumptions!$G$16+(assumptions!$G$17-assumptions!$G$16)*2/12),0)</f>
        <v>83</v>
      </c>
      <c r="D5" s="15" t="n">
        <f aca="false">ROUND((assumptions!$G$16+(assumptions!$G$17-assumptions!$G$16)*3/12),0)</f>
        <v>125</v>
      </c>
      <c r="E5" s="15" t="n">
        <f aca="false">ROUND((assumptions!$G$16+(assumptions!$G$17-assumptions!$G$16)*4/12),0)</f>
        <v>167</v>
      </c>
      <c r="F5" s="15" t="n">
        <f aca="false">ROUND((assumptions!$G$16+(assumptions!$G$17-assumptions!$G$16)*5/12),0)</f>
        <v>208</v>
      </c>
      <c r="G5" s="15" t="n">
        <f aca="false">ROUND((assumptions!$G$16+(assumptions!$G$17-assumptions!$G$16)*6/12),0)</f>
        <v>250</v>
      </c>
      <c r="H5" s="15" t="n">
        <f aca="false">ROUND((assumptions!$G$16+(assumptions!$G$17-assumptions!$G$16)*7/12),0)</f>
        <v>292</v>
      </c>
      <c r="I5" s="15" t="n">
        <f aca="false">ROUND((assumptions!$G$16+(assumptions!$G$17-assumptions!$G$16)*8/12),0)</f>
        <v>333</v>
      </c>
      <c r="J5" s="15" t="n">
        <f aca="false">ROUND((assumptions!$G$16+(assumptions!$G$17-assumptions!$G$16)*9/12),0)</f>
        <v>375</v>
      </c>
      <c r="K5" s="15" t="n">
        <f aca="false">ROUND((assumptions!$G$16+(assumptions!$G$17-assumptions!$G$16)*10/12),0)</f>
        <v>417</v>
      </c>
      <c r="L5" s="15" t="n">
        <f aca="false">ROUND((assumptions!$G$16+(assumptions!$G$17-assumptions!$G$16)*11/12),0)</f>
        <v>458</v>
      </c>
      <c r="M5" s="15" t="n">
        <f aca="false">ROUND((assumptions!$G$16+(assumptions!$G$17-assumptions!$G$16)*12/12),0)</f>
        <v>500</v>
      </c>
      <c r="N5" s="15" t="n">
        <f aca="false">ROUND((assumptions!$G$17+(assumptions!$G$18-assumptions!$G$17)*(13-12)/12),0)</f>
        <v>658</v>
      </c>
      <c r="O5" s="15" t="n">
        <f aca="false">ROUND((assumptions!$G$17+(assumptions!$G$18-assumptions!$G$17)*(14-12)/12),0)</f>
        <v>817</v>
      </c>
      <c r="P5" s="15" t="n">
        <f aca="false">ROUND((assumptions!$G$17+(assumptions!$G$18-assumptions!$G$17)*(15-12)/12),0)</f>
        <v>975</v>
      </c>
      <c r="Q5" s="15" t="n">
        <f aca="false">ROUND((assumptions!$G$17+(assumptions!$G$18-assumptions!$G$17)*(16-12)/12),0)</f>
        <v>1133</v>
      </c>
      <c r="R5" s="15" t="n">
        <f aca="false">ROUND((assumptions!$G$17+(assumptions!$G$18-assumptions!$G$17)*(17-12)/12),0)</f>
        <v>1292</v>
      </c>
      <c r="S5" s="15" t="n">
        <f aca="false">ROUND((assumptions!$G$17+(assumptions!$G$18-assumptions!$G$17)*(18-12)/12),0)</f>
        <v>1450</v>
      </c>
      <c r="T5" s="15" t="n">
        <f aca="false">ROUND((assumptions!$G$17+(assumptions!$G$18-assumptions!$G$17)*(19-12)/12),0)</f>
        <v>1608</v>
      </c>
      <c r="U5" s="15" t="n">
        <f aca="false">ROUND((assumptions!$G$17+(assumptions!$G$18-assumptions!$G$17)*(20-12)/12),0)</f>
        <v>1767</v>
      </c>
      <c r="V5" s="15" t="n">
        <f aca="false">ROUND((assumptions!$G$17+(assumptions!$G$18-assumptions!$G$17)*(21-12)/12),0)</f>
        <v>1925</v>
      </c>
      <c r="W5" s="15" t="n">
        <f aca="false">ROUND((assumptions!$G$17+(assumptions!$G$18-assumptions!$G$17)*(22-12)/12),0)</f>
        <v>2083</v>
      </c>
      <c r="X5" s="15" t="n">
        <f aca="false">ROUND((assumptions!$G$17+(assumptions!$G$18-assumptions!$G$17)*(23-12)/12),0)</f>
        <v>2242</v>
      </c>
      <c r="Y5" s="15" t="n">
        <f aca="false">ROUND((assumptions!$G$17+(assumptions!$G$18-assumptions!$G$17)*(24-12)/12),0)</f>
        <v>2400</v>
      </c>
      <c r="Z5" s="15" t="n">
        <f aca="false">ROUND((assumptions!$G$18+(assumptions!$G$19-assumptions!$G$18)*(25-24)/12),0)</f>
        <v>2767</v>
      </c>
      <c r="AA5" s="15" t="n">
        <f aca="false">ROUND((assumptions!$G$18+(assumptions!$G$19-assumptions!$G$18)*(26-24)/12),0)</f>
        <v>3133</v>
      </c>
      <c r="AB5" s="15" t="n">
        <f aca="false">ROUND((assumptions!$G$18+(assumptions!$G$19-assumptions!$G$18)*(27-24)/12),0)</f>
        <v>3500</v>
      </c>
      <c r="AC5" s="15" t="n">
        <f aca="false">ROUND((assumptions!$G$18+(assumptions!$G$19-assumptions!$G$18)*(28-24)/12),0)</f>
        <v>3867</v>
      </c>
      <c r="AD5" s="15" t="n">
        <f aca="false">ROUND((assumptions!$G$18+(assumptions!$G$19-assumptions!$G$18)*(29-24)/12),0)</f>
        <v>4233</v>
      </c>
      <c r="AE5" s="15" t="n">
        <f aca="false">ROUND((assumptions!$G$18+(assumptions!$G$19-assumptions!$G$18)*(30-24)/12),0)</f>
        <v>4600</v>
      </c>
      <c r="AF5" s="15" t="n">
        <f aca="false">ROUND((assumptions!$G$18+(assumptions!$G$19-assumptions!$G$18)*(31-24)/12),0)</f>
        <v>4967</v>
      </c>
      <c r="AG5" s="15" t="n">
        <f aca="false">ROUND((assumptions!$G$18+(assumptions!$G$19-assumptions!$G$18)*(32-24)/12),0)</f>
        <v>5333</v>
      </c>
      <c r="AH5" s="15" t="n">
        <f aca="false">ROUND((assumptions!$G$18+(assumptions!$G$19-assumptions!$G$18)*(33-24)/12),0)</f>
        <v>5700</v>
      </c>
      <c r="AI5" s="15" t="n">
        <f aca="false">ROUND((assumptions!$G$18+(assumptions!$G$19-assumptions!$G$18)*(34-24)/12),0)</f>
        <v>6067</v>
      </c>
      <c r="AJ5" s="15" t="n">
        <f aca="false">ROUND((assumptions!$G$18+(assumptions!$G$19-assumptions!$G$18)*(35-24)/12),0)</f>
        <v>6433</v>
      </c>
      <c r="AK5" s="15" t="n">
        <f aca="false">ROUND((assumptions!$G$18+(assumptions!$G$19-assumptions!$G$18)*(36-24)/12),0)</f>
        <v>6800</v>
      </c>
      <c r="AL5" s="15" t="n">
        <f aca="false">ROUND((assumptions!$G$19+(assumptions!$G$20-assumptions!$G$19)*(37-36)/12),0)</f>
        <v>7400</v>
      </c>
      <c r="AM5" s="15" t="n">
        <f aca="false">ROUND((assumptions!$G$19+(assumptions!$G$20-assumptions!$G$19)*(38-36)/12),0)</f>
        <v>8000</v>
      </c>
      <c r="AN5" s="15" t="n">
        <f aca="false">ROUND((assumptions!$G$19+(assumptions!$G$20-assumptions!$G$19)*(39-36)/12),0)</f>
        <v>8600</v>
      </c>
      <c r="AO5" s="15" t="n">
        <f aca="false">ROUND((assumptions!$G$19+(assumptions!$G$20-assumptions!$G$19)*(40-36)/12),0)</f>
        <v>9200</v>
      </c>
      <c r="AP5" s="15" t="n">
        <f aca="false">ROUND((assumptions!$G$19+(assumptions!$G$20-assumptions!$G$19)*(41-36)/12),0)</f>
        <v>9800</v>
      </c>
      <c r="AQ5" s="15" t="n">
        <f aca="false">ROUND((assumptions!$G$19+(assumptions!$G$20-assumptions!$G$19)*(42-36)/12),0)</f>
        <v>10400</v>
      </c>
      <c r="AR5" s="15" t="n">
        <f aca="false">ROUND((assumptions!$G$19+(assumptions!$G$20-assumptions!$G$19)*(43-36)/12),0)</f>
        <v>11000</v>
      </c>
      <c r="AS5" s="15" t="n">
        <f aca="false">ROUND((assumptions!$G$19+(assumptions!$G$20-assumptions!$G$19)*(44-36)/12),0)</f>
        <v>11600</v>
      </c>
      <c r="AT5" s="15" t="n">
        <f aca="false">ROUND((assumptions!$G$19+(assumptions!$G$20-assumptions!$G$19)*(45-36)/12),0)</f>
        <v>12200</v>
      </c>
      <c r="AU5" s="15" t="n">
        <f aca="false">ROUND((assumptions!$G$19+(assumptions!$G$20-assumptions!$G$19)*(46-36)/12),0)</f>
        <v>12800</v>
      </c>
      <c r="AV5" s="15" t="n">
        <f aca="false">ROUND((assumptions!$G$19+(assumptions!$G$20-assumptions!$G$19)*(47-36)/12),0)</f>
        <v>13400</v>
      </c>
      <c r="AW5" s="15" t="n">
        <f aca="false">ROUND((assumptions!$G$19+(assumptions!$G$20-assumptions!$G$19)*(48-36)/12),0)</f>
        <v>14000</v>
      </c>
      <c r="AX5" s="15" t="n">
        <f aca="false">ROUND((assumptions!$G$20+(assumptions!$G$21-assumptions!$G$20)*(49-48)/12),0)</f>
        <v>14833</v>
      </c>
      <c r="AY5" s="15" t="n">
        <f aca="false">ROUND((assumptions!$G$20+(assumptions!$G$21-assumptions!$G$20)*(50-48)/12),0)</f>
        <v>15667</v>
      </c>
      <c r="AZ5" s="15" t="n">
        <f aca="false">ROUND((assumptions!$G$20+(assumptions!$G$21-assumptions!$G$20)*(51-48)/12),0)</f>
        <v>16500</v>
      </c>
      <c r="BA5" s="15" t="n">
        <f aca="false">ROUND((assumptions!$G$20+(assumptions!$G$21-assumptions!$G$20)*(52-48)/12),0)</f>
        <v>17333</v>
      </c>
      <c r="BB5" s="15" t="n">
        <f aca="false">ROUND((assumptions!$G$20+(assumptions!$G$21-assumptions!$G$20)*(53-48)/12),0)</f>
        <v>18167</v>
      </c>
      <c r="BC5" s="15" t="n">
        <f aca="false">ROUND((assumptions!$G$20+(assumptions!$G$21-assumptions!$G$20)*(54-48)/12),0)</f>
        <v>19000</v>
      </c>
      <c r="BD5" s="15" t="n">
        <f aca="false">ROUND((assumptions!$G$20+(assumptions!$G$21-assumptions!$G$20)*(55-48)/12),0)</f>
        <v>19833</v>
      </c>
      <c r="BE5" s="15" t="n">
        <f aca="false">ROUND((assumptions!$G$20+(assumptions!$G$21-assumptions!$G$20)*(56-48)/12),0)</f>
        <v>20667</v>
      </c>
      <c r="BF5" s="15" t="n">
        <f aca="false">ROUND((assumptions!$G$20+(assumptions!$G$21-assumptions!$G$20)*(57-48)/12),0)</f>
        <v>21500</v>
      </c>
      <c r="BG5" s="15" t="n">
        <f aca="false">ROUND((assumptions!$G$20+(assumptions!$G$21-assumptions!$G$20)*(58-48)/12),0)</f>
        <v>22333</v>
      </c>
      <c r="BH5" s="15" t="n">
        <f aca="false">ROUND((assumptions!$G$20+(assumptions!$G$21-assumptions!$G$20)*(59-48)/12),0)</f>
        <v>23167</v>
      </c>
      <c r="BI5" s="15" t="n">
        <f aca="false">ROUND((assumptions!$G$20+(assumptions!$G$21-assumptions!$G$20)*(60-48)/12),0)</f>
        <v>24000</v>
      </c>
    </row>
    <row r="6" customFormat="false" ht="14.25" hidden="false" customHeight="false" outlineLevel="0" collapsed="false">
      <c r="A6" s="7" t="s">
        <v>397</v>
      </c>
      <c r="B6" s="16" t="n">
        <f aca="false">ROUND(0*assumptions!$G$22,0)</f>
        <v>0</v>
      </c>
      <c r="C6" s="16" t="n">
        <f aca="false">ROUND(B5*assumptions!$G$22,0)</f>
        <v>1</v>
      </c>
      <c r="D6" s="16" t="n">
        <f aca="false">ROUND(C5*assumptions!$G$22,0)</f>
        <v>2</v>
      </c>
      <c r="E6" s="16" t="n">
        <f aca="false">ROUND(D5*assumptions!$G$22,0)</f>
        <v>3</v>
      </c>
      <c r="F6" s="16" t="n">
        <f aca="false">ROUND(E5*assumptions!$G$22,0)</f>
        <v>3</v>
      </c>
      <c r="G6" s="16" t="n">
        <f aca="false">ROUND(F5*assumptions!$G$22,0)</f>
        <v>4</v>
      </c>
      <c r="H6" s="16" t="n">
        <f aca="false">ROUND(G5*assumptions!$G$22,0)</f>
        <v>5</v>
      </c>
      <c r="I6" s="16" t="n">
        <f aca="false">ROUND(H5*assumptions!$G$22,0)</f>
        <v>6</v>
      </c>
      <c r="J6" s="16" t="n">
        <f aca="false">ROUND(I5*assumptions!$G$22,0)</f>
        <v>7</v>
      </c>
      <c r="K6" s="16" t="n">
        <f aca="false">ROUND(J5*assumptions!$G$22,0)</f>
        <v>8</v>
      </c>
      <c r="L6" s="16" t="n">
        <f aca="false">ROUND(K5*assumptions!$G$22,0)</f>
        <v>8</v>
      </c>
      <c r="M6" s="16" t="n">
        <f aca="false">ROUND(L5*assumptions!$G$22,0)</f>
        <v>9</v>
      </c>
      <c r="N6" s="16" t="n">
        <f aca="false">ROUND(M5*assumptions!$G$22,0)</f>
        <v>10</v>
      </c>
      <c r="O6" s="16" t="n">
        <f aca="false">ROUND(N5*assumptions!$G$22,0)</f>
        <v>13</v>
      </c>
      <c r="P6" s="16" t="n">
        <f aca="false">ROUND(O5*assumptions!$G$22,0)</f>
        <v>16</v>
      </c>
      <c r="Q6" s="16" t="n">
        <f aca="false">ROUND(P5*assumptions!$G$22,0)</f>
        <v>20</v>
      </c>
      <c r="R6" s="16" t="n">
        <f aca="false">ROUND(Q5*assumptions!$G$22,0)</f>
        <v>23</v>
      </c>
      <c r="S6" s="16" t="n">
        <f aca="false">ROUND(R5*assumptions!$G$22,0)</f>
        <v>26</v>
      </c>
      <c r="T6" s="16" t="n">
        <f aca="false">ROUND(S5*assumptions!$G$22,0)</f>
        <v>29</v>
      </c>
      <c r="U6" s="16" t="n">
        <f aca="false">ROUND(T5*assumptions!$G$22,0)</f>
        <v>32</v>
      </c>
      <c r="V6" s="16" t="n">
        <f aca="false">ROUND(U5*assumptions!$G$22,0)</f>
        <v>35</v>
      </c>
      <c r="W6" s="16" t="n">
        <f aca="false">ROUND(V5*assumptions!$G$22,0)</f>
        <v>39</v>
      </c>
      <c r="X6" s="16" t="n">
        <f aca="false">ROUND(W5*assumptions!$G$22,0)</f>
        <v>42</v>
      </c>
      <c r="Y6" s="16" t="n">
        <f aca="false">ROUND(X5*assumptions!$G$22,0)</f>
        <v>45</v>
      </c>
      <c r="Z6" s="16" t="n">
        <f aca="false">ROUND(Y5*assumptions!$G$22,0)</f>
        <v>48</v>
      </c>
      <c r="AA6" s="16" t="n">
        <f aca="false">ROUND(Z5*assumptions!$G$22,0)</f>
        <v>55</v>
      </c>
      <c r="AB6" s="16" t="n">
        <f aca="false">ROUND(AA5*assumptions!$G$22,0)</f>
        <v>63</v>
      </c>
      <c r="AC6" s="16" t="n">
        <f aca="false">ROUND(AB5*assumptions!$G$22,0)</f>
        <v>70</v>
      </c>
      <c r="AD6" s="16" t="n">
        <f aca="false">ROUND(AC5*assumptions!$G$22,0)</f>
        <v>77</v>
      </c>
      <c r="AE6" s="16" t="n">
        <f aca="false">ROUND(AD5*assumptions!$G$22,0)</f>
        <v>85</v>
      </c>
      <c r="AF6" s="16" t="n">
        <f aca="false">ROUND(AE5*assumptions!$G$22,0)</f>
        <v>92</v>
      </c>
      <c r="AG6" s="16" t="n">
        <f aca="false">ROUND(AF5*assumptions!$G$22,0)</f>
        <v>99</v>
      </c>
      <c r="AH6" s="16" t="n">
        <f aca="false">ROUND(AG5*assumptions!$G$22,0)</f>
        <v>107</v>
      </c>
      <c r="AI6" s="16" t="n">
        <f aca="false">ROUND(AH5*assumptions!$G$22,0)</f>
        <v>114</v>
      </c>
      <c r="AJ6" s="16" t="n">
        <f aca="false">ROUND(AI5*assumptions!$G$22,0)</f>
        <v>121</v>
      </c>
      <c r="AK6" s="16" t="n">
        <f aca="false">ROUND(AJ5*assumptions!$G$22,0)</f>
        <v>129</v>
      </c>
      <c r="AL6" s="16" t="n">
        <f aca="false">ROUND(AK5*assumptions!$G$22,0)</f>
        <v>136</v>
      </c>
      <c r="AM6" s="16" t="n">
        <f aca="false">ROUND(AL5*assumptions!$G$22,0)</f>
        <v>148</v>
      </c>
      <c r="AN6" s="16" t="n">
        <f aca="false">ROUND(AM5*assumptions!$G$22,0)</f>
        <v>160</v>
      </c>
      <c r="AO6" s="16" t="n">
        <f aca="false">ROUND(AN5*assumptions!$G$22,0)</f>
        <v>172</v>
      </c>
      <c r="AP6" s="16" t="n">
        <f aca="false">ROUND(AO5*assumptions!$G$22,0)</f>
        <v>184</v>
      </c>
      <c r="AQ6" s="16" t="n">
        <f aca="false">ROUND(AP5*assumptions!$G$22,0)</f>
        <v>196</v>
      </c>
      <c r="AR6" s="16" t="n">
        <f aca="false">ROUND(AQ5*assumptions!$G$22,0)</f>
        <v>208</v>
      </c>
      <c r="AS6" s="16" t="n">
        <f aca="false">ROUND(AR5*assumptions!$G$22,0)</f>
        <v>220</v>
      </c>
      <c r="AT6" s="16" t="n">
        <f aca="false">ROUND(AS5*assumptions!$G$22,0)</f>
        <v>232</v>
      </c>
      <c r="AU6" s="16" t="n">
        <f aca="false">ROUND(AT5*assumptions!$G$22,0)</f>
        <v>244</v>
      </c>
      <c r="AV6" s="16" t="n">
        <f aca="false">ROUND(AU5*assumptions!$G$22,0)</f>
        <v>256</v>
      </c>
      <c r="AW6" s="16" t="n">
        <f aca="false">ROUND(AV5*assumptions!$G$22,0)</f>
        <v>268</v>
      </c>
      <c r="AX6" s="16" t="n">
        <f aca="false">ROUND(AW5*assumptions!$G$22,0)</f>
        <v>280</v>
      </c>
      <c r="AY6" s="16" t="n">
        <f aca="false">ROUND(AX5*assumptions!$G$22,0)</f>
        <v>297</v>
      </c>
      <c r="AZ6" s="16" t="n">
        <f aca="false">ROUND(AY5*assumptions!$G$22,0)</f>
        <v>313</v>
      </c>
      <c r="BA6" s="16" t="n">
        <f aca="false">ROUND(AZ5*assumptions!$G$22,0)</f>
        <v>330</v>
      </c>
      <c r="BB6" s="16" t="n">
        <f aca="false">ROUND(BA5*assumptions!$G$22,0)</f>
        <v>347</v>
      </c>
      <c r="BC6" s="16" t="n">
        <f aca="false">ROUND(BB5*assumptions!$G$22,0)</f>
        <v>363</v>
      </c>
      <c r="BD6" s="16" t="n">
        <f aca="false">ROUND(BC5*assumptions!$G$22,0)</f>
        <v>380</v>
      </c>
      <c r="BE6" s="16" t="n">
        <f aca="false">ROUND(BD5*assumptions!$G$22,0)</f>
        <v>397</v>
      </c>
      <c r="BF6" s="16" t="n">
        <f aca="false">ROUND(BE5*assumptions!$G$22,0)</f>
        <v>413</v>
      </c>
      <c r="BG6" s="16" t="n">
        <f aca="false">ROUND(BF5*assumptions!$G$22,0)</f>
        <v>430</v>
      </c>
      <c r="BH6" s="16" t="n">
        <f aca="false">ROUND(BG5*assumptions!$G$22,0)</f>
        <v>447</v>
      </c>
      <c r="BI6" s="16" t="n">
        <f aca="false">ROUND(BH5*assumptions!$G$22,0)</f>
        <v>463</v>
      </c>
    </row>
    <row r="7" customFormat="false" ht="14.25" hidden="false" customHeight="false" outlineLevel="0" collapsed="false">
      <c r="A7" s="7" t="s">
        <v>398</v>
      </c>
      <c r="B7" s="16" t="n">
        <f aca="false">B5-0+B6</f>
        <v>42</v>
      </c>
      <c r="C7" s="16" t="n">
        <f aca="false">C5-B5+C6</f>
        <v>42</v>
      </c>
      <c r="D7" s="16" t="n">
        <f aca="false">D5-C5+D6</f>
        <v>44</v>
      </c>
      <c r="E7" s="16" t="n">
        <f aca="false">E5-D5+E6</f>
        <v>45</v>
      </c>
      <c r="F7" s="16" t="n">
        <f aca="false">F5-E5+F6</f>
        <v>44</v>
      </c>
      <c r="G7" s="16" t="n">
        <f aca="false">G5-F5+G6</f>
        <v>46</v>
      </c>
      <c r="H7" s="16" t="n">
        <f aca="false">H5-G5+H6</f>
        <v>47</v>
      </c>
      <c r="I7" s="16" t="n">
        <f aca="false">I5-H5+I6</f>
        <v>47</v>
      </c>
      <c r="J7" s="16" t="n">
        <f aca="false">J5-I5+J6</f>
        <v>49</v>
      </c>
      <c r="K7" s="16" t="n">
        <f aca="false">K5-J5+K6</f>
        <v>50</v>
      </c>
      <c r="L7" s="16" t="n">
        <f aca="false">L5-K5+L6</f>
        <v>49</v>
      </c>
      <c r="M7" s="16" t="n">
        <f aca="false">M5-L5+M6</f>
        <v>51</v>
      </c>
      <c r="N7" s="16" t="n">
        <f aca="false">N5-M5+N6</f>
        <v>168</v>
      </c>
      <c r="O7" s="16" t="n">
        <f aca="false">O5-N5+O6</f>
        <v>172</v>
      </c>
      <c r="P7" s="16" t="n">
        <f aca="false">P5-O5+P6</f>
        <v>174</v>
      </c>
      <c r="Q7" s="16" t="n">
        <f aca="false">Q5-P5+Q6</f>
        <v>178</v>
      </c>
      <c r="R7" s="16" t="n">
        <f aca="false">R5-Q5+R6</f>
        <v>182</v>
      </c>
      <c r="S7" s="16" t="n">
        <f aca="false">S5-R5+S6</f>
        <v>184</v>
      </c>
      <c r="T7" s="16" t="n">
        <f aca="false">T5-S5+T6</f>
        <v>187</v>
      </c>
      <c r="U7" s="16" t="n">
        <f aca="false">U5-T5+U6</f>
        <v>191</v>
      </c>
      <c r="V7" s="16" t="n">
        <f aca="false">V5-U5+V6</f>
        <v>193</v>
      </c>
      <c r="W7" s="16" t="n">
        <f aca="false">W5-V5+W6</f>
        <v>197</v>
      </c>
      <c r="X7" s="16" t="n">
        <f aca="false">X5-W5+X6</f>
        <v>201</v>
      </c>
      <c r="Y7" s="16" t="n">
        <f aca="false">Y5-X5+Y6</f>
        <v>203</v>
      </c>
      <c r="Z7" s="16" t="n">
        <f aca="false">Z5-Y5+Z6</f>
        <v>415</v>
      </c>
      <c r="AA7" s="16" t="n">
        <f aca="false">AA5-Z5+AA6</f>
        <v>421</v>
      </c>
      <c r="AB7" s="16" t="n">
        <f aca="false">AB5-AA5+AB6</f>
        <v>430</v>
      </c>
      <c r="AC7" s="16" t="n">
        <f aca="false">AC5-AB5+AC6</f>
        <v>437</v>
      </c>
      <c r="AD7" s="16" t="n">
        <f aca="false">AD5-AC5+AD6</f>
        <v>443</v>
      </c>
      <c r="AE7" s="16" t="n">
        <f aca="false">AE5-AD5+AE6</f>
        <v>452</v>
      </c>
      <c r="AF7" s="16" t="n">
        <f aca="false">AF5-AE5+AF6</f>
        <v>459</v>
      </c>
      <c r="AG7" s="16" t="n">
        <f aca="false">AG5-AF5+AG6</f>
        <v>465</v>
      </c>
      <c r="AH7" s="16" t="n">
        <f aca="false">AH5-AG5+AH6</f>
        <v>474</v>
      </c>
      <c r="AI7" s="16" t="n">
        <f aca="false">AI5-AH5+AI6</f>
        <v>481</v>
      </c>
      <c r="AJ7" s="16" t="n">
        <f aca="false">AJ5-AI5+AJ6</f>
        <v>487</v>
      </c>
      <c r="AK7" s="16" t="n">
        <f aca="false">AK5-AJ5+AK6</f>
        <v>496</v>
      </c>
      <c r="AL7" s="16" t="n">
        <f aca="false">AL5-AK5+AL6</f>
        <v>736</v>
      </c>
      <c r="AM7" s="16" t="n">
        <f aca="false">AM5-AL5+AM6</f>
        <v>748</v>
      </c>
      <c r="AN7" s="16" t="n">
        <f aca="false">AN5-AM5+AN6</f>
        <v>760</v>
      </c>
      <c r="AO7" s="16" t="n">
        <f aca="false">AO5-AN5+AO6</f>
        <v>772</v>
      </c>
      <c r="AP7" s="16" t="n">
        <f aca="false">AP5-AO5+AP6</f>
        <v>784</v>
      </c>
      <c r="AQ7" s="16" t="n">
        <f aca="false">AQ5-AP5+AQ6</f>
        <v>796</v>
      </c>
      <c r="AR7" s="16" t="n">
        <f aca="false">AR5-AQ5+AR6</f>
        <v>808</v>
      </c>
      <c r="AS7" s="16" t="n">
        <f aca="false">AS5-AR5+AS6</f>
        <v>820</v>
      </c>
      <c r="AT7" s="16" t="n">
        <f aca="false">AT5-AS5+AT6</f>
        <v>832</v>
      </c>
      <c r="AU7" s="16" t="n">
        <f aca="false">AU5-AT5+AU6</f>
        <v>844</v>
      </c>
      <c r="AV7" s="16" t="n">
        <f aca="false">AV5-AU5+AV6</f>
        <v>856</v>
      </c>
      <c r="AW7" s="16" t="n">
        <f aca="false">AW5-AV5+AW6</f>
        <v>868</v>
      </c>
      <c r="AX7" s="16" t="n">
        <f aca="false">AX5-AW5+AX6</f>
        <v>1113</v>
      </c>
      <c r="AY7" s="16" t="n">
        <f aca="false">AY5-AX5+AY6</f>
        <v>1131</v>
      </c>
      <c r="AZ7" s="16" t="n">
        <f aca="false">AZ5-AY5+AZ6</f>
        <v>1146</v>
      </c>
      <c r="BA7" s="16" t="n">
        <f aca="false">BA5-AZ5+BA6</f>
        <v>1163</v>
      </c>
      <c r="BB7" s="16" t="n">
        <f aca="false">BB5-BA5+BB6</f>
        <v>1181</v>
      </c>
      <c r="BC7" s="16" t="n">
        <f aca="false">BC5-BB5+BC6</f>
        <v>1196</v>
      </c>
      <c r="BD7" s="16" t="n">
        <f aca="false">BD5-BC5+BD6</f>
        <v>1213</v>
      </c>
      <c r="BE7" s="16" t="n">
        <f aca="false">BE5-BD5+BE6</f>
        <v>1231</v>
      </c>
      <c r="BF7" s="16" t="n">
        <f aca="false">BF5-BE5+BF6</f>
        <v>1246</v>
      </c>
      <c r="BG7" s="16" t="n">
        <f aca="false">BG5-BF5+BG6</f>
        <v>1263</v>
      </c>
      <c r="BH7" s="16" t="n">
        <f aca="false">BH5-BG5+BH6</f>
        <v>1281</v>
      </c>
      <c r="BI7" s="16" t="n">
        <f aca="false">BI5-BH5+BI6</f>
        <v>1296</v>
      </c>
    </row>
    <row r="9" customFormat="false" ht="14.25" hidden="false" customHeight="false" outlineLevel="0" collapsed="false">
      <c r="A9" s="51" t="s">
        <v>399</v>
      </c>
    </row>
    <row r="10" customFormat="false" ht="14.25" hidden="false" customHeight="false" outlineLevel="0" collapsed="false">
      <c r="A10" s="7" t="s">
        <v>400</v>
      </c>
      <c r="B10" s="18" t="n">
        <f aca="false">(assumptions!$G$24*0.5+(assumptions!$G$24-assumptions!$G$24*0.5)*(1-1)/11)</f>
        <v>500</v>
      </c>
      <c r="C10" s="18" t="n">
        <f aca="false">(assumptions!$G$24*0.5+(assumptions!$G$24-assumptions!$G$24*0.5)*(2-1)/11)</f>
        <v>545.454545454546</v>
      </c>
      <c r="D10" s="18" t="n">
        <f aca="false">(assumptions!$G$24*0.5+(assumptions!$G$24-assumptions!$G$24*0.5)*(3-1)/11)</f>
        <v>590.909090909091</v>
      </c>
      <c r="E10" s="18" t="n">
        <f aca="false">(assumptions!$G$24*0.5+(assumptions!$G$24-assumptions!$G$24*0.5)*(4-1)/11)</f>
        <v>636.363636363636</v>
      </c>
      <c r="F10" s="18" t="n">
        <f aca="false">(assumptions!$G$24*0.5+(assumptions!$G$24-assumptions!$G$24*0.5)*(5-1)/11)</f>
        <v>681.818181818182</v>
      </c>
      <c r="G10" s="18" t="n">
        <f aca="false">(assumptions!$G$24*0.5+(assumptions!$G$24-assumptions!$G$24*0.5)*(6-1)/11)</f>
        <v>727.272727272727</v>
      </c>
      <c r="H10" s="18" t="n">
        <f aca="false">(assumptions!$G$24*0.5+(assumptions!$G$24-assumptions!$G$24*0.5)*(7-1)/11)</f>
        <v>772.727272727273</v>
      </c>
      <c r="I10" s="18" t="n">
        <f aca="false">(assumptions!$G$24*0.5+(assumptions!$G$24-assumptions!$G$24*0.5)*(8-1)/11)</f>
        <v>818.181818181818</v>
      </c>
      <c r="J10" s="18" t="n">
        <f aca="false">(assumptions!$G$24*0.5+(assumptions!$G$24-assumptions!$G$24*0.5)*(9-1)/11)</f>
        <v>863.636363636364</v>
      </c>
      <c r="K10" s="18" t="n">
        <f aca="false">(assumptions!$G$24*0.5+(assumptions!$G$24-assumptions!$G$24*0.5)*(10-1)/11)</f>
        <v>909.090909090909</v>
      </c>
      <c r="L10" s="18" t="n">
        <f aca="false">(assumptions!$G$24*0.5+(assumptions!$G$24-assumptions!$G$24*0.5)*(11-1)/11)</f>
        <v>954.545454545455</v>
      </c>
      <c r="M10" s="18" t="n">
        <f aca="false">(assumptions!$G$24*0.5+(assumptions!$G$24-assumptions!$G$24*0.5)*(12-1)/11)</f>
        <v>1000</v>
      </c>
      <c r="N10" s="18" t="n">
        <f aca="false">(assumptions!$G$24+(assumptions!$G$25-assumptions!$G$24)*(13-12)/12)</f>
        <v>1016.66666666667</v>
      </c>
      <c r="O10" s="18" t="n">
        <f aca="false">(assumptions!$G$24+(assumptions!$G$25-assumptions!$G$24)*(14-12)/12)</f>
        <v>1033.33333333333</v>
      </c>
      <c r="P10" s="18" t="n">
        <f aca="false">(assumptions!$G$24+(assumptions!$G$25-assumptions!$G$24)*(15-12)/12)</f>
        <v>1050</v>
      </c>
      <c r="Q10" s="18" t="n">
        <f aca="false">(assumptions!$G$24+(assumptions!$G$25-assumptions!$G$24)*(16-12)/12)</f>
        <v>1066.66666666667</v>
      </c>
      <c r="R10" s="18" t="n">
        <f aca="false">(assumptions!$G$24+(assumptions!$G$25-assumptions!$G$24)*(17-12)/12)</f>
        <v>1083.33333333333</v>
      </c>
      <c r="S10" s="18" t="n">
        <f aca="false">(assumptions!$G$24+(assumptions!$G$25-assumptions!$G$24)*(18-12)/12)</f>
        <v>1100</v>
      </c>
      <c r="T10" s="18" t="n">
        <f aca="false">(assumptions!$G$24+(assumptions!$G$25-assumptions!$G$24)*(19-12)/12)</f>
        <v>1116.66666666667</v>
      </c>
      <c r="U10" s="18" t="n">
        <f aca="false">(assumptions!$G$24+(assumptions!$G$25-assumptions!$G$24)*(20-12)/12)</f>
        <v>1133.33333333333</v>
      </c>
      <c r="V10" s="18" t="n">
        <f aca="false">(assumptions!$G$24+(assumptions!$G$25-assumptions!$G$24)*(21-12)/12)</f>
        <v>1150</v>
      </c>
      <c r="W10" s="18" t="n">
        <f aca="false">(assumptions!$G$24+(assumptions!$G$25-assumptions!$G$24)*(22-12)/12)</f>
        <v>1166.66666666667</v>
      </c>
      <c r="X10" s="18" t="n">
        <f aca="false">(assumptions!$G$24+(assumptions!$G$25-assumptions!$G$24)*(23-12)/12)</f>
        <v>1183.33333333333</v>
      </c>
      <c r="Y10" s="18" t="n">
        <f aca="false">(assumptions!$G$24+(assumptions!$G$25-assumptions!$G$24)*(24-12)/12)</f>
        <v>1200</v>
      </c>
      <c r="Z10" s="18" t="n">
        <f aca="false">(assumptions!$G$25+(assumptions!$G$26-assumptions!$G$25)*(25-24)/12)</f>
        <v>1212.5</v>
      </c>
      <c r="AA10" s="18" t="n">
        <f aca="false">(assumptions!$G$25+(assumptions!$G$26-assumptions!$G$25)*(26-24)/12)</f>
        <v>1225</v>
      </c>
      <c r="AB10" s="18" t="n">
        <f aca="false">(assumptions!$G$25+(assumptions!$G$26-assumptions!$G$25)*(27-24)/12)</f>
        <v>1237.5</v>
      </c>
      <c r="AC10" s="18" t="n">
        <f aca="false">(assumptions!$G$25+(assumptions!$G$26-assumptions!$G$25)*(28-24)/12)</f>
        <v>1250</v>
      </c>
      <c r="AD10" s="18" t="n">
        <f aca="false">(assumptions!$G$25+(assumptions!$G$26-assumptions!$G$25)*(29-24)/12)</f>
        <v>1262.5</v>
      </c>
      <c r="AE10" s="18" t="n">
        <f aca="false">(assumptions!$G$25+(assumptions!$G$26-assumptions!$G$25)*(30-24)/12)</f>
        <v>1275</v>
      </c>
      <c r="AF10" s="18" t="n">
        <f aca="false">(assumptions!$G$25+(assumptions!$G$26-assumptions!$G$25)*(31-24)/12)</f>
        <v>1287.5</v>
      </c>
      <c r="AG10" s="18" t="n">
        <f aca="false">(assumptions!$G$25+(assumptions!$G$26-assumptions!$G$25)*(32-24)/12)</f>
        <v>1300</v>
      </c>
      <c r="AH10" s="18" t="n">
        <f aca="false">(assumptions!$G$25+(assumptions!$G$26-assumptions!$G$25)*(33-24)/12)</f>
        <v>1312.5</v>
      </c>
      <c r="AI10" s="18" t="n">
        <f aca="false">(assumptions!$G$25+(assumptions!$G$26-assumptions!$G$25)*(34-24)/12)</f>
        <v>1325</v>
      </c>
      <c r="AJ10" s="18" t="n">
        <f aca="false">(assumptions!$G$25+(assumptions!$G$26-assumptions!$G$25)*(35-24)/12)</f>
        <v>1337.5</v>
      </c>
      <c r="AK10" s="18" t="n">
        <f aca="false">(assumptions!$G$25+(assumptions!$G$26-assumptions!$G$25)*(36-24)/12)</f>
        <v>1350</v>
      </c>
      <c r="AL10" s="18" t="n">
        <f aca="false">(assumptions!$G$26+(assumptions!$G$27-assumptions!$G$26)*(37-36)/12)</f>
        <v>1358.33333333333</v>
      </c>
      <c r="AM10" s="18" t="n">
        <f aca="false">(assumptions!$G$26+(assumptions!$G$27-assumptions!$G$26)*(38-36)/12)</f>
        <v>1366.66666666667</v>
      </c>
      <c r="AN10" s="18" t="n">
        <f aca="false">(assumptions!$G$26+(assumptions!$G$27-assumptions!$G$26)*(39-36)/12)</f>
        <v>1375</v>
      </c>
      <c r="AO10" s="18" t="n">
        <f aca="false">(assumptions!$G$26+(assumptions!$G$27-assumptions!$G$26)*(40-36)/12)</f>
        <v>1383.33333333333</v>
      </c>
      <c r="AP10" s="18" t="n">
        <f aca="false">(assumptions!$G$26+(assumptions!$G$27-assumptions!$G$26)*(41-36)/12)</f>
        <v>1391.66666666667</v>
      </c>
      <c r="AQ10" s="18" t="n">
        <f aca="false">(assumptions!$G$26+(assumptions!$G$27-assumptions!$G$26)*(42-36)/12)</f>
        <v>1400</v>
      </c>
      <c r="AR10" s="18" t="n">
        <f aca="false">(assumptions!$G$26+(assumptions!$G$27-assumptions!$G$26)*(43-36)/12)</f>
        <v>1408.33333333333</v>
      </c>
      <c r="AS10" s="18" t="n">
        <f aca="false">(assumptions!$G$26+(assumptions!$G$27-assumptions!$G$26)*(44-36)/12)</f>
        <v>1416.66666666667</v>
      </c>
      <c r="AT10" s="18" t="n">
        <f aca="false">(assumptions!$G$26+(assumptions!$G$27-assumptions!$G$26)*(45-36)/12)</f>
        <v>1425</v>
      </c>
      <c r="AU10" s="18" t="n">
        <f aca="false">(assumptions!$G$26+(assumptions!$G$27-assumptions!$G$26)*(46-36)/12)</f>
        <v>1433.33333333333</v>
      </c>
      <c r="AV10" s="18" t="n">
        <f aca="false">(assumptions!$G$26+(assumptions!$G$27-assumptions!$G$26)*(47-36)/12)</f>
        <v>1441.66666666667</v>
      </c>
      <c r="AW10" s="18" t="n">
        <f aca="false">(assumptions!$G$26+(assumptions!$G$27-assumptions!$G$26)*(48-36)/12)</f>
        <v>1450</v>
      </c>
      <c r="AX10" s="18" t="n">
        <f aca="false">(assumptions!$G$27+(assumptions!$G$28-assumptions!$G$27)*(49-48)/12)</f>
        <v>1457.5</v>
      </c>
      <c r="AY10" s="18" t="n">
        <f aca="false">(assumptions!$G$27+(assumptions!$G$28-assumptions!$G$27)*(50-48)/12)</f>
        <v>1465</v>
      </c>
      <c r="AZ10" s="18" t="n">
        <f aca="false">(assumptions!$G$27+(assumptions!$G$28-assumptions!$G$27)*(51-48)/12)</f>
        <v>1472.5</v>
      </c>
      <c r="BA10" s="18" t="n">
        <f aca="false">(assumptions!$G$27+(assumptions!$G$28-assumptions!$G$27)*(52-48)/12)</f>
        <v>1480</v>
      </c>
      <c r="BB10" s="18" t="n">
        <f aca="false">(assumptions!$G$27+(assumptions!$G$28-assumptions!$G$27)*(53-48)/12)</f>
        <v>1487.5</v>
      </c>
      <c r="BC10" s="18" t="n">
        <f aca="false">(assumptions!$G$27+(assumptions!$G$28-assumptions!$G$27)*(54-48)/12)</f>
        <v>1495</v>
      </c>
      <c r="BD10" s="18" t="n">
        <f aca="false">(assumptions!$G$27+(assumptions!$G$28-assumptions!$G$27)*(55-48)/12)</f>
        <v>1502.5</v>
      </c>
      <c r="BE10" s="18" t="n">
        <f aca="false">(assumptions!$G$27+(assumptions!$G$28-assumptions!$G$27)*(56-48)/12)</f>
        <v>1510</v>
      </c>
      <c r="BF10" s="18" t="n">
        <f aca="false">(assumptions!$G$27+(assumptions!$G$28-assumptions!$G$27)*(57-48)/12)</f>
        <v>1517.5</v>
      </c>
      <c r="BG10" s="18" t="n">
        <f aca="false">(assumptions!$G$27+(assumptions!$G$28-assumptions!$G$27)*(58-48)/12)</f>
        <v>1525</v>
      </c>
      <c r="BH10" s="18" t="n">
        <f aca="false">(assumptions!$G$27+(assumptions!$G$28-assumptions!$G$27)*(59-48)/12)</f>
        <v>1532.5</v>
      </c>
      <c r="BI10" s="18" t="n">
        <f aca="false">(assumptions!$G$27+(assumptions!$G$28-assumptions!$G$27)*(60-48)/12)</f>
        <v>1540</v>
      </c>
    </row>
    <row r="11" customFormat="false" ht="14.25" hidden="false" customHeight="false" outlineLevel="0" collapsed="false">
      <c r="A11" s="51" t="s">
        <v>401</v>
      </c>
      <c r="B11" s="55" t="n">
        <f aca="false">B5*B10</f>
        <v>21000</v>
      </c>
      <c r="C11" s="55" t="n">
        <f aca="false">C5*C10</f>
        <v>45272.7272727273</v>
      </c>
      <c r="D11" s="55" t="n">
        <f aca="false">D5*D10</f>
        <v>73863.6363636364</v>
      </c>
      <c r="E11" s="55" t="n">
        <f aca="false">E5*E10</f>
        <v>106272.727272727</v>
      </c>
      <c r="F11" s="55" t="n">
        <f aca="false">F5*F10</f>
        <v>141818.181818182</v>
      </c>
      <c r="G11" s="55" t="n">
        <f aca="false">G5*G10</f>
        <v>181818.181818182</v>
      </c>
      <c r="H11" s="55" t="n">
        <f aca="false">H5*H10</f>
        <v>225636.363636364</v>
      </c>
      <c r="I11" s="55" t="n">
        <f aca="false">I5*I10</f>
        <v>272454.545454545</v>
      </c>
      <c r="J11" s="55" t="n">
        <f aca="false">J5*J10</f>
        <v>323863.636363636</v>
      </c>
      <c r="K11" s="55" t="n">
        <f aca="false">K5*K10</f>
        <v>379090.909090909</v>
      </c>
      <c r="L11" s="55" t="n">
        <f aca="false">L5*L10</f>
        <v>437181.818181818</v>
      </c>
      <c r="M11" s="55" t="n">
        <f aca="false">M5*M10</f>
        <v>500000</v>
      </c>
      <c r="N11" s="55" t="n">
        <f aca="false">N5*N10</f>
        <v>668966.666666667</v>
      </c>
      <c r="O11" s="55" t="n">
        <f aca="false">O5*O10</f>
        <v>844233.333333333</v>
      </c>
      <c r="P11" s="55" t="n">
        <f aca="false">P5*P10</f>
        <v>1023750</v>
      </c>
      <c r="Q11" s="55" t="n">
        <f aca="false">Q5*Q10</f>
        <v>1208533.33333333</v>
      </c>
      <c r="R11" s="55" t="n">
        <f aca="false">R5*R10</f>
        <v>1399666.66666667</v>
      </c>
      <c r="S11" s="55" t="n">
        <f aca="false">S5*S10</f>
        <v>1595000</v>
      </c>
      <c r="T11" s="55" t="n">
        <f aca="false">T5*T10</f>
        <v>1795600</v>
      </c>
      <c r="U11" s="55" t="n">
        <f aca="false">U5*U10</f>
        <v>2002600</v>
      </c>
      <c r="V11" s="55" t="n">
        <f aca="false">V5*V10</f>
        <v>2213750</v>
      </c>
      <c r="W11" s="55" t="n">
        <f aca="false">W5*W10</f>
        <v>2430166.66666667</v>
      </c>
      <c r="X11" s="55" t="n">
        <f aca="false">X5*X10</f>
        <v>2653033.33333333</v>
      </c>
      <c r="Y11" s="55" t="n">
        <f aca="false">Y5*Y10</f>
        <v>2880000</v>
      </c>
      <c r="Z11" s="55" t="n">
        <f aca="false">Z5*Z10</f>
        <v>3354987.5</v>
      </c>
      <c r="AA11" s="55" t="n">
        <f aca="false">AA5*AA10</f>
        <v>3837925</v>
      </c>
      <c r="AB11" s="55" t="n">
        <f aca="false">AB5*AB10</f>
        <v>4331250</v>
      </c>
      <c r="AC11" s="55" t="n">
        <f aca="false">AC5*AC10</f>
        <v>4833750</v>
      </c>
      <c r="AD11" s="55" t="n">
        <f aca="false">AD5*AD10</f>
        <v>5344162.5</v>
      </c>
      <c r="AE11" s="55" t="n">
        <f aca="false">AE5*AE10</f>
        <v>5865000</v>
      </c>
      <c r="AF11" s="55" t="n">
        <f aca="false">AF5*AF10</f>
        <v>6395012.5</v>
      </c>
      <c r="AG11" s="55" t="n">
        <f aca="false">AG5*AG10</f>
        <v>6932900</v>
      </c>
      <c r="AH11" s="55" t="n">
        <f aca="false">AH5*AH10</f>
        <v>7481250</v>
      </c>
      <c r="AI11" s="55" t="n">
        <f aca="false">AI5*AI10</f>
        <v>8038775</v>
      </c>
      <c r="AJ11" s="55" t="n">
        <f aca="false">AJ5*AJ10</f>
        <v>8604137.5</v>
      </c>
      <c r="AK11" s="55" t="n">
        <f aca="false">AK5*AK10</f>
        <v>9180000</v>
      </c>
      <c r="AL11" s="55" t="n">
        <f aca="false">AL5*AL10</f>
        <v>10051666.6666667</v>
      </c>
      <c r="AM11" s="55" t="n">
        <f aca="false">AM5*AM10</f>
        <v>10933333.3333333</v>
      </c>
      <c r="AN11" s="55" t="n">
        <f aca="false">AN5*AN10</f>
        <v>11825000</v>
      </c>
      <c r="AO11" s="55" t="n">
        <f aca="false">AO5*AO10</f>
        <v>12726666.6666667</v>
      </c>
      <c r="AP11" s="55" t="n">
        <f aca="false">AP5*AP10</f>
        <v>13638333.3333333</v>
      </c>
      <c r="AQ11" s="55" t="n">
        <f aca="false">AQ5*AQ10</f>
        <v>14560000</v>
      </c>
      <c r="AR11" s="55" t="n">
        <f aca="false">AR5*AR10</f>
        <v>15491666.6666667</v>
      </c>
      <c r="AS11" s="55" t="n">
        <f aca="false">AS5*AS10</f>
        <v>16433333.3333333</v>
      </c>
      <c r="AT11" s="55" t="n">
        <f aca="false">AT5*AT10</f>
        <v>17385000</v>
      </c>
      <c r="AU11" s="55" t="n">
        <f aca="false">AU5*AU10</f>
        <v>18346666.6666667</v>
      </c>
      <c r="AV11" s="55" t="n">
        <f aca="false">AV5*AV10</f>
        <v>19318333.3333333</v>
      </c>
      <c r="AW11" s="55" t="n">
        <f aca="false">AW5*AW10</f>
        <v>20300000</v>
      </c>
      <c r="AX11" s="55" t="n">
        <f aca="false">AX5*AX10</f>
        <v>21619097.5</v>
      </c>
      <c r="AY11" s="55" t="n">
        <f aca="false">AY5*AY10</f>
        <v>22952155</v>
      </c>
      <c r="AZ11" s="55" t="n">
        <f aca="false">AZ5*AZ10</f>
        <v>24296250</v>
      </c>
      <c r="BA11" s="55" t="n">
        <f aca="false">BA5*BA10</f>
        <v>25652840</v>
      </c>
      <c r="BB11" s="55" t="n">
        <f aca="false">BB5*BB10</f>
        <v>27023412.5</v>
      </c>
      <c r="BC11" s="55" t="n">
        <f aca="false">BC5*BC10</f>
        <v>28405000</v>
      </c>
      <c r="BD11" s="55" t="n">
        <f aca="false">BD5*BD10</f>
        <v>29799082.5</v>
      </c>
      <c r="BE11" s="55" t="n">
        <f aca="false">BE5*BE10</f>
        <v>31207170</v>
      </c>
      <c r="BF11" s="55" t="n">
        <f aca="false">BF5*BF10</f>
        <v>32626250</v>
      </c>
      <c r="BG11" s="55" t="n">
        <f aca="false">BG5*BG10</f>
        <v>34057825</v>
      </c>
      <c r="BH11" s="55" t="n">
        <f aca="false">BH5*BH10</f>
        <v>35503427.5</v>
      </c>
      <c r="BI11" s="55" t="n">
        <f aca="false">BI5*BI10</f>
        <v>36960000</v>
      </c>
    </row>
    <row r="12" customFormat="false" ht="14.25" hidden="false" customHeight="false" outlineLevel="0" collapsed="false">
      <c r="A12" s="7" t="s">
        <v>402</v>
      </c>
      <c r="B12" s="19" t="n">
        <f aca="false">B11*assumptions!$G$9</f>
        <v>1680</v>
      </c>
      <c r="C12" s="19" t="n">
        <f aca="false">C11*assumptions!$G$9</f>
        <v>3621.81818181818</v>
      </c>
      <c r="D12" s="19" t="n">
        <f aca="false">D11*assumptions!$G$9</f>
        <v>5909.09090909091</v>
      </c>
      <c r="E12" s="19" t="n">
        <f aca="false">E11*assumptions!$G$9</f>
        <v>8501.81818181818</v>
      </c>
      <c r="F12" s="19" t="n">
        <f aca="false">F11*assumptions!$G$9</f>
        <v>11345.4545454545</v>
      </c>
      <c r="G12" s="19" t="n">
        <f aca="false">G11*assumptions!$G$9</f>
        <v>14545.4545454545</v>
      </c>
      <c r="H12" s="19" t="n">
        <f aca="false">H11*assumptions!$G$9</f>
        <v>18050.9090909091</v>
      </c>
      <c r="I12" s="19" t="n">
        <f aca="false">I11*assumptions!$G$9</f>
        <v>21796.3636363636</v>
      </c>
      <c r="J12" s="19" t="n">
        <f aca="false">J11*assumptions!$G$9</f>
        <v>25909.0909090909</v>
      </c>
      <c r="K12" s="19" t="n">
        <f aca="false">K11*assumptions!$G$9</f>
        <v>30327.2727272727</v>
      </c>
      <c r="L12" s="19" t="n">
        <f aca="false">L11*assumptions!$G$9</f>
        <v>34974.5454545455</v>
      </c>
      <c r="M12" s="19" t="n">
        <f aca="false">M11*assumptions!$G$9</f>
        <v>40000</v>
      </c>
      <c r="N12" s="19" t="n">
        <f aca="false">N11*assumptions!$G$9</f>
        <v>53517.3333333333</v>
      </c>
      <c r="O12" s="19" t="n">
        <f aca="false">O11*assumptions!$G$9</f>
        <v>67538.6666666667</v>
      </c>
      <c r="P12" s="19" t="n">
        <f aca="false">P11*assumptions!$G$9</f>
        <v>81900</v>
      </c>
      <c r="Q12" s="19" t="n">
        <f aca="false">Q11*assumptions!$G$9</f>
        <v>96682.6666666667</v>
      </c>
      <c r="R12" s="19" t="n">
        <f aca="false">R11*assumptions!$G$9</f>
        <v>111973.333333333</v>
      </c>
      <c r="S12" s="19" t="n">
        <f aca="false">S11*assumptions!$G$9</f>
        <v>127600</v>
      </c>
      <c r="T12" s="19" t="n">
        <f aca="false">T11*assumptions!$G$9</f>
        <v>143648</v>
      </c>
      <c r="U12" s="19" t="n">
        <f aca="false">U11*assumptions!$G$9</f>
        <v>160208</v>
      </c>
      <c r="V12" s="19" t="n">
        <f aca="false">V11*assumptions!$G$9</f>
        <v>177100</v>
      </c>
      <c r="W12" s="19" t="n">
        <f aca="false">W11*assumptions!$G$9</f>
        <v>194413.333333333</v>
      </c>
      <c r="X12" s="19" t="n">
        <f aca="false">X11*assumptions!$G$9</f>
        <v>212242.666666667</v>
      </c>
      <c r="Y12" s="19" t="n">
        <f aca="false">Y11*assumptions!$G$9</f>
        <v>230400</v>
      </c>
      <c r="Z12" s="19" t="n">
        <f aca="false">Z11*assumptions!$G$9</f>
        <v>268399</v>
      </c>
      <c r="AA12" s="19" t="n">
        <f aca="false">AA11*assumptions!$G$9</f>
        <v>307034</v>
      </c>
      <c r="AB12" s="19" t="n">
        <f aca="false">AB11*assumptions!$G$9</f>
        <v>346500</v>
      </c>
      <c r="AC12" s="19" t="n">
        <f aca="false">AC11*assumptions!$G$9</f>
        <v>386700</v>
      </c>
      <c r="AD12" s="19" t="n">
        <f aca="false">AD11*assumptions!$G$9</f>
        <v>427533</v>
      </c>
      <c r="AE12" s="19" t="n">
        <f aca="false">AE11*assumptions!$G$9</f>
        <v>469200</v>
      </c>
      <c r="AF12" s="19" t="n">
        <f aca="false">AF11*assumptions!$G$9</f>
        <v>511601</v>
      </c>
      <c r="AG12" s="19" t="n">
        <f aca="false">AG11*assumptions!$G$9</f>
        <v>554632</v>
      </c>
      <c r="AH12" s="19" t="n">
        <f aca="false">AH11*assumptions!$G$9</f>
        <v>598500</v>
      </c>
      <c r="AI12" s="19" t="n">
        <f aca="false">AI11*assumptions!$G$9</f>
        <v>643102</v>
      </c>
      <c r="AJ12" s="19" t="n">
        <f aca="false">AJ11*assumptions!$G$9</f>
        <v>688331</v>
      </c>
      <c r="AK12" s="19" t="n">
        <f aca="false">AK11*assumptions!$G$9</f>
        <v>734400</v>
      </c>
      <c r="AL12" s="19" t="n">
        <f aca="false">AL11*assumptions!$G$9</f>
        <v>804133.333333333</v>
      </c>
      <c r="AM12" s="19" t="n">
        <f aca="false">AM11*assumptions!$G$9</f>
        <v>874666.666666667</v>
      </c>
      <c r="AN12" s="19" t="n">
        <f aca="false">AN11*assumptions!$G$9</f>
        <v>946000</v>
      </c>
      <c r="AO12" s="19" t="n">
        <f aca="false">AO11*assumptions!$G$9</f>
        <v>1018133.33333333</v>
      </c>
      <c r="AP12" s="19" t="n">
        <f aca="false">AP11*assumptions!$G$9</f>
        <v>1091066.66666667</v>
      </c>
      <c r="AQ12" s="19" t="n">
        <f aca="false">AQ11*assumptions!$G$9</f>
        <v>1164800</v>
      </c>
      <c r="AR12" s="19" t="n">
        <f aca="false">AR11*assumptions!$G$9</f>
        <v>1239333.33333333</v>
      </c>
      <c r="AS12" s="19" t="n">
        <f aca="false">AS11*assumptions!$G$9</f>
        <v>1314666.66666667</v>
      </c>
      <c r="AT12" s="19" t="n">
        <f aca="false">AT11*assumptions!$G$9</f>
        <v>1390800</v>
      </c>
      <c r="AU12" s="19" t="n">
        <f aca="false">AU11*assumptions!$G$9</f>
        <v>1467733.33333333</v>
      </c>
      <c r="AV12" s="19" t="n">
        <f aca="false">AV11*assumptions!$G$9</f>
        <v>1545466.66666667</v>
      </c>
      <c r="AW12" s="19" t="n">
        <f aca="false">AW11*assumptions!$G$9</f>
        <v>1624000</v>
      </c>
      <c r="AX12" s="19" t="n">
        <f aca="false">AX11*assumptions!$G$9</f>
        <v>1729527.8</v>
      </c>
      <c r="AY12" s="19" t="n">
        <f aca="false">AY11*assumptions!$G$9</f>
        <v>1836172.4</v>
      </c>
      <c r="AZ12" s="19" t="n">
        <f aca="false">AZ11*assumptions!$G$9</f>
        <v>1943700</v>
      </c>
      <c r="BA12" s="19" t="n">
        <f aca="false">BA11*assumptions!$G$9</f>
        <v>2052227.2</v>
      </c>
      <c r="BB12" s="19" t="n">
        <f aca="false">BB11*assumptions!$G$9</f>
        <v>2161873</v>
      </c>
      <c r="BC12" s="19" t="n">
        <f aca="false">BC11*assumptions!$G$9</f>
        <v>2272400</v>
      </c>
      <c r="BD12" s="19" t="n">
        <f aca="false">BD11*assumptions!$G$9</f>
        <v>2383926.6</v>
      </c>
      <c r="BE12" s="19" t="n">
        <f aca="false">BE11*assumptions!$G$9</f>
        <v>2496573.6</v>
      </c>
      <c r="BF12" s="19" t="n">
        <f aca="false">BF11*assumptions!$G$9</f>
        <v>2610100</v>
      </c>
      <c r="BG12" s="19" t="n">
        <f aca="false">BG11*assumptions!$G$9</f>
        <v>2724626</v>
      </c>
      <c r="BH12" s="19" t="n">
        <f aca="false">BH11*assumptions!$G$9</f>
        <v>2840274.2</v>
      </c>
      <c r="BI12" s="19" t="n">
        <f aca="false">BI11*assumptions!$G$9</f>
        <v>2956800</v>
      </c>
    </row>
    <row r="14" customFormat="false" ht="14.25" hidden="false" customHeight="false" outlineLevel="0" collapsed="false">
      <c r="A14" s="51" t="s">
        <v>403</v>
      </c>
    </row>
    <row r="15" customFormat="false" ht="14.25" hidden="false" customHeight="false" outlineLevel="0" collapsed="false">
      <c r="A15" s="7" t="s">
        <v>404</v>
      </c>
      <c r="B15" s="43" t="n">
        <f aca="false">assumptions!$G$30</f>
        <v>1</v>
      </c>
      <c r="C15" s="43" t="n">
        <f aca="false">assumptions!$G$30</f>
        <v>1</v>
      </c>
      <c r="D15" s="43" t="n">
        <f aca="false">assumptions!$G$30</f>
        <v>1</v>
      </c>
      <c r="E15" s="43" t="n">
        <f aca="false">assumptions!$G$30</f>
        <v>1</v>
      </c>
      <c r="F15" s="43" t="n">
        <f aca="false">assumptions!$G$30</f>
        <v>1</v>
      </c>
      <c r="G15" s="43" t="n">
        <f aca="false">assumptions!$G$30</f>
        <v>1</v>
      </c>
      <c r="H15" s="43" t="n">
        <f aca="false">assumptions!$G$30</f>
        <v>1</v>
      </c>
      <c r="I15" s="43" t="n">
        <f aca="false">assumptions!$G$30</f>
        <v>1</v>
      </c>
      <c r="J15" s="43" t="n">
        <f aca="false">assumptions!$G$30</f>
        <v>1</v>
      </c>
      <c r="K15" s="43" t="n">
        <f aca="false">assumptions!$G$30</f>
        <v>1</v>
      </c>
      <c r="L15" s="43" t="n">
        <f aca="false">assumptions!$G$30</f>
        <v>1</v>
      </c>
      <c r="M15" s="43" t="n">
        <f aca="false">assumptions!$G$30</f>
        <v>1</v>
      </c>
      <c r="N15" s="43" t="n">
        <f aca="false">(assumptions!$G$30+(assumptions!$G$31-assumptions!$G$30)*(13-12)/12)</f>
        <v>0.954166666666667</v>
      </c>
      <c r="O15" s="43" t="n">
        <f aca="false">(assumptions!$G$30+(assumptions!$G$31-assumptions!$G$30)*(14-12)/12)</f>
        <v>0.908333333333333</v>
      </c>
      <c r="P15" s="43" t="n">
        <f aca="false">(assumptions!$G$30+(assumptions!$G$31-assumptions!$G$30)*(15-12)/12)</f>
        <v>0.8625</v>
      </c>
      <c r="Q15" s="43" t="n">
        <f aca="false">(assumptions!$G$30+(assumptions!$G$31-assumptions!$G$30)*(16-12)/12)</f>
        <v>0.816666666666667</v>
      </c>
      <c r="R15" s="43" t="n">
        <f aca="false">(assumptions!$G$30+(assumptions!$G$31-assumptions!$G$30)*(17-12)/12)</f>
        <v>0.770833333333333</v>
      </c>
      <c r="S15" s="43" t="n">
        <f aca="false">(assumptions!$G$30+(assumptions!$G$31-assumptions!$G$30)*(18-12)/12)</f>
        <v>0.725</v>
      </c>
      <c r="T15" s="43" t="n">
        <f aca="false">(assumptions!$G$30+(assumptions!$G$31-assumptions!$G$30)*(19-12)/12)</f>
        <v>0.679166666666667</v>
      </c>
      <c r="U15" s="43" t="n">
        <f aca="false">(assumptions!$G$30+(assumptions!$G$31-assumptions!$G$30)*(20-12)/12)</f>
        <v>0.633333333333333</v>
      </c>
      <c r="V15" s="43" t="n">
        <f aca="false">(assumptions!$G$30+(assumptions!$G$31-assumptions!$G$30)*(21-12)/12)</f>
        <v>0.5875</v>
      </c>
      <c r="W15" s="43" t="n">
        <f aca="false">(assumptions!$G$30+(assumptions!$G$31-assumptions!$G$30)*(22-12)/12)</f>
        <v>0.541666666666667</v>
      </c>
      <c r="X15" s="43" t="n">
        <f aca="false">(assumptions!$G$30+(assumptions!$G$31-assumptions!$G$30)*(23-12)/12)</f>
        <v>0.495833333333333</v>
      </c>
      <c r="Y15" s="43" t="n">
        <f aca="false">(assumptions!$G$30+(assumptions!$G$31-assumptions!$G$30)*(24-12)/12)</f>
        <v>0.45</v>
      </c>
      <c r="Z15" s="43" t="n">
        <f aca="false">(assumptions!$G$31+(assumptions!$G$32-assumptions!$G$31)*(25-24)/12)</f>
        <v>0.430833333333333</v>
      </c>
      <c r="AA15" s="43" t="n">
        <f aca="false">(assumptions!$G$31+(assumptions!$G$32-assumptions!$G$31)*(26-24)/12)</f>
        <v>0.411666666666667</v>
      </c>
      <c r="AB15" s="43" t="n">
        <f aca="false">(assumptions!$G$31+(assumptions!$G$32-assumptions!$G$31)*(27-24)/12)</f>
        <v>0.3925</v>
      </c>
      <c r="AC15" s="43" t="n">
        <f aca="false">(assumptions!$G$31+(assumptions!$G$32-assumptions!$G$31)*(28-24)/12)</f>
        <v>0.373333333333333</v>
      </c>
      <c r="AD15" s="43" t="n">
        <f aca="false">(assumptions!$G$31+(assumptions!$G$32-assumptions!$G$31)*(29-24)/12)</f>
        <v>0.354166666666667</v>
      </c>
      <c r="AE15" s="43" t="n">
        <f aca="false">(assumptions!$G$31+(assumptions!$G$32-assumptions!$G$31)*(30-24)/12)</f>
        <v>0.335</v>
      </c>
      <c r="AF15" s="43" t="n">
        <f aca="false">(assumptions!$G$31+(assumptions!$G$32-assumptions!$G$31)*(31-24)/12)</f>
        <v>0.315833333333333</v>
      </c>
      <c r="AG15" s="43" t="n">
        <f aca="false">(assumptions!$G$31+(assumptions!$G$32-assumptions!$G$31)*(32-24)/12)</f>
        <v>0.296666666666667</v>
      </c>
      <c r="AH15" s="43" t="n">
        <f aca="false">(assumptions!$G$31+(assumptions!$G$32-assumptions!$G$31)*(33-24)/12)</f>
        <v>0.2775</v>
      </c>
      <c r="AI15" s="43" t="n">
        <f aca="false">(assumptions!$G$31+(assumptions!$G$32-assumptions!$G$31)*(34-24)/12)</f>
        <v>0.258333333333333</v>
      </c>
      <c r="AJ15" s="43" t="n">
        <f aca="false">(assumptions!$G$31+(assumptions!$G$32-assumptions!$G$31)*(35-24)/12)</f>
        <v>0.239166666666667</v>
      </c>
      <c r="AK15" s="43" t="n">
        <f aca="false">(assumptions!$G$31+(assumptions!$G$32-assumptions!$G$31)*(36-24)/12)</f>
        <v>0.22</v>
      </c>
      <c r="AL15" s="43" t="n">
        <f aca="false">(assumptions!$G$32+(assumptions!$G$33-assumptions!$G$32)*(37-36)/12)</f>
        <v>0.211666666666667</v>
      </c>
      <c r="AM15" s="43" t="n">
        <f aca="false">(assumptions!$G$32+(assumptions!$G$33-assumptions!$G$32)*(38-36)/12)</f>
        <v>0.203333333333333</v>
      </c>
      <c r="AN15" s="43" t="n">
        <f aca="false">(assumptions!$G$32+(assumptions!$G$33-assumptions!$G$32)*(39-36)/12)</f>
        <v>0.195</v>
      </c>
      <c r="AO15" s="43" t="n">
        <f aca="false">(assumptions!$G$32+(assumptions!$G$33-assumptions!$G$32)*(40-36)/12)</f>
        <v>0.186666666666667</v>
      </c>
      <c r="AP15" s="43" t="n">
        <f aca="false">(assumptions!$G$32+(assumptions!$G$33-assumptions!$G$32)*(41-36)/12)</f>
        <v>0.178333333333333</v>
      </c>
      <c r="AQ15" s="43" t="n">
        <f aca="false">(assumptions!$G$32+(assumptions!$G$33-assumptions!$G$32)*(42-36)/12)</f>
        <v>0.17</v>
      </c>
      <c r="AR15" s="43" t="n">
        <f aca="false">(assumptions!$G$32+(assumptions!$G$33-assumptions!$G$32)*(43-36)/12)</f>
        <v>0.161666666666667</v>
      </c>
      <c r="AS15" s="43" t="n">
        <f aca="false">(assumptions!$G$32+(assumptions!$G$33-assumptions!$G$32)*(44-36)/12)</f>
        <v>0.153333333333333</v>
      </c>
      <c r="AT15" s="43" t="n">
        <f aca="false">(assumptions!$G$32+(assumptions!$G$33-assumptions!$G$32)*(45-36)/12)</f>
        <v>0.145</v>
      </c>
      <c r="AU15" s="43" t="n">
        <f aca="false">(assumptions!$G$32+(assumptions!$G$33-assumptions!$G$32)*(46-36)/12)</f>
        <v>0.136666666666667</v>
      </c>
      <c r="AV15" s="43" t="n">
        <f aca="false">(assumptions!$G$32+(assumptions!$G$33-assumptions!$G$32)*(47-36)/12)</f>
        <v>0.128333333333333</v>
      </c>
      <c r="AW15" s="43" t="n">
        <f aca="false">(assumptions!$G$32+(assumptions!$G$33-assumptions!$G$32)*(48-36)/12)</f>
        <v>0.12</v>
      </c>
      <c r="AX15" s="43" t="n">
        <f aca="false">(assumptions!$G$33+(assumptions!$G$34-assumptions!$G$33)*(49-48)/12)</f>
        <v>0.116666666666667</v>
      </c>
      <c r="AY15" s="43" t="n">
        <f aca="false">(assumptions!$G$33+(assumptions!$G$34-assumptions!$G$33)*(50-48)/12)</f>
        <v>0.113333333333333</v>
      </c>
      <c r="AZ15" s="43" t="n">
        <f aca="false">(assumptions!$G$33+(assumptions!$G$34-assumptions!$G$33)*(51-48)/12)</f>
        <v>0.11</v>
      </c>
      <c r="BA15" s="43" t="n">
        <f aca="false">(assumptions!$G$33+(assumptions!$G$34-assumptions!$G$33)*(52-48)/12)</f>
        <v>0.106666666666667</v>
      </c>
      <c r="BB15" s="43" t="n">
        <f aca="false">(assumptions!$G$33+(assumptions!$G$34-assumptions!$G$33)*(53-48)/12)</f>
        <v>0.103333333333333</v>
      </c>
      <c r="BC15" s="43" t="n">
        <f aca="false">(assumptions!$G$33+(assumptions!$G$34-assumptions!$G$33)*(54-48)/12)</f>
        <v>0.1</v>
      </c>
      <c r="BD15" s="43" t="n">
        <f aca="false">(assumptions!$G$33+(assumptions!$G$34-assumptions!$G$33)*(55-48)/12)</f>
        <v>0.0966666666666667</v>
      </c>
      <c r="BE15" s="43" t="n">
        <f aca="false">(assumptions!$G$33+(assumptions!$G$34-assumptions!$G$33)*(56-48)/12)</f>
        <v>0.0933333333333333</v>
      </c>
      <c r="BF15" s="43" t="n">
        <f aca="false">(assumptions!$G$33+(assumptions!$G$34-assumptions!$G$33)*(57-48)/12)</f>
        <v>0.09</v>
      </c>
      <c r="BG15" s="43" t="n">
        <f aca="false">(assumptions!$G$33+(assumptions!$G$34-assumptions!$G$33)*(58-48)/12)</f>
        <v>0.0866666666666667</v>
      </c>
      <c r="BH15" s="43" t="n">
        <f aca="false">(assumptions!$G$33+(assumptions!$G$34-assumptions!$G$33)*(59-48)/12)</f>
        <v>0.0833333333333333</v>
      </c>
      <c r="BI15" s="43" t="n">
        <f aca="false">(assumptions!$G$33+(assumptions!$G$34-assumptions!$G$33)*(60-48)/12)</f>
        <v>0.08</v>
      </c>
    </row>
    <row r="16" customFormat="false" ht="14.25" hidden="false" customHeight="false" outlineLevel="0" collapsed="false">
      <c r="A16" s="7" t="s">
        <v>405</v>
      </c>
      <c r="B16" s="43" t="n">
        <f aca="false">assumptions!$G$35</f>
        <v>0</v>
      </c>
      <c r="C16" s="43" t="n">
        <f aca="false">assumptions!$G$35</f>
        <v>0</v>
      </c>
      <c r="D16" s="43" t="n">
        <f aca="false">assumptions!$G$35</f>
        <v>0</v>
      </c>
      <c r="E16" s="43" t="n">
        <f aca="false">assumptions!$G$35</f>
        <v>0</v>
      </c>
      <c r="F16" s="43" t="n">
        <f aca="false">assumptions!$G$35</f>
        <v>0</v>
      </c>
      <c r="G16" s="43" t="n">
        <f aca="false">assumptions!$G$35</f>
        <v>0</v>
      </c>
      <c r="H16" s="43" t="n">
        <f aca="false">assumptions!$G$35</f>
        <v>0</v>
      </c>
      <c r="I16" s="43" t="n">
        <f aca="false">assumptions!$G$35</f>
        <v>0</v>
      </c>
      <c r="J16" s="43" t="n">
        <f aca="false">assumptions!$G$35</f>
        <v>0</v>
      </c>
      <c r="K16" s="43" t="n">
        <f aca="false">assumptions!$G$35</f>
        <v>0</v>
      </c>
      <c r="L16" s="43" t="n">
        <f aca="false">assumptions!$G$35</f>
        <v>0</v>
      </c>
      <c r="M16" s="43" t="n">
        <f aca="false">assumptions!$G$35</f>
        <v>0</v>
      </c>
      <c r="N16" s="43" t="n">
        <f aca="false">(assumptions!$G$35+(assumptions!$G$36-assumptions!$G$35)*(13-12)/12)</f>
        <v>0.00416666666666667</v>
      </c>
      <c r="O16" s="43" t="n">
        <f aca="false">(assumptions!$G$35+(assumptions!$G$36-assumptions!$G$35)*(14-12)/12)</f>
        <v>0.00833333333333333</v>
      </c>
      <c r="P16" s="43" t="n">
        <f aca="false">(assumptions!$G$35+(assumptions!$G$36-assumptions!$G$35)*(15-12)/12)</f>
        <v>0.0125</v>
      </c>
      <c r="Q16" s="43" t="n">
        <f aca="false">(assumptions!$G$35+(assumptions!$G$36-assumptions!$G$35)*(16-12)/12)</f>
        <v>0.0166666666666667</v>
      </c>
      <c r="R16" s="43" t="n">
        <f aca="false">(assumptions!$G$35+(assumptions!$G$36-assumptions!$G$35)*(17-12)/12)</f>
        <v>0.0208333333333333</v>
      </c>
      <c r="S16" s="43" t="n">
        <f aca="false">(assumptions!$G$35+(assumptions!$G$36-assumptions!$G$35)*(18-12)/12)</f>
        <v>0.025</v>
      </c>
      <c r="T16" s="43" t="n">
        <f aca="false">(assumptions!$G$35+(assumptions!$G$36-assumptions!$G$35)*(19-12)/12)</f>
        <v>0.0291666666666667</v>
      </c>
      <c r="U16" s="43" t="n">
        <f aca="false">(assumptions!$G$35+(assumptions!$G$36-assumptions!$G$35)*(20-12)/12)</f>
        <v>0.0333333333333333</v>
      </c>
      <c r="V16" s="43" t="n">
        <f aca="false">(assumptions!$G$35+(assumptions!$G$36-assumptions!$G$35)*(21-12)/12)</f>
        <v>0.0375</v>
      </c>
      <c r="W16" s="43" t="n">
        <f aca="false">(assumptions!$G$35+(assumptions!$G$36-assumptions!$G$35)*(22-12)/12)</f>
        <v>0.0416666666666667</v>
      </c>
      <c r="X16" s="43" t="n">
        <f aca="false">(assumptions!$G$35+(assumptions!$G$36-assumptions!$G$35)*(23-12)/12)</f>
        <v>0.0458333333333333</v>
      </c>
      <c r="Y16" s="43" t="n">
        <f aca="false">(assumptions!$G$35+(assumptions!$G$36-assumptions!$G$35)*(24-12)/12)</f>
        <v>0.05</v>
      </c>
      <c r="Z16" s="43" t="n">
        <f aca="false">(assumptions!$G$36+(assumptions!$G$37-assumptions!$G$36)*(25-24)/12)</f>
        <v>0.0608333333333333</v>
      </c>
      <c r="AA16" s="43" t="n">
        <f aca="false">(assumptions!$G$36+(assumptions!$G$37-assumptions!$G$36)*(26-24)/12)</f>
        <v>0.0716666666666667</v>
      </c>
      <c r="AB16" s="43" t="n">
        <f aca="false">(assumptions!$G$36+(assumptions!$G$37-assumptions!$G$36)*(27-24)/12)</f>
        <v>0.0825</v>
      </c>
      <c r="AC16" s="43" t="n">
        <f aca="false">(assumptions!$G$36+(assumptions!$G$37-assumptions!$G$36)*(28-24)/12)</f>
        <v>0.0933333333333333</v>
      </c>
      <c r="AD16" s="43" t="n">
        <f aca="false">(assumptions!$G$36+(assumptions!$G$37-assumptions!$G$36)*(29-24)/12)</f>
        <v>0.104166666666667</v>
      </c>
      <c r="AE16" s="43" t="n">
        <f aca="false">(assumptions!$G$36+(assumptions!$G$37-assumptions!$G$36)*(30-24)/12)</f>
        <v>0.115</v>
      </c>
      <c r="AF16" s="43" t="n">
        <f aca="false">(assumptions!$G$36+(assumptions!$G$37-assumptions!$G$36)*(31-24)/12)</f>
        <v>0.125833333333333</v>
      </c>
      <c r="AG16" s="43" t="n">
        <f aca="false">(assumptions!$G$36+(assumptions!$G$37-assumptions!$G$36)*(32-24)/12)</f>
        <v>0.136666666666667</v>
      </c>
      <c r="AH16" s="43" t="n">
        <f aca="false">(assumptions!$G$36+(assumptions!$G$37-assumptions!$G$36)*(33-24)/12)</f>
        <v>0.1475</v>
      </c>
      <c r="AI16" s="43" t="n">
        <f aca="false">(assumptions!$G$36+(assumptions!$G$37-assumptions!$G$36)*(34-24)/12)</f>
        <v>0.158333333333333</v>
      </c>
      <c r="AJ16" s="43" t="n">
        <f aca="false">(assumptions!$G$36+(assumptions!$G$37-assumptions!$G$36)*(35-24)/12)</f>
        <v>0.169166666666667</v>
      </c>
      <c r="AK16" s="43" t="n">
        <f aca="false">(assumptions!$G$36+(assumptions!$G$37-assumptions!$G$36)*(36-24)/12)</f>
        <v>0.18</v>
      </c>
      <c r="AL16" s="43" t="n">
        <f aca="false">(assumptions!$G$37+(assumptions!$G$38-assumptions!$G$37)*(37-36)/12)</f>
        <v>0.188333333333333</v>
      </c>
      <c r="AM16" s="43" t="n">
        <f aca="false">(assumptions!$G$37+(assumptions!$G$38-assumptions!$G$37)*(38-36)/12)</f>
        <v>0.196666666666667</v>
      </c>
      <c r="AN16" s="43" t="n">
        <f aca="false">(assumptions!$G$37+(assumptions!$G$38-assumptions!$G$37)*(39-36)/12)</f>
        <v>0.205</v>
      </c>
      <c r="AO16" s="43" t="n">
        <f aca="false">(assumptions!$G$37+(assumptions!$G$38-assumptions!$G$37)*(40-36)/12)</f>
        <v>0.213333333333333</v>
      </c>
      <c r="AP16" s="43" t="n">
        <f aca="false">(assumptions!$G$37+(assumptions!$G$38-assumptions!$G$37)*(41-36)/12)</f>
        <v>0.221666666666667</v>
      </c>
      <c r="AQ16" s="43" t="n">
        <f aca="false">(assumptions!$G$37+(assumptions!$G$38-assumptions!$G$37)*(42-36)/12)</f>
        <v>0.23</v>
      </c>
      <c r="AR16" s="43" t="n">
        <f aca="false">(assumptions!$G$37+(assumptions!$G$38-assumptions!$G$37)*(43-36)/12)</f>
        <v>0.238333333333333</v>
      </c>
      <c r="AS16" s="43" t="n">
        <f aca="false">(assumptions!$G$37+(assumptions!$G$38-assumptions!$G$37)*(44-36)/12)</f>
        <v>0.246666666666667</v>
      </c>
      <c r="AT16" s="43" t="n">
        <f aca="false">(assumptions!$G$37+(assumptions!$G$38-assumptions!$G$37)*(45-36)/12)</f>
        <v>0.255</v>
      </c>
      <c r="AU16" s="43" t="n">
        <f aca="false">(assumptions!$G$37+(assumptions!$G$38-assumptions!$G$37)*(46-36)/12)</f>
        <v>0.263333333333333</v>
      </c>
      <c r="AV16" s="43" t="n">
        <f aca="false">(assumptions!$G$37+(assumptions!$G$38-assumptions!$G$37)*(47-36)/12)</f>
        <v>0.271666666666667</v>
      </c>
      <c r="AW16" s="43" t="n">
        <f aca="false">(assumptions!$G$37+(assumptions!$G$38-assumptions!$G$37)*(48-36)/12)</f>
        <v>0.28</v>
      </c>
      <c r="AX16" s="43" t="n">
        <f aca="false">(assumptions!$G$38+(assumptions!$G$39-assumptions!$G$38)*(49-48)/12)</f>
        <v>0.285</v>
      </c>
      <c r="AY16" s="43" t="n">
        <f aca="false">(assumptions!$G$38+(assumptions!$G$39-assumptions!$G$38)*(50-48)/12)</f>
        <v>0.29</v>
      </c>
      <c r="AZ16" s="43" t="n">
        <f aca="false">(assumptions!$G$38+(assumptions!$G$39-assumptions!$G$38)*(51-48)/12)</f>
        <v>0.295</v>
      </c>
      <c r="BA16" s="43" t="n">
        <f aca="false">(assumptions!$G$38+(assumptions!$G$39-assumptions!$G$38)*(52-48)/12)</f>
        <v>0.3</v>
      </c>
      <c r="BB16" s="43" t="n">
        <f aca="false">(assumptions!$G$38+(assumptions!$G$39-assumptions!$G$38)*(53-48)/12)</f>
        <v>0.305</v>
      </c>
      <c r="BC16" s="43" t="n">
        <f aca="false">(assumptions!$G$38+(assumptions!$G$39-assumptions!$G$38)*(54-48)/12)</f>
        <v>0.31</v>
      </c>
      <c r="BD16" s="43" t="n">
        <f aca="false">(assumptions!$G$38+(assumptions!$G$39-assumptions!$G$38)*(55-48)/12)</f>
        <v>0.315</v>
      </c>
      <c r="BE16" s="43" t="n">
        <f aca="false">(assumptions!$G$38+(assumptions!$G$39-assumptions!$G$38)*(56-48)/12)</f>
        <v>0.32</v>
      </c>
      <c r="BF16" s="43" t="n">
        <f aca="false">(assumptions!$G$38+(assumptions!$G$39-assumptions!$G$38)*(57-48)/12)</f>
        <v>0.325</v>
      </c>
      <c r="BG16" s="43" t="n">
        <f aca="false">(assumptions!$G$38+(assumptions!$G$39-assumptions!$G$38)*(58-48)/12)</f>
        <v>0.33</v>
      </c>
      <c r="BH16" s="43" t="n">
        <f aca="false">(assumptions!$G$38+(assumptions!$G$39-assumptions!$G$38)*(59-48)/12)</f>
        <v>0.335</v>
      </c>
      <c r="BI16" s="43" t="n">
        <f aca="false">(assumptions!$G$38+(assumptions!$G$39-assumptions!$G$38)*(60-48)/12)</f>
        <v>0.34</v>
      </c>
    </row>
    <row r="17" customFormat="false" ht="14.25" hidden="false" customHeight="false" outlineLevel="0" collapsed="false">
      <c r="A17" s="7" t="s">
        <v>406</v>
      </c>
      <c r="B17" s="43" t="n">
        <f aca="false">assumptions!$G$40</f>
        <v>0</v>
      </c>
      <c r="C17" s="43" t="n">
        <f aca="false">assumptions!$G$40</f>
        <v>0</v>
      </c>
      <c r="D17" s="43" t="n">
        <f aca="false">assumptions!$G$40</f>
        <v>0</v>
      </c>
      <c r="E17" s="43" t="n">
        <f aca="false">assumptions!$G$40</f>
        <v>0</v>
      </c>
      <c r="F17" s="43" t="n">
        <f aca="false">assumptions!$G$40</f>
        <v>0</v>
      </c>
      <c r="G17" s="43" t="n">
        <f aca="false">assumptions!$G$40</f>
        <v>0</v>
      </c>
      <c r="H17" s="43" t="n">
        <f aca="false">assumptions!$G$40</f>
        <v>0</v>
      </c>
      <c r="I17" s="43" t="n">
        <f aca="false">assumptions!$G$40</f>
        <v>0</v>
      </c>
      <c r="J17" s="43" t="n">
        <f aca="false">assumptions!$G$40</f>
        <v>0</v>
      </c>
      <c r="K17" s="43" t="n">
        <f aca="false">assumptions!$G$40</f>
        <v>0</v>
      </c>
      <c r="L17" s="43" t="n">
        <f aca="false">assumptions!$G$40</f>
        <v>0</v>
      </c>
      <c r="M17" s="43" t="n">
        <f aca="false">assumptions!$G$40</f>
        <v>0</v>
      </c>
      <c r="N17" s="43" t="n">
        <f aca="false">(assumptions!$G$40+(assumptions!$G$41-assumptions!$G$40)*(13-12)/12)</f>
        <v>0.0291666666666667</v>
      </c>
      <c r="O17" s="43" t="n">
        <f aca="false">(assumptions!$G$40+(assumptions!$G$41-assumptions!$G$40)*(14-12)/12)</f>
        <v>0.0583333333333333</v>
      </c>
      <c r="P17" s="43" t="n">
        <f aca="false">(assumptions!$G$40+(assumptions!$G$41-assumptions!$G$40)*(15-12)/12)</f>
        <v>0.0875</v>
      </c>
      <c r="Q17" s="43" t="n">
        <f aca="false">(assumptions!$G$40+(assumptions!$G$41-assumptions!$G$40)*(16-12)/12)</f>
        <v>0.116666666666667</v>
      </c>
      <c r="R17" s="43" t="n">
        <f aca="false">(assumptions!$G$40+(assumptions!$G$41-assumptions!$G$40)*(17-12)/12)</f>
        <v>0.145833333333333</v>
      </c>
      <c r="S17" s="43" t="n">
        <f aca="false">(assumptions!$G$40+(assumptions!$G$41-assumptions!$G$40)*(18-12)/12)</f>
        <v>0.175</v>
      </c>
      <c r="T17" s="43" t="n">
        <f aca="false">(assumptions!$G$40+(assumptions!$G$41-assumptions!$G$40)*(19-12)/12)</f>
        <v>0.204166666666667</v>
      </c>
      <c r="U17" s="43" t="n">
        <f aca="false">(assumptions!$G$40+(assumptions!$G$41-assumptions!$G$40)*(20-12)/12)</f>
        <v>0.233333333333333</v>
      </c>
      <c r="V17" s="43" t="n">
        <f aca="false">(assumptions!$G$40+(assumptions!$G$41-assumptions!$G$40)*(21-12)/12)</f>
        <v>0.2625</v>
      </c>
      <c r="W17" s="43" t="n">
        <f aca="false">(assumptions!$G$40+(assumptions!$G$41-assumptions!$G$40)*(22-12)/12)</f>
        <v>0.291666666666667</v>
      </c>
      <c r="X17" s="43" t="n">
        <f aca="false">(assumptions!$G$40+(assumptions!$G$41-assumptions!$G$40)*(23-12)/12)</f>
        <v>0.320833333333333</v>
      </c>
      <c r="Y17" s="43" t="n">
        <f aca="false">(assumptions!$G$40+(assumptions!$G$41-assumptions!$G$40)*(24-12)/12)</f>
        <v>0.35</v>
      </c>
      <c r="Z17" s="43" t="n">
        <f aca="false">(assumptions!$G$41+(assumptions!$G$42-assumptions!$G$41)*(25-24)/12)</f>
        <v>0.3375</v>
      </c>
      <c r="AA17" s="43" t="n">
        <f aca="false">(assumptions!$G$41+(assumptions!$G$42-assumptions!$G$41)*(26-24)/12)</f>
        <v>0.325</v>
      </c>
      <c r="AB17" s="43" t="n">
        <f aca="false">(assumptions!$G$41+(assumptions!$G$42-assumptions!$G$41)*(27-24)/12)</f>
        <v>0.3125</v>
      </c>
      <c r="AC17" s="43" t="n">
        <f aca="false">(assumptions!$G$41+(assumptions!$G$42-assumptions!$G$41)*(28-24)/12)</f>
        <v>0.3</v>
      </c>
      <c r="AD17" s="43" t="n">
        <f aca="false">(assumptions!$G$41+(assumptions!$G$42-assumptions!$G$41)*(29-24)/12)</f>
        <v>0.2875</v>
      </c>
      <c r="AE17" s="43" t="n">
        <f aca="false">(assumptions!$G$41+(assumptions!$G$42-assumptions!$G$41)*(30-24)/12)</f>
        <v>0.275</v>
      </c>
      <c r="AF17" s="43" t="n">
        <f aca="false">(assumptions!$G$41+(assumptions!$G$42-assumptions!$G$41)*(31-24)/12)</f>
        <v>0.2625</v>
      </c>
      <c r="AG17" s="43" t="n">
        <f aca="false">(assumptions!$G$41+(assumptions!$G$42-assumptions!$G$41)*(32-24)/12)</f>
        <v>0.25</v>
      </c>
      <c r="AH17" s="43" t="n">
        <f aca="false">(assumptions!$G$41+(assumptions!$G$42-assumptions!$G$41)*(33-24)/12)</f>
        <v>0.2375</v>
      </c>
      <c r="AI17" s="43" t="n">
        <f aca="false">(assumptions!$G$41+(assumptions!$G$42-assumptions!$G$41)*(34-24)/12)</f>
        <v>0.225</v>
      </c>
      <c r="AJ17" s="43" t="n">
        <f aca="false">(assumptions!$G$41+(assumptions!$G$42-assumptions!$G$41)*(35-24)/12)</f>
        <v>0.2125</v>
      </c>
      <c r="AK17" s="43" t="n">
        <f aca="false">(assumptions!$G$41+(assumptions!$G$42-assumptions!$G$41)*(36-24)/12)</f>
        <v>0.2</v>
      </c>
      <c r="AL17" s="43" t="n">
        <f aca="false">(assumptions!$G$42+(assumptions!$G$43-assumptions!$G$42)*(37-36)/12)</f>
        <v>0.191666666666667</v>
      </c>
      <c r="AM17" s="43" t="n">
        <f aca="false">(assumptions!$G$42+(assumptions!$G$43-assumptions!$G$42)*(38-36)/12)</f>
        <v>0.183333333333333</v>
      </c>
      <c r="AN17" s="43" t="n">
        <f aca="false">(assumptions!$G$42+(assumptions!$G$43-assumptions!$G$42)*(39-36)/12)</f>
        <v>0.175</v>
      </c>
      <c r="AO17" s="43" t="n">
        <f aca="false">(assumptions!$G$42+(assumptions!$G$43-assumptions!$G$42)*(40-36)/12)</f>
        <v>0.166666666666667</v>
      </c>
      <c r="AP17" s="43" t="n">
        <f aca="false">(assumptions!$G$42+(assumptions!$G$43-assumptions!$G$42)*(41-36)/12)</f>
        <v>0.158333333333333</v>
      </c>
      <c r="AQ17" s="43" t="n">
        <f aca="false">(assumptions!$G$42+(assumptions!$G$43-assumptions!$G$42)*(42-36)/12)</f>
        <v>0.15</v>
      </c>
      <c r="AR17" s="43" t="n">
        <f aca="false">(assumptions!$G$42+(assumptions!$G$43-assumptions!$G$42)*(43-36)/12)</f>
        <v>0.141666666666667</v>
      </c>
      <c r="AS17" s="43" t="n">
        <f aca="false">(assumptions!$G$42+(assumptions!$G$43-assumptions!$G$42)*(44-36)/12)</f>
        <v>0.133333333333333</v>
      </c>
      <c r="AT17" s="43" t="n">
        <f aca="false">(assumptions!$G$42+(assumptions!$G$43-assumptions!$G$42)*(45-36)/12)</f>
        <v>0.125</v>
      </c>
      <c r="AU17" s="43" t="n">
        <f aca="false">(assumptions!$G$42+(assumptions!$G$43-assumptions!$G$42)*(46-36)/12)</f>
        <v>0.116666666666667</v>
      </c>
      <c r="AV17" s="43" t="n">
        <f aca="false">(assumptions!$G$42+(assumptions!$G$43-assumptions!$G$42)*(47-36)/12)</f>
        <v>0.108333333333333</v>
      </c>
      <c r="AW17" s="43" t="n">
        <f aca="false">(assumptions!$G$42+(assumptions!$G$43-assumptions!$G$42)*(48-36)/12)</f>
        <v>0.1</v>
      </c>
      <c r="AX17" s="43" t="n">
        <f aca="false">(assumptions!$G$43+(assumptions!$G$44-assumptions!$G$43)*(49-48)/12)</f>
        <v>0.0983333333333333</v>
      </c>
      <c r="AY17" s="43" t="n">
        <f aca="false">(assumptions!$G$43+(assumptions!$G$44-assumptions!$G$43)*(50-48)/12)</f>
        <v>0.0966666666666667</v>
      </c>
      <c r="AZ17" s="43" t="n">
        <f aca="false">(assumptions!$G$43+(assumptions!$G$44-assumptions!$G$43)*(51-48)/12)</f>
        <v>0.095</v>
      </c>
      <c r="BA17" s="43" t="n">
        <f aca="false">(assumptions!$G$43+(assumptions!$G$44-assumptions!$G$43)*(52-48)/12)</f>
        <v>0.0933333333333333</v>
      </c>
      <c r="BB17" s="43" t="n">
        <f aca="false">(assumptions!$G$43+(assumptions!$G$44-assumptions!$G$43)*(53-48)/12)</f>
        <v>0.0916666666666667</v>
      </c>
      <c r="BC17" s="43" t="n">
        <f aca="false">(assumptions!$G$43+(assumptions!$G$44-assumptions!$G$43)*(54-48)/12)</f>
        <v>0.09</v>
      </c>
      <c r="BD17" s="43" t="n">
        <f aca="false">(assumptions!$G$43+(assumptions!$G$44-assumptions!$G$43)*(55-48)/12)</f>
        <v>0.0883333333333333</v>
      </c>
      <c r="BE17" s="43" t="n">
        <f aca="false">(assumptions!$G$43+(assumptions!$G$44-assumptions!$G$43)*(56-48)/12)</f>
        <v>0.0866666666666667</v>
      </c>
      <c r="BF17" s="43" t="n">
        <f aca="false">(assumptions!$G$43+(assumptions!$G$44-assumptions!$G$43)*(57-48)/12)</f>
        <v>0.085</v>
      </c>
      <c r="BG17" s="43" t="n">
        <f aca="false">(assumptions!$G$43+(assumptions!$G$44-assumptions!$G$43)*(58-48)/12)</f>
        <v>0.0833333333333333</v>
      </c>
      <c r="BH17" s="43" t="n">
        <f aca="false">(assumptions!$G$43+(assumptions!$G$44-assumptions!$G$43)*(59-48)/12)</f>
        <v>0.0816666666666667</v>
      </c>
      <c r="BI17" s="43" t="n">
        <f aca="false">(assumptions!$G$43+(assumptions!$G$44-assumptions!$G$43)*(60-48)/12)</f>
        <v>0.08</v>
      </c>
    </row>
    <row r="18" customFormat="false" ht="14.25" hidden="false" customHeight="false" outlineLevel="0" collapsed="false">
      <c r="A18" s="7" t="s">
        <v>407</v>
      </c>
      <c r="B18" s="43" t="n">
        <f aca="false">assumptions!$G$45</f>
        <v>0</v>
      </c>
      <c r="C18" s="43" t="n">
        <f aca="false">assumptions!$G$45</f>
        <v>0</v>
      </c>
      <c r="D18" s="43" t="n">
        <f aca="false">assumptions!$G$45</f>
        <v>0</v>
      </c>
      <c r="E18" s="43" t="n">
        <f aca="false">assumptions!$G$45</f>
        <v>0</v>
      </c>
      <c r="F18" s="43" t="n">
        <f aca="false">assumptions!$G$45</f>
        <v>0</v>
      </c>
      <c r="G18" s="43" t="n">
        <f aca="false">assumptions!$G$45</f>
        <v>0</v>
      </c>
      <c r="H18" s="43" t="n">
        <f aca="false">assumptions!$G$45</f>
        <v>0</v>
      </c>
      <c r="I18" s="43" t="n">
        <f aca="false">assumptions!$G$45</f>
        <v>0</v>
      </c>
      <c r="J18" s="43" t="n">
        <f aca="false">assumptions!$G$45</f>
        <v>0</v>
      </c>
      <c r="K18" s="43" t="n">
        <f aca="false">assumptions!$G$45</f>
        <v>0</v>
      </c>
      <c r="L18" s="43" t="n">
        <f aca="false">assumptions!$G$45</f>
        <v>0</v>
      </c>
      <c r="M18" s="43" t="n">
        <f aca="false">assumptions!$G$45</f>
        <v>0</v>
      </c>
      <c r="N18" s="43" t="n">
        <f aca="false">(assumptions!$G$45+(assumptions!$G$46-assumptions!$G$45)*(13-12)/12)</f>
        <v>0.0125</v>
      </c>
      <c r="O18" s="43" t="n">
        <f aca="false">(assumptions!$G$45+(assumptions!$G$46-assumptions!$G$45)*(14-12)/12)</f>
        <v>0.025</v>
      </c>
      <c r="P18" s="43" t="n">
        <f aca="false">(assumptions!$G$45+(assumptions!$G$46-assumptions!$G$45)*(15-12)/12)</f>
        <v>0.0375</v>
      </c>
      <c r="Q18" s="43" t="n">
        <f aca="false">(assumptions!$G$45+(assumptions!$G$46-assumptions!$G$45)*(16-12)/12)</f>
        <v>0.05</v>
      </c>
      <c r="R18" s="43" t="n">
        <f aca="false">(assumptions!$G$45+(assumptions!$G$46-assumptions!$G$45)*(17-12)/12)</f>
        <v>0.0625</v>
      </c>
      <c r="S18" s="43" t="n">
        <f aca="false">(assumptions!$G$45+(assumptions!$G$46-assumptions!$G$45)*(18-12)/12)</f>
        <v>0.075</v>
      </c>
      <c r="T18" s="43" t="n">
        <f aca="false">(assumptions!$G$45+(assumptions!$G$46-assumptions!$G$45)*(19-12)/12)</f>
        <v>0.0875</v>
      </c>
      <c r="U18" s="43" t="n">
        <f aca="false">(assumptions!$G$45+(assumptions!$G$46-assumptions!$G$45)*(20-12)/12)</f>
        <v>0.1</v>
      </c>
      <c r="V18" s="43" t="n">
        <f aca="false">(assumptions!$G$45+(assumptions!$G$46-assumptions!$G$45)*(21-12)/12)</f>
        <v>0.1125</v>
      </c>
      <c r="W18" s="43" t="n">
        <f aca="false">(assumptions!$G$45+(assumptions!$G$46-assumptions!$G$45)*(22-12)/12)</f>
        <v>0.125</v>
      </c>
      <c r="X18" s="43" t="n">
        <f aca="false">(assumptions!$G$45+(assumptions!$G$46-assumptions!$G$45)*(23-12)/12)</f>
        <v>0.1375</v>
      </c>
      <c r="Y18" s="43" t="n">
        <f aca="false">(assumptions!$G$45+(assumptions!$G$46-assumptions!$G$45)*(24-12)/12)</f>
        <v>0.15</v>
      </c>
      <c r="Z18" s="43" t="n">
        <f aca="false">(assumptions!$G$46+(assumptions!$G$47-assumptions!$G$46)*(25-24)/12)</f>
        <v>0.1625</v>
      </c>
      <c r="AA18" s="43" t="n">
        <f aca="false">(assumptions!$G$46+(assumptions!$G$47-assumptions!$G$46)*(26-24)/12)</f>
        <v>0.175</v>
      </c>
      <c r="AB18" s="43" t="n">
        <f aca="false">(assumptions!$G$46+(assumptions!$G$47-assumptions!$G$46)*(27-24)/12)</f>
        <v>0.1875</v>
      </c>
      <c r="AC18" s="43" t="n">
        <f aca="false">(assumptions!$G$46+(assumptions!$G$47-assumptions!$G$46)*(28-24)/12)</f>
        <v>0.2</v>
      </c>
      <c r="AD18" s="43" t="n">
        <f aca="false">(assumptions!$G$46+(assumptions!$G$47-assumptions!$G$46)*(29-24)/12)</f>
        <v>0.2125</v>
      </c>
      <c r="AE18" s="43" t="n">
        <f aca="false">(assumptions!$G$46+(assumptions!$G$47-assumptions!$G$46)*(30-24)/12)</f>
        <v>0.225</v>
      </c>
      <c r="AF18" s="43" t="n">
        <f aca="false">(assumptions!$G$46+(assumptions!$G$47-assumptions!$G$46)*(31-24)/12)</f>
        <v>0.2375</v>
      </c>
      <c r="AG18" s="43" t="n">
        <f aca="false">(assumptions!$G$46+(assumptions!$G$47-assumptions!$G$46)*(32-24)/12)</f>
        <v>0.25</v>
      </c>
      <c r="AH18" s="43" t="n">
        <f aca="false">(assumptions!$G$46+(assumptions!$G$47-assumptions!$G$46)*(33-24)/12)</f>
        <v>0.2625</v>
      </c>
      <c r="AI18" s="43" t="n">
        <f aca="false">(assumptions!$G$46+(assumptions!$G$47-assumptions!$G$46)*(34-24)/12)</f>
        <v>0.275</v>
      </c>
      <c r="AJ18" s="43" t="n">
        <f aca="false">(assumptions!$G$46+(assumptions!$G$47-assumptions!$G$46)*(35-24)/12)</f>
        <v>0.2875</v>
      </c>
      <c r="AK18" s="43" t="n">
        <f aca="false">(assumptions!$G$46+(assumptions!$G$47-assumptions!$G$46)*(36-24)/12)</f>
        <v>0.3</v>
      </c>
      <c r="AL18" s="43" t="n">
        <f aca="false">(assumptions!$G$47+(assumptions!$G$48-assumptions!$G$47)*(37-36)/12)</f>
        <v>0.295833333333333</v>
      </c>
      <c r="AM18" s="43" t="n">
        <f aca="false">(assumptions!$G$47+(assumptions!$G$48-assumptions!$G$47)*(38-36)/12)</f>
        <v>0.291666666666667</v>
      </c>
      <c r="AN18" s="43" t="n">
        <f aca="false">(assumptions!$G$47+(assumptions!$G$48-assumptions!$G$47)*(39-36)/12)</f>
        <v>0.2875</v>
      </c>
      <c r="AO18" s="43" t="n">
        <f aca="false">(assumptions!$G$47+(assumptions!$G$48-assumptions!$G$47)*(40-36)/12)</f>
        <v>0.283333333333333</v>
      </c>
      <c r="AP18" s="43" t="n">
        <f aca="false">(assumptions!$G$47+(assumptions!$G$48-assumptions!$G$47)*(41-36)/12)</f>
        <v>0.279166666666667</v>
      </c>
      <c r="AQ18" s="43" t="n">
        <f aca="false">(assumptions!$G$47+(assumptions!$G$48-assumptions!$G$47)*(42-36)/12)</f>
        <v>0.275</v>
      </c>
      <c r="AR18" s="43" t="n">
        <f aca="false">(assumptions!$G$47+(assumptions!$G$48-assumptions!$G$47)*(43-36)/12)</f>
        <v>0.270833333333333</v>
      </c>
      <c r="AS18" s="43" t="n">
        <f aca="false">(assumptions!$G$47+(assumptions!$G$48-assumptions!$G$47)*(44-36)/12)</f>
        <v>0.266666666666667</v>
      </c>
      <c r="AT18" s="43" t="n">
        <f aca="false">(assumptions!$G$47+(assumptions!$G$48-assumptions!$G$47)*(45-36)/12)</f>
        <v>0.2625</v>
      </c>
      <c r="AU18" s="43" t="n">
        <f aca="false">(assumptions!$G$47+(assumptions!$G$48-assumptions!$G$47)*(46-36)/12)</f>
        <v>0.258333333333333</v>
      </c>
      <c r="AV18" s="43" t="n">
        <f aca="false">(assumptions!$G$47+(assumptions!$G$48-assumptions!$G$47)*(47-36)/12)</f>
        <v>0.254166666666667</v>
      </c>
      <c r="AW18" s="43" t="n">
        <f aca="false">(assumptions!$G$47+(assumptions!$G$48-assumptions!$G$47)*(48-36)/12)</f>
        <v>0.25</v>
      </c>
      <c r="AX18" s="43" t="n">
        <f aca="false">(assumptions!$G$48+(assumptions!$G$49-assumptions!$G$48)*(49-48)/12)</f>
        <v>0.244166666666667</v>
      </c>
      <c r="AY18" s="43" t="n">
        <f aca="false">(assumptions!$G$48+(assumptions!$G$49-assumptions!$G$48)*(50-48)/12)</f>
        <v>0.238333333333333</v>
      </c>
      <c r="AZ18" s="43" t="n">
        <f aca="false">(assumptions!$G$48+(assumptions!$G$49-assumptions!$G$48)*(51-48)/12)</f>
        <v>0.2325</v>
      </c>
      <c r="BA18" s="43" t="n">
        <f aca="false">(assumptions!$G$48+(assumptions!$G$49-assumptions!$G$48)*(52-48)/12)</f>
        <v>0.226666666666667</v>
      </c>
      <c r="BB18" s="43" t="n">
        <f aca="false">(assumptions!$G$48+(assumptions!$G$49-assumptions!$G$48)*(53-48)/12)</f>
        <v>0.220833333333333</v>
      </c>
      <c r="BC18" s="43" t="n">
        <f aca="false">(assumptions!$G$48+(assumptions!$G$49-assumptions!$G$48)*(54-48)/12)</f>
        <v>0.215</v>
      </c>
      <c r="BD18" s="43" t="n">
        <f aca="false">(assumptions!$G$48+(assumptions!$G$49-assumptions!$G$48)*(55-48)/12)</f>
        <v>0.209166666666667</v>
      </c>
      <c r="BE18" s="43" t="n">
        <f aca="false">(assumptions!$G$48+(assumptions!$G$49-assumptions!$G$48)*(56-48)/12)</f>
        <v>0.203333333333333</v>
      </c>
      <c r="BF18" s="43" t="n">
        <f aca="false">(assumptions!$G$48+(assumptions!$G$49-assumptions!$G$48)*(57-48)/12)</f>
        <v>0.1975</v>
      </c>
      <c r="BG18" s="43" t="n">
        <f aca="false">(assumptions!$G$48+(assumptions!$G$49-assumptions!$G$48)*(58-48)/12)</f>
        <v>0.191666666666667</v>
      </c>
      <c r="BH18" s="43" t="n">
        <f aca="false">(assumptions!$G$48+(assumptions!$G$49-assumptions!$G$48)*(59-48)/12)</f>
        <v>0.185833333333333</v>
      </c>
      <c r="BI18" s="43" t="n">
        <f aca="false">(assumptions!$G$48+(assumptions!$G$49-assumptions!$G$48)*(60-48)/12)</f>
        <v>0.18</v>
      </c>
    </row>
    <row r="19" customFormat="false" ht="14.25" hidden="false" customHeight="false" outlineLevel="0" collapsed="false">
      <c r="A19" s="7" t="s">
        <v>408</v>
      </c>
      <c r="B19" s="43" t="n">
        <f aca="false">assumptions!$G$50</f>
        <v>0</v>
      </c>
      <c r="C19" s="43" t="n">
        <f aca="false">assumptions!$G$50</f>
        <v>0</v>
      </c>
      <c r="D19" s="43" t="n">
        <f aca="false">assumptions!$G$50</f>
        <v>0</v>
      </c>
      <c r="E19" s="43" t="n">
        <f aca="false">assumptions!$G$50</f>
        <v>0</v>
      </c>
      <c r="F19" s="43" t="n">
        <f aca="false">assumptions!$G$50</f>
        <v>0</v>
      </c>
      <c r="G19" s="43" t="n">
        <f aca="false">assumptions!$G$50</f>
        <v>0</v>
      </c>
      <c r="H19" s="43" t="n">
        <f aca="false">assumptions!$G$50</f>
        <v>0</v>
      </c>
      <c r="I19" s="43" t="n">
        <f aca="false">assumptions!$G$50</f>
        <v>0</v>
      </c>
      <c r="J19" s="43" t="n">
        <f aca="false">assumptions!$G$50</f>
        <v>0</v>
      </c>
      <c r="K19" s="43" t="n">
        <f aca="false">assumptions!$G$50</f>
        <v>0</v>
      </c>
      <c r="L19" s="43" t="n">
        <f aca="false">assumptions!$G$50</f>
        <v>0</v>
      </c>
      <c r="M19" s="43" t="n">
        <f aca="false">assumptions!$G$50</f>
        <v>0</v>
      </c>
      <c r="N19" s="43" t="n">
        <f aca="false">(assumptions!$G$50+(assumptions!$G$51-assumptions!$G$50)*(13-12)/12)</f>
        <v>0</v>
      </c>
      <c r="O19" s="43" t="n">
        <f aca="false">(assumptions!$G$50+(assumptions!$G$51-assumptions!$G$50)*(14-12)/12)</f>
        <v>0</v>
      </c>
      <c r="P19" s="43" t="n">
        <f aca="false">(assumptions!$G$50+(assumptions!$G$51-assumptions!$G$50)*(15-12)/12)</f>
        <v>0</v>
      </c>
      <c r="Q19" s="43" t="n">
        <f aca="false">(assumptions!$G$50+(assumptions!$G$51-assumptions!$G$50)*(16-12)/12)</f>
        <v>0</v>
      </c>
      <c r="R19" s="43" t="n">
        <f aca="false">(assumptions!$G$50+(assumptions!$G$51-assumptions!$G$50)*(17-12)/12)</f>
        <v>0</v>
      </c>
      <c r="S19" s="43" t="n">
        <f aca="false">(assumptions!$G$50+(assumptions!$G$51-assumptions!$G$50)*(18-12)/12)</f>
        <v>0</v>
      </c>
      <c r="T19" s="43" t="n">
        <f aca="false">(assumptions!$G$50+(assumptions!$G$51-assumptions!$G$50)*(19-12)/12)</f>
        <v>0</v>
      </c>
      <c r="U19" s="43" t="n">
        <f aca="false">(assumptions!$G$50+(assumptions!$G$51-assumptions!$G$50)*(20-12)/12)</f>
        <v>0</v>
      </c>
      <c r="V19" s="43" t="n">
        <f aca="false">(assumptions!$G$50+(assumptions!$G$51-assumptions!$G$50)*(21-12)/12)</f>
        <v>0</v>
      </c>
      <c r="W19" s="43" t="n">
        <f aca="false">(assumptions!$G$50+(assumptions!$G$51-assumptions!$G$50)*(22-12)/12)</f>
        <v>0</v>
      </c>
      <c r="X19" s="43" t="n">
        <f aca="false">(assumptions!$G$50+(assumptions!$G$51-assumptions!$G$50)*(23-12)/12)</f>
        <v>0</v>
      </c>
      <c r="Y19" s="43" t="n">
        <f aca="false">(assumptions!$G$50+(assumptions!$G$51-assumptions!$G$50)*(24-12)/12)</f>
        <v>0</v>
      </c>
      <c r="Z19" s="43" t="n">
        <f aca="false">(assumptions!$G$51+(assumptions!$G$52-assumptions!$G$51)*(25-24)/12)</f>
        <v>0.00833333333333333</v>
      </c>
      <c r="AA19" s="43" t="n">
        <f aca="false">(assumptions!$G$51+(assumptions!$G$52-assumptions!$G$51)*(26-24)/12)</f>
        <v>0.0166666666666667</v>
      </c>
      <c r="AB19" s="43" t="n">
        <f aca="false">(assumptions!$G$51+(assumptions!$G$52-assumptions!$G$51)*(27-24)/12)</f>
        <v>0.025</v>
      </c>
      <c r="AC19" s="43" t="n">
        <f aca="false">(assumptions!$G$51+(assumptions!$G$52-assumptions!$G$51)*(28-24)/12)</f>
        <v>0.0333333333333333</v>
      </c>
      <c r="AD19" s="43" t="n">
        <f aca="false">(assumptions!$G$51+(assumptions!$G$52-assumptions!$G$51)*(29-24)/12)</f>
        <v>0.0416666666666667</v>
      </c>
      <c r="AE19" s="43" t="n">
        <f aca="false">(assumptions!$G$51+(assumptions!$G$52-assumptions!$G$51)*(30-24)/12)</f>
        <v>0.05</v>
      </c>
      <c r="AF19" s="43" t="n">
        <f aca="false">(assumptions!$G$51+(assumptions!$G$52-assumptions!$G$51)*(31-24)/12)</f>
        <v>0.0583333333333333</v>
      </c>
      <c r="AG19" s="43" t="n">
        <f aca="false">(assumptions!$G$51+(assumptions!$G$52-assumptions!$G$51)*(32-24)/12)</f>
        <v>0.0666666666666667</v>
      </c>
      <c r="AH19" s="43" t="n">
        <f aca="false">(assumptions!$G$51+(assumptions!$G$52-assumptions!$G$51)*(33-24)/12)</f>
        <v>0.075</v>
      </c>
      <c r="AI19" s="43" t="n">
        <f aca="false">(assumptions!$G$51+(assumptions!$G$52-assumptions!$G$51)*(34-24)/12)</f>
        <v>0.0833333333333333</v>
      </c>
      <c r="AJ19" s="43" t="n">
        <f aca="false">(assumptions!$G$51+(assumptions!$G$52-assumptions!$G$51)*(35-24)/12)</f>
        <v>0.0916666666666667</v>
      </c>
      <c r="AK19" s="43" t="n">
        <f aca="false">(assumptions!$G$51+(assumptions!$G$52-assumptions!$G$51)*(36-24)/12)</f>
        <v>0.1</v>
      </c>
      <c r="AL19" s="43" t="n">
        <f aca="false">(assumptions!$G$52+(assumptions!$G$53-assumptions!$G$52)*(37-36)/12)</f>
        <v>0.1125</v>
      </c>
      <c r="AM19" s="43" t="n">
        <f aca="false">(assumptions!$G$52+(assumptions!$G$53-assumptions!$G$52)*(38-36)/12)</f>
        <v>0.125</v>
      </c>
      <c r="AN19" s="43" t="n">
        <f aca="false">(assumptions!$G$52+(assumptions!$G$53-assumptions!$G$52)*(39-36)/12)</f>
        <v>0.1375</v>
      </c>
      <c r="AO19" s="43" t="n">
        <f aca="false">(assumptions!$G$52+(assumptions!$G$53-assumptions!$G$52)*(40-36)/12)</f>
        <v>0.15</v>
      </c>
      <c r="AP19" s="43" t="n">
        <f aca="false">(assumptions!$G$52+(assumptions!$G$53-assumptions!$G$52)*(41-36)/12)</f>
        <v>0.1625</v>
      </c>
      <c r="AQ19" s="43" t="n">
        <f aca="false">(assumptions!$G$52+(assumptions!$G$53-assumptions!$G$52)*(42-36)/12)</f>
        <v>0.175</v>
      </c>
      <c r="AR19" s="43" t="n">
        <f aca="false">(assumptions!$G$52+(assumptions!$G$53-assumptions!$G$52)*(43-36)/12)</f>
        <v>0.1875</v>
      </c>
      <c r="AS19" s="43" t="n">
        <f aca="false">(assumptions!$G$52+(assumptions!$G$53-assumptions!$G$52)*(44-36)/12)</f>
        <v>0.2</v>
      </c>
      <c r="AT19" s="43" t="n">
        <f aca="false">(assumptions!$G$52+(assumptions!$G$53-assumptions!$G$52)*(45-36)/12)</f>
        <v>0.2125</v>
      </c>
      <c r="AU19" s="43" t="n">
        <f aca="false">(assumptions!$G$52+(assumptions!$G$53-assumptions!$G$52)*(46-36)/12)</f>
        <v>0.225</v>
      </c>
      <c r="AV19" s="43" t="n">
        <f aca="false">(assumptions!$G$52+(assumptions!$G$53-assumptions!$G$52)*(47-36)/12)</f>
        <v>0.2375</v>
      </c>
      <c r="AW19" s="43" t="n">
        <f aca="false">(assumptions!$G$52+(assumptions!$G$53-assumptions!$G$52)*(48-36)/12)</f>
        <v>0.25</v>
      </c>
      <c r="AX19" s="43" t="n">
        <f aca="false">(assumptions!$G$53+(assumptions!$G$54-assumptions!$G$53)*(49-48)/12)</f>
        <v>0.255833333333333</v>
      </c>
      <c r="AY19" s="43" t="n">
        <f aca="false">(assumptions!$G$53+(assumptions!$G$54-assumptions!$G$53)*(50-48)/12)</f>
        <v>0.261666666666667</v>
      </c>
      <c r="AZ19" s="43" t="n">
        <f aca="false">(assumptions!$G$53+(assumptions!$G$54-assumptions!$G$53)*(51-48)/12)</f>
        <v>0.2675</v>
      </c>
      <c r="BA19" s="43" t="n">
        <f aca="false">(assumptions!$G$53+(assumptions!$G$54-assumptions!$G$53)*(52-48)/12)</f>
        <v>0.273333333333333</v>
      </c>
      <c r="BB19" s="43" t="n">
        <f aca="false">(assumptions!$G$53+(assumptions!$G$54-assumptions!$G$53)*(53-48)/12)</f>
        <v>0.279166666666667</v>
      </c>
      <c r="BC19" s="43" t="n">
        <f aca="false">(assumptions!$G$53+(assumptions!$G$54-assumptions!$G$53)*(54-48)/12)</f>
        <v>0.285</v>
      </c>
      <c r="BD19" s="43" t="n">
        <f aca="false">(assumptions!$G$53+(assumptions!$G$54-assumptions!$G$53)*(55-48)/12)</f>
        <v>0.290833333333333</v>
      </c>
      <c r="BE19" s="43" t="n">
        <f aca="false">(assumptions!$G$53+(assumptions!$G$54-assumptions!$G$53)*(56-48)/12)</f>
        <v>0.296666666666667</v>
      </c>
      <c r="BF19" s="43" t="n">
        <f aca="false">(assumptions!$G$53+(assumptions!$G$54-assumptions!$G$53)*(57-48)/12)</f>
        <v>0.3025</v>
      </c>
      <c r="BG19" s="43" t="n">
        <f aca="false">(assumptions!$G$53+(assumptions!$G$54-assumptions!$G$53)*(58-48)/12)</f>
        <v>0.308333333333333</v>
      </c>
      <c r="BH19" s="43" t="n">
        <f aca="false">(assumptions!$G$53+(assumptions!$G$54-assumptions!$G$53)*(59-48)/12)</f>
        <v>0.314166666666667</v>
      </c>
      <c r="BI19" s="43" t="n">
        <f aca="false">(assumptions!$G$53+(assumptions!$G$54-assumptions!$G$53)*(60-48)/12)</f>
        <v>0.32</v>
      </c>
    </row>
    <row r="20" customFormat="false" ht="14.25" hidden="false" customHeight="false" outlineLevel="0" collapsed="false">
      <c r="A20" s="7" t="s">
        <v>409</v>
      </c>
      <c r="B20" s="56" t="n">
        <f aca="false">B15*assumptions!$G$10+B16*assumptions!$G$11+B17*assumptions!$G$12+B18*assumptions!$G$13+B19*assumptions!$G$14</f>
        <v>0.5</v>
      </c>
      <c r="C20" s="56" t="n">
        <f aca="false">C15*assumptions!$G$10+C16*assumptions!$G$11+C17*assumptions!$G$12+C18*assumptions!$G$13+C19*assumptions!$G$14</f>
        <v>0.5</v>
      </c>
      <c r="D20" s="56" t="n">
        <f aca="false">D15*assumptions!$G$10+D16*assumptions!$G$11+D17*assumptions!$G$12+D18*assumptions!$G$13+D19*assumptions!$G$14</f>
        <v>0.5</v>
      </c>
      <c r="E20" s="56" t="n">
        <f aca="false">E15*assumptions!$G$10+E16*assumptions!$G$11+E17*assumptions!$G$12+E18*assumptions!$G$13+E19*assumptions!$G$14</f>
        <v>0.5</v>
      </c>
      <c r="F20" s="56" t="n">
        <f aca="false">F15*assumptions!$G$10+F16*assumptions!$G$11+F17*assumptions!$G$12+F18*assumptions!$G$13+F19*assumptions!$G$14</f>
        <v>0.5</v>
      </c>
      <c r="G20" s="56" t="n">
        <f aca="false">G15*assumptions!$G$10+G16*assumptions!$G$11+G17*assumptions!$G$12+G18*assumptions!$G$13+G19*assumptions!$G$14</f>
        <v>0.5</v>
      </c>
      <c r="H20" s="56" t="n">
        <f aca="false">H15*assumptions!$G$10+H16*assumptions!$G$11+H17*assumptions!$G$12+H18*assumptions!$G$13+H19*assumptions!$G$14</f>
        <v>0.5</v>
      </c>
      <c r="I20" s="56" t="n">
        <f aca="false">I15*assumptions!$G$10+I16*assumptions!$G$11+I17*assumptions!$G$12+I18*assumptions!$G$13+I19*assumptions!$G$14</f>
        <v>0.5</v>
      </c>
      <c r="J20" s="56" t="n">
        <f aca="false">J15*assumptions!$G$10+J16*assumptions!$G$11+J17*assumptions!$G$12+J18*assumptions!$G$13+J19*assumptions!$G$14</f>
        <v>0.5</v>
      </c>
      <c r="K20" s="56" t="n">
        <f aca="false">K15*assumptions!$G$10+K16*assumptions!$G$11+K17*assumptions!$G$12+K18*assumptions!$G$13+K19*assumptions!$G$14</f>
        <v>0.5</v>
      </c>
      <c r="L20" s="56" t="n">
        <f aca="false">L15*assumptions!$G$10+L16*assumptions!$G$11+L17*assumptions!$G$12+L18*assumptions!$G$13+L19*assumptions!$G$14</f>
        <v>0.5</v>
      </c>
      <c r="M20" s="56" t="n">
        <f aca="false">M15*assumptions!$G$10+M16*assumptions!$G$11+M17*assumptions!$G$12+M18*assumptions!$G$13+M19*assumptions!$G$14</f>
        <v>0.5</v>
      </c>
      <c r="N20" s="56" t="n">
        <f aca="false">N15*assumptions!$G$10+N16*assumptions!$G$11+N17*assumptions!$G$12+N18*assumptions!$G$13+N19*assumptions!$G$14</f>
        <v>0.49875</v>
      </c>
      <c r="O20" s="56" t="n">
        <f aca="false">O15*assumptions!$G$10+O16*assumptions!$G$11+O17*assumptions!$G$12+O18*assumptions!$G$13+O19*assumptions!$G$14</f>
        <v>0.4975</v>
      </c>
      <c r="P20" s="56" t="n">
        <f aca="false">P15*assumptions!$G$10+P16*assumptions!$G$11+P17*assumptions!$G$12+P18*assumptions!$G$13+P19*assumptions!$G$14</f>
        <v>0.49625</v>
      </c>
      <c r="Q20" s="56" t="n">
        <f aca="false">Q15*assumptions!$G$10+Q16*assumptions!$G$11+Q17*assumptions!$G$12+Q18*assumptions!$G$13+Q19*assumptions!$G$14</f>
        <v>0.495</v>
      </c>
      <c r="R20" s="56" t="n">
        <f aca="false">R15*assumptions!$G$10+R16*assumptions!$G$11+R17*assumptions!$G$12+R18*assumptions!$G$13+R19*assumptions!$G$14</f>
        <v>0.49375</v>
      </c>
      <c r="S20" s="56" t="n">
        <f aca="false">S15*assumptions!$G$10+S16*assumptions!$G$11+S17*assumptions!$G$12+S18*assumptions!$G$13+S19*assumptions!$G$14</f>
        <v>0.4925</v>
      </c>
      <c r="T20" s="56" t="n">
        <f aca="false">T15*assumptions!$G$10+T16*assumptions!$G$11+T17*assumptions!$G$12+T18*assumptions!$G$13+T19*assumptions!$G$14</f>
        <v>0.49125</v>
      </c>
      <c r="U20" s="56" t="n">
        <f aca="false">U15*assumptions!$G$10+U16*assumptions!$G$11+U17*assumptions!$G$12+U18*assumptions!$G$13+U19*assumptions!$G$14</f>
        <v>0.49</v>
      </c>
      <c r="V20" s="56" t="n">
        <f aca="false">V15*assumptions!$G$10+V16*assumptions!$G$11+V17*assumptions!$G$12+V18*assumptions!$G$13+V19*assumptions!$G$14</f>
        <v>0.48875</v>
      </c>
      <c r="W20" s="56" t="n">
        <f aca="false">W15*assumptions!$G$10+W16*assumptions!$G$11+W17*assumptions!$G$12+W18*assumptions!$G$13+W19*assumptions!$G$14</f>
        <v>0.4875</v>
      </c>
      <c r="X20" s="56" t="n">
        <f aca="false">X15*assumptions!$G$10+X16*assumptions!$G$11+X17*assumptions!$G$12+X18*assumptions!$G$13+X19*assumptions!$G$14</f>
        <v>0.48625</v>
      </c>
      <c r="Y20" s="56" t="n">
        <f aca="false">Y15*assumptions!$G$10+Y16*assumptions!$G$11+Y17*assumptions!$G$12+Y18*assumptions!$G$13+Y19*assumptions!$G$14</f>
        <v>0.485</v>
      </c>
      <c r="Z20" s="56" t="n">
        <f aca="false">Z15*assumptions!$G$10+Z16*assumptions!$G$11+Z17*assumptions!$G$12+Z18*assumptions!$G$13+Z19*assumptions!$G$14</f>
        <v>0.482083333333333</v>
      </c>
      <c r="AA20" s="56" t="n">
        <f aca="false">AA15*assumptions!$G$10+AA16*assumptions!$G$11+AA17*assumptions!$G$12+AA18*assumptions!$G$13+AA19*assumptions!$G$14</f>
        <v>0.479166666666667</v>
      </c>
      <c r="AB20" s="56" t="n">
        <f aca="false">AB15*assumptions!$G$10+AB16*assumptions!$G$11+AB17*assumptions!$G$12+AB18*assumptions!$G$13+AB19*assumptions!$G$14</f>
        <v>0.47625</v>
      </c>
      <c r="AC20" s="56" t="n">
        <f aca="false">AC15*assumptions!$G$10+AC16*assumptions!$G$11+AC17*assumptions!$G$12+AC18*assumptions!$G$13+AC19*assumptions!$G$14</f>
        <v>0.473333333333333</v>
      </c>
      <c r="AD20" s="56" t="n">
        <f aca="false">AD15*assumptions!$G$10+AD16*assumptions!$G$11+AD17*assumptions!$G$12+AD18*assumptions!$G$13+AD19*assumptions!$G$14</f>
        <v>0.470416666666667</v>
      </c>
      <c r="AE20" s="56" t="n">
        <f aca="false">AE15*assumptions!$G$10+AE16*assumptions!$G$11+AE17*assumptions!$G$12+AE18*assumptions!$G$13+AE19*assumptions!$G$14</f>
        <v>0.4675</v>
      </c>
      <c r="AF20" s="56" t="n">
        <f aca="false">AF15*assumptions!$G$10+AF16*assumptions!$G$11+AF17*assumptions!$G$12+AF18*assumptions!$G$13+AF19*assumptions!$G$14</f>
        <v>0.464583333333333</v>
      </c>
      <c r="AG20" s="56" t="n">
        <f aca="false">AG15*assumptions!$G$10+AG16*assumptions!$G$11+AG17*assumptions!$G$12+AG18*assumptions!$G$13+AG19*assumptions!$G$14</f>
        <v>0.461666666666667</v>
      </c>
      <c r="AH20" s="56" t="n">
        <f aca="false">AH15*assumptions!$G$10+AH16*assumptions!$G$11+AH17*assumptions!$G$12+AH18*assumptions!$G$13+AH19*assumptions!$G$14</f>
        <v>0.45875</v>
      </c>
      <c r="AI20" s="56" t="n">
        <f aca="false">AI15*assumptions!$G$10+AI16*assumptions!$G$11+AI17*assumptions!$G$12+AI18*assumptions!$G$13+AI19*assumptions!$G$14</f>
        <v>0.455833333333333</v>
      </c>
      <c r="AJ20" s="56" t="n">
        <f aca="false">AJ15*assumptions!$G$10+AJ16*assumptions!$G$11+AJ17*assumptions!$G$12+AJ18*assumptions!$G$13+AJ19*assumptions!$G$14</f>
        <v>0.452916666666667</v>
      </c>
      <c r="AK20" s="56" t="n">
        <f aca="false">AK15*assumptions!$G$10+AK16*assumptions!$G$11+AK17*assumptions!$G$12+AK18*assumptions!$G$13+AK19*assumptions!$G$14</f>
        <v>0.45</v>
      </c>
      <c r="AL20" s="56" t="n">
        <f aca="false">AL15*assumptions!$G$10+AL16*assumptions!$G$11+AL17*assumptions!$G$12+AL18*assumptions!$G$13+AL19*assumptions!$G$14</f>
        <v>0.447916666666667</v>
      </c>
      <c r="AM20" s="56" t="n">
        <f aca="false">AM15*assumptions!$G$10+AM16*assumptions!$G$11+AM17*assumptions!$G$12+AM18*assumptions!$G$13+AM19*assumptions!$G$14</f>
        <v>0.445833333333333</v>
      </c>
      <c r="AN20" s="56" t="n">
        <f aca="false">AN15*assumptions!$G$10+AN16*assumptions!$G$11+AN17*assumptions!$G$12+AN18*assumptions!$G$13+AN19*assumptions!$G$14</f>
        <v>0.44375</v>
      </c>
      <c r="AO20" s="56" t="n">
        <f aca="false">AO15*assumptions!$G$10+AO16*assumptions!$G$11+AO17*assumptions!$G$12+AO18*assumptions!$G$13+AO19*assumptions!$G$14</f>
        <v>0.441666666666667</v>
      </c>
      <c r="AP20" s="56" t="n">
        <f aca="false">AP15*assumptions!$G$10+AP16*assumptions!$G$11+AP17*assumptions!$G$12+AP18*assumptions!$G$13+AP19*assumptions!$G$14</f>
        <v>0.439583333333333</v>
      </c>
      <c r="AQ20" s="56" t="n">
        <f aca="false">AQ15*assumptions!$G$10+AQ16*assumptions!$G$11+AQ17*assumptions!$G$12+AQ18*assumptions!$G$13+AQ19*assumptions!$G$14</f>
        <v>0.4375</v>
      </c>
      <c r="AR20" s="56" t="n">
        <f aca="false">AR15*assumptions!$G$10+AR16*assumptions!$G$11+AR17*assumptions!$G$12+AR18*assumptions!$G$13+AR19*assumptions!$G$14</f>
        <v>0.435416666666667</v>
      </c>
      <c r="AS20" s="56" t="n">
        <f aca="false">AS15*assumptions!$G$10+AS16*assumptions!$G$11+AS17*assumptions!$G$12+AS18*assumptions!$G$13+AS19*assumptions!$G$14</f>
        <v>0.433333333333333</v>
      </c>
      <c r="AT20" s="56" t="n">
        <f aca="false">AT15*assumptions!$G$10+AT16*assumptions!$G$11+AT17*assumptions!$G$12+AT18*assumptions!$G$13+AT19*assumptions!$G$14</f>
        <v>0.43125</v>
      </c>
      <c r="AU20" s="56" t="n">
        <f aca="false">AU15*assumptions!$G$10+AU16*assumptions!$G$11+AU17*assumptions!$G$12+AU18*assumptions!$G$13+AU19*assumptions!$G$14</f>
        <v>0.429166666666667</v>
      </c>
      <c r="AV20" s="56" t="n">
        <f aca="false">AV15*assumptions!$G$10+AV16*assumptions!$G$11+AV17*assumptions!$G$12+AV18*assumptions!$G$13+AV19*assumptions!$G$14</f>
        <v>0.427083333333333</v>
      </c>
      <c r="AW20" s="56" t="n">
        <f aca="false">AW15*assumptions!$G$10+AW16*assumptions!$G$11+AW17*assumptions!$G$12+AW18*assumptions!$G$13+AW19*assumptions!$G$14</f>
        <v>0.425</v>
      </c>
      <c r="AX20" s="56" t="n">
        <f aca="false">AX15*assumptions!$G$10+AX16*assumptions!$G$11+AX17*assumptions!$G$12+AX18*assumptions!$G$13+AX19*assumptions!$G$14</f>
        <v>0.424416666666667</v>
      </c>
      <c r="AY20" s="56" t="n">
        <f aca="false">AY15*assumptions!$G$10+AY16*assumptions!$G$11+AY17*assumptions!$G$12+AY18*assumptions!$G$13+AY19*assumptions!$G$14</f>
        <v>0.423833333333333</v>
      </c>
      <c r="AZ20" s="56" t="n">
        <f aca="false">AZ15*assumptions!$G$10+AZ16*assumptions!$G$11+AZ17*assumptions!$G$12+AZ18*assumptions!$G$13+AZ19*assumptions!$G$14</f>
        <v>0.42325</v>
      </c>
      <c r="BA20" s="56" t="n">
        <f aca="false">BA15*assumptions!$G$10+BA16*assumptions!$G$11+BA17*assumptions!$G$12+BA18*assumptions!$G$13+BA19*assumptions!$G$14</f>
        <v>0.422666666666667</v>
      </c>
      <c r="BB20" s="56" t="n">
        <f aca="false">BB15*assumptions!$G$10+BB16*assumptions!$G$11+BB17*assumptions!$G$12+BB18*assumptions!$G$13+BB19*assumptions!$G$14</f>
        <v>0.422083333333333</v>
      </c>
      <c r="BC20" s="56" t="n">
        <f aca="false">BC15*assumptions!$G$10+BC16*assumptions!$G$11+BC17*assumptions!$G$12+BC18*assumptions!$G$13+BC19*assumptions!$G$14</f>
        <v>0.4215</v>
      </c>
      <c r="BD20" s="56" t="n">
        <f aca="false">BD15*assumptions!$G$10+BD16*assumptions!$G$11+BD17*assumptions!$G$12+BD18*assumptions!$G$13+BD19*assumptions!$G$14</f>
        <v>0.420916666666667</v>
      </c>
      <c r="BE20" s="56" t="n">
        <f aca="false">BE15*assumptions!$G$10+BE16*assumptions!$G$11+BE17*assumptions!$G$12+BE18*assumptions!$G$13+BE19*assumptions!$G$14</f>
        <v>0.420333333333333</v>
      </c>
      <c r="BF20" s="56" t="n">
        <f aca="false">BF15*assumptions!$G$10+BF16*assumptions!$G$11+BF17*assumptions!$G$12+BF18*assumptions!$G$13+BF19*assumptions!$G$14</f>
        <v>0.41975</v>
      </c>
      <c r="BG20" s="56" t="n">
        <f aca="false">BG15*assumptions!$G$10+BG16*assumptions!$G$11+BG17*assumptions!$G$12+BG18*assumptions!$G$13+BG19*assumptions!$G$14</f>
        <v>0.419166666666667</v>
      </c>
      <c r="BH20" s="56" t="n">
        <f aca="false">BH15*assumptions!$G$10+BH16*assumptions!$G$11+BH17*assumptions!$G$12+BH18*assumptions!$G$13+BH19*assumptions!$G$14</f>
        <v>0.418583333333333</v>
      </c>
      <c r="BI20" s="56" t="n">
        <f aca="false">BI15*assumptions!$G$10+BI16*assumptions!$G$11+BI17*assumptions!$G$12+BI18*assumptions!$G$13+BI19*assumptions!$G$14</f>
        <v>0.418</v>
      </c>
    </row>
    <row r="21" customFormat="false" ht="14.25" hidden="false" customHeight="false" outlineLevel="0" collapsed="false">
      <c r="A21" s="7" t="s">
        <v>52</v>
      </c>
      <c r="B21" s="19" t="n">
        <f aca="false">B12*B20</f>
        <v>840</v>
      </c>
      <c r="C21" s="19" t="n">
        <f aca="false">C12*C20</f>
        <v>1810.90909090909</v>
      </c>
      <c r="D21" s="19" t="n">
        <f aca="false">D12*D20</f>
        <v>2954.54545454545</v>
      </c>
      <c r="E21" s="19" t="n">
        <f aca="false">E12*E20</f>
        <v>4250.90909090909</v>
      </c>
      <c r="F21" s="19" t="n">
        <f aca="false">F12*F20</f>
        <v>5672.72727272727</v>
      </c>
      <c r="G21" s="19" t="n">
        <f aca="false">G12*G20</f>
        <v>7272.72727272727</v>
      </c>
      <c r="H21" s="19" t="n">
        <f aca="false">H12*H20</f>
        <v>9025.45454545455</v>
      </c>
      <c r="I21" s="19" t="n">
        <f aca="false">I12*I20</f>
        <v>10898.1818181818</v>
      </c>
      <c r="J21" s="19" t="n">
        <f aca="false">J12*J20</f>
        <v>12954.5454545455</v>
      </c>
      <c r="K21" s="19" t="n">
        <f aca="false">K12*K20</f>
        <v>15163.6363636364</v>
      </c>
      <c r="L21" s="19" t="n">
        <f aca="false">L12*L20</f>
        <v>17487.2727272727</v>
      </c>
      <c r="M21" s="19" t="n">
        <f aca="false">M12*M20</f>
        <v>20000</v>
      </c>
      <c r="N21" s="19" t="n">
        <f aca="false">N12*N20</f>
        <v>26691.77</v>
      </c>
      <c r="O21" s="19" t="n">
        <f aca="false">O12*O20</f>
        <v>33600.4866666667</v>
      </c>
      <c r="P21" s="19" t="n">
        <f aca="false">P12*P20</f>
        <v>40642.875</v>
      </c>
      <c r="Q21" s="19" t="n">
        <f aca="false">Q12*Q20</f>
        <v>47857.92</v>
      </c>
      <c r="R21" s="19" t="n">
        <f aca="false">R12*R20</f>
        <v>55286.8333333333</v>
      </c>
      <c r="S21" s="19" t="n">
        <f aca="false">S12*S20</f>
        <v>62843</v>
      </c>
      <c r="T21" s="19" t="n">
        <f aca="false">T12*T20</f>
        <v>70567.08</v>
      </c>
      <c r="U21" s="19" t="n">
        <f aca="false">U12*U20</f>
        <v>78501.92</v>
      </c>
      <c r="V21" s="19" t="n">
        <f aca="false">V12*V20</f>
        <v>86557.625</v>
      </c>
      <c r="W21" s="19" t="n">
        <f aca="false">W12*W20</f>
        <v>94776.5</v>
      </c>
      <c r="X21" s="19" t="n">
        <f aca="false">X12*X20</f>
        <v>103202.996666667</v>
      </c>
      <c r="Y21" s="19" t="n">
        <f aca="false">Y12*Y20</f>
        <v>111744</v>
      </c>
      <c r="Z21" s="19" t="n">
        <f aca="false">Z12*Z20</f>
        <v>129390.684583333</v>
      </c>
      <c r="AA21" s="19" t="n">
        <f aca="false">AA12*AA20</f>
        <v>147120.458333333</v>
      </c>
      <c r="AB21" s="19" t="n">
        <f aca="false">AB12*AB20</f>
        <v>165020.625</v>
      </c>
      <c r="AC21" s="19" t="n">
        <f aca="false">AC12*AC20</f>
        <v>183038</v>
      </c>
      <c r="AD21" s="19" t="n">
        <f aca="false">AD12*AD20</f>
        <v>201118.64875</v>
      </c>
      <c r="AE21" s="19" t="n">
        <f aca="false">AE12*AE20</f>
        <v>219351</v>
      </c>
      <c r="AF21" s="19" t="n">
        <f aca="false">AF12*AF20</f>
        <v>237681.297916667</v>
      </c>
      <c r="AG21" s="19" t="n">
        <f aca="false">AG12*AG20</f>
        <v>256055.106666667</v>
      </c>
      <c r="AH21" s="19" t="n">
        <f aca="false">AH12*AH20</f>
        <v>274561.875</v>
      </c>
      <c r="AI21" s="19" t="n">
        <f aca="false">AI12*AI20</f>
        <v>293147.328333333</v>
      </c>
      <c r="AJ21" s="19" t="n">
        <f aca="false">AJ12*AJ20</f>
        <v>311756.582083333</v>
      </c>
      <c r="AK21" s="19" t="n">
        <f aca="false">AK12*AK20</f>
        <v>330480</v>
      </c>
      <c r="AL21" s="19" t="n">
        <f aca="false">AL12*AL20</f>
        <v>360184.722222222</v>
      </c>
      <c r="AM21" s="19" t="n">
        <f aca="false">AM12*AM20</f>
        <v>389955.555555556</v>
      </c>
      <c r="AN21" s="19" t="n">
        <f aca="false">AN12*AN20</f>
        <v>419787.5</v>
      </c>
      <c r="AO21" s="19" t="n">
        <f aca="false">AO12*AO20</f>
        <v>449675.555555556</v>
      </c>
      <c r="AP21" s="19" t="n">
        <f aca="false">AP12*AP20</f>
        <v>479614.722222222</v>
      </c>
      <c r="AQ21" s="19" t="n">
        <f aca="false">AQ12*AQ20</f>
        <v>509600</v>
      </c>
      <c r="AR21" s="19" t="n">
        <f aca="false">AR12*AR20</f>
        <v>539626.388888889</v>
      </c>
      <c r="AS21" s="19" t="n">
        <f aca="false">AS12*AS20</f>
        <v>569688.888888889</v>
      </c>
      <c r="AT21" s="19" t="n">
        <f aca="false">AT12*AT20</f>
        <v>599782.5</v>
      </c>
      <c r="AU21" s="19" t="n">
        <f aca="false">AU12*AU20</f>
        <v>629902.222222222</v>
      </c>
      <c r="AV21" s="19" t="n">
        <f aca="false">AV12*AV20</f>
        <v>660043.055555556</v>
      </c>
      <c r="AW21" s="19" t="n">
        <f aca="false">AW12*AW20</f>
        <v>690200</v>
      </c>
      <c r="AX21" s="19" t="n">
        <f aca="false">AX12*AX20</f>
        <v>734040.423783333</v>
      </c>
      <c r="AY21" s="19" t="n">
        <f aca="false">AY12*AY20</f>
        <v>778231.068866667</v>
      </c>
      <c r="AZ21" s="19" t="n">
        <f aca="false">AZ12*AZ20</f>
        <v>822671.025</v>
      </c>
      <c r="BA21" s="19" t="n">
        <f aca="false">BA12*BA20</f>
        <v>867408.029866667</v>
      </c>
      <c r="BB21" s="19" t="n">
        <f aca="false">BB12*BB20</f>
        <v>912490.562083333</v>
      </c>
      <c r="BC21" s="19" t="n">
        <f aca="false">BC12*BC20</f>
        <v>957816.6</v>
      </c>
      <c r="BD21" s="19" t="n">
        <f aca="false">BD12*BD20</f>
        <v>1003434.43805</v>
      </c>
      <c r="BE21" s="19" t="n">
        <f aca="false">BE12*BE20</f>
        <v>1049393.1032</v>
      </c>
      <c r="BF21" s="19" t="n">
        <f aca="false">BF12*BF20</f>
        <v>1095589.475</v>
      </c>
      <c r="BG21" s="19" t="n">
        <f aca="false">BG12*BG20</f>
        <v>1142072.39833333</v>
      </c>
      <c r="BH21" s="19" t="n">
        <f aca="false">BH12*BH20</f>
        <v>1188891.44221667</v>
      </c>
      <c r="BI21" s="19" t="n">
        <f aca="false">BI12*BI20</f>
        <v>1235942.4</v>
      </c>
    </row>
    <row r="22" customFormat="false" ht="14.25" hidden="false" customHeight="false" outlineLevel="0" collapsed="false">
      <c r="A22" s="51" t="s">
        <v>53</v>
      </c>
      <c r="B22" s="57" t="n">
        <f aca="false">B12-B21</f>
        <v>840</v>
      </c>
      <c r="C22" s="57" t="n">
        <f aca="false">C12-C21</f>
        <v>1810.90909090909</v>
      </c>
      <c r="D22" s="57" t="n">
        <f aca="false">D12-D21</f>
        <v>2954.54545454545</v>
      </c>
      <c r="E22" s="57" t="n">
        <f aca="false">E12-E21</f>
        <v>4250.90909090909</v>
      </c>
      <c r="F22" s="57" t="n">
        <f aca="false">F12-F21</f>
        <v>5672.72727272727</v>
      </c>
      <c r="G22" s="57" t="n">
        <f aca="false">G12-G21</f>
        <v>7272.72727272727</v>
      </c>
      <c r="H22" s="57" t="n">
        <f aca="false">H12-H21</f>
        <v>9025.45454545455</v>
      </c>
      <c r="I22" s="57" t="n">
        <f aca="false">I12-I21</f>
        <v>10898.1818181818</v>
      </c>
      <c r="J22" s="57" t="n">
        <f aca="false">J12-J21</f>
        <v>12954.5454545455</v>
      </c>
      <c r="K22" s="57" t="n">
        <f aca="false">K12-K21</f>
        <v>15163.6363636364</v>
      </c>
      <c r="L22" s="57" t="n">
        <f aca="false">L12-L21</f>
        <v>17487.2727272727</v>
      </c>
      <c r="M22" s="57" t="n">
        <f aca="false">M12-M21</f>
        <v>20000</v>
      </c>
      <c r="N22" s="57" t="n">
        <f aca="false">N12-N21</f>
        <v>26825.5633333333</v>
      </c>
      <c r="O22" s="57" t="n">
        <f aca="false">O12-O21</f>
        <v>33938.18</v>
      </c>
      <c r="P22" s="57" t="n">
        <f aca="false">P12-P21</f>
        <v>41257.125</v>
      </c>
      <c r="Q22" s="57" t="n">
        <f aca="false">Q12-Q21</f>
        <v>48824.7466666667</v>
      </c>
      <c r="R22" s="57" t="n">
        <f aca="false">R12-R21</f>
        <v>56686.5</v>
      </c>
      <c r="S22" s="57" t="n">
        <f aca="false">S12-S21</f>
        <v>64757</v>
      </c>
      <c r="T22" s="57" t="n">
        <f aca="false">T12-T21</f>
        <v>73080.92</v>
      </c>
      <c r="U22" s="57" t="n">
        <f aca="false">U12-U21</f>
        <v>81706.08</v>
      </c>
      <c r="V22" s="57" t="n">
        <f aca="false">V12-V21</f>
        <v>90542.375</v>
      </c>
      <c r="W22" s="57" t="n">
        <f aca="false">W12-W21</f>
        <v>99636.8333333334</v>
      </c>
      <c r="X22" s="57" t="n">
        <f aca="false">X12-X21</f>
        <v>109039.67</v>
      </c>
      <c r="Y22" s="57" t="n">
        <f aca="false">Y12-Y21</f>
        <v>118656</v>
      </c>
      <c r="Z22" s="57" t="n">
        <f aca="false">Z12-Z21</f>
        <v>139008.315416667</v>
      </c>
      <c r="AA22" s="57" t="n">
        <f aca="false">AA12-AA21</f>
        <v>159913.541666667</v>
      </c>
      <c r="AB22" s="57" t="n">
        <f aca="false">AB12-AB21</f>
        <v>181479.375</v>
      </c>
      <c r="AC22" s="57" t="n">
        <f aca="false">AC12-AC21</f>
        <v>203662</v>
      </c>
      <c r="AD22" s="57" t="n">
        <f aca="false">AD12-AD21</f>
        <v>226414.35125</v>
      </c>
      <c r="AE22" s="57" t="n">
        <f aca="false">AE12-AE21</f>
        <v>249849</v>
      </c>
      <c r="AF22" s="57" t="n">
        <f aca="false">AF12-AF21</f>
        <v>273919.702083333</v>
      </c>
      <c r="AG22" s="57" t="n">
        <f aca="false">AG12-AG21</f>
        <v>298576.893333333</v>
      </c>
      <c r="AH22" s="57" t="n">
        <f aca="false">AH12-AH21</f>
        <v>323938.125</v>
      </c>
      <c r="AI22" s="57" t="n">
        <f aca="false">AI12-AI21</f>
        <v>349954.671666667</v>
      </c>
      <c r="AJ22" s="57" t="n">
        <f aca="false">AJ12-AJ21</f>
        <v>376574.417916667</v>
      </c>
      <c r="AK22" s="57" t="n">
        <f aca="false">AK12-AK21</f>
        <v>403920</v>
      </c>
      <c r="AL22" s="57" t="n">
        <f aca="false">AL12-AL21</f>
        <v>443948.611111111</v>
      </c>
      <c r="AM22" s="57" t="n">
        <f aca="false">AM12-AM21</f>
        <v>484711.111111111</v>
      </c>
      <c r="AN22" s="57" t="n">
        <f aca="false">AN12-AN21</f>
        <v>526212.5</v>
      </c>
      <c r="AO22" s="57" t="n">
        <f aca="false">AO12-AO21</f>
        <v>568457.777777778</v>
      </c>
      <c r="AP22" s="57" t="n">
        <f aca="false">AP12-AP21</f>
        <v>611451.944444445</v>
      </c>
      <c r="AQ22" s="57" t="n">
        <f aca="false">AQ12-AQ21</f>
        <v>655200</v>
      </c>
      <c r="AR22" s="57" t="n">
        <f aca="false">AR12-AR21</f>
        <v>699706.944444444</v>
      </c>
      <c r="AS22" s="57" t="n">
        <f aca="false">AS12-AS21</f>
        <v>744977.777777778</v>
      </c>
      <c r="AT22" s="57" t="n">
        <f aca="false">AT12-AT21</f>
        <v>791017.5</v>
      </c>
      <c r="AU22" s="57" t="n">
        <f aca="false">AU12-AU21</f>
        <v>837831.111111111</v>
      </c>
      <c r="AV22" s="57" t="n">
        <f aca="false">AV12-AV21</f>
        <v>885423.611111111</v>
      </c>
      <c r="AW22" s="57" t="n">
        <f aca="false">AW12-AW21</f>
        <v>933800</v>
      </c>
      <c r="AX22" s="57" t="n">
        <f aca="false">AX12-AX21</f>
        <v>995487.376216667</v>
      </c>
      <c r="AY22" s="57" t="n">
        <f aca="false">AY12-AY21</f>
        <v>1057941.33113333</v>
      </c>
      <c r="AZ22" s="57" t="n">
        <f aca="false">AZ12-AZ21</f>
        <v>1121028.975</v>
      </c>
      <c r="BA22" s="57" t="n">
        <f aca="false">BA12-BA21</f>
        <v>1184819.17013333</v>
      </c>
      <c r="BB22" s="57" t="n">
        <f aca="false">BB12-BB21</f>
        <v>1249382.43791667</v>
      </c>
      <c r="BC22" s="57" t="n">
        <f aca="false">BC12-BC21</f>
        <v>1314583.4</v>
      </c>
      <c r="BD22" s="57" t="n">
        <f aca="false">BD12-BD21</f>
        <v>1380492.16195</v>
      </c>
      <c r="BE22" s="57" t="n">
        <f aca="false">BE12-BE21</f>
        <v>1447180.4968</v>
      </c>
      <c r="BF22" s="57" t="n">
        <f aca="false">BF12-BF21</f>
        <v>1514510.525</v>
      </c>
      <c r="BG22" s="57" t="n">
        <f aca="false">BG12-BG21</f>
        <v>1582553.60166667</v>
      </c>
      <c r="BH22" s="57" t="n">
        <f aca="false">BH12-BH21</f>
        <v>1651382.75778333</v>
      </c>
      <c r="BI22" s="57" t="n">
        <f aca="false">BI12-BI21</f>
        <v>1720857.6</v>
      </c>
    </row>
    <row r="23" customFormat="false" ht="14.25" hidden="false" customHeight="false" outlineLevel="0" collapsed="false">
      <c r="A23" s="7" t="s">
        <v>410</v>
      </c>
      <c r="B23" s="22" t="n">
        <f aca="false">IFERROR(B22/B11,0)</f>
        <v>0.04</v>
      </c>
      <c r="C23" s="22" t="n">
        <f aca="false">IFERROR(C22/C11,0)</f>
        <v>0.04</v>
      </c>
      <c r="D23" s="22" t="n">
        <f aca="false">IFERROR(D22/D11,0)</f>
        <v>0.04</v>
      </c>
      <c r="E23" s="22" t="n">
        <f aca="false">IFERROR(E22/E11,0)</f>
        <v>0.04</v>
      </c>
      <c r="F23" s="22" t="n">
        <f aca="false">IFERROR(F22/F11,0)</f>
        <v>0.04</v>
      </c>
      <c r="G23" s="22" t="n">
        <f aca="false">IFERROR(G22/G11,0)</f>
        <v>0.04</v>
      </c>
      <c r="H23" s="22" t="n">
        <f aca="false">IFERROR(H22/H11,0)</f>
        <v>0.04</v>
      </c>
      <c r="I23" s="22" t="n">
        <f aca="false">IFERROR(I22/I11,0)</f>
        <v>0.04</v>
      </c>
      <c r="J23" s="22" t="n">
        <f aca="false">IFERROR(J22/J11,0)</f>
        <v>0.04</v>
      </c>
      <c r="K23" s="22" t="n">
        <f aca="false">IFERROR(K22/K11,0)</f>
        <v>0.04</v>
      </c>
      <c r="L23" s="22" t="n">
        <f aca="false">IFERROR(L22/L11,0)</f>
        <v>0.04</v>
      </c>
      <c r="M23" s="22" t="n">
        <f aca="false">IFERROR(M22/M11,0)</f>
        <v>0.04</v>
      </c>
      <c r="N23" s="22" t="n">
        <f aca="false">IFERROR(N22/N11,0)</f>
        <v>0.0401</v>
      </c>
      <c r="O23" s="22" t="n">
        <f aca="false">IFERROR(O22/O11,0)</f>
        <v>0.0402</v>
      </c>
      <c r="P23" s="22" t="n">
        <f aca="false">IFERROR(P22/P11,0)</f>
        <v>0.0403</v>
      </c>
      <c r="Q23" s="22" t="n">
        <f aca="false">IFERROR(Q22/Q11,0)</f>
        <v>0.0404</v>
      </c>
      <c r="R23" s="22" t="n">
        <f aca="false">IFERROR(R22/R11,0)</f>
        <v>0.0405</v>
      </c>
      <c r="S23" s="22" t="n">
        <f aca="false">IFERROR(S22/S11,0)</f>
        <v>0.0406</v>
      </c>
      <c r="T23" s="22" t="n">
        <f aca="false">IFERROR(T22/T11,0)</f>
        <v>0.0407</v>
      </c>
      <c r="U23" s="22" t="n">
        <f aca="false">IFERROR(U22/U11,0)</f>
        <v>0.0408</v>
      </c>
      <c r="V23" s="22" t="n">
        <f aca="false">IFERROR(V22/V11,0)</f>
        <v>0.0409</v>
      </c>
      <c r="W23" s="22" t="n">
        <f aca="false">IFERROR(W22/W11,0)</f>
        <v>0.041</v>
      </c>
      <c r="X23" s="22" t="n">
        <f aca="false">IFERROR(X22/X11,0)</f>
        <v>0.0411</v>
      </c>
      <c r="Y23" s="22" t="n">
        <f aca="false">IFERROR(Y22/Y11,0)</f>
        <v>0.0412</v>
      </c>
      <c r="Z23" s="22" t="n">
        <f aca="false">IFERROR(Z22/Z11,0)</f>
        <v>0.0414333333333333</v>
      </c>
      <c r="AA23" s="22" t="n">
        <f aca="false">IFERROR(AA22/AA11,0)</f>
        <v>0.0416666666666667</v>
      </c>
      <c r="AB23" s="22" t="n">
        <f aca="false">IFERROR(AB22/AB11,0)</f>
        <v>0.0419</v>
      </c>
      <c r="AC23" s="22" t="n">
        <f aca="false">IFERROR(AC22/AC11,0)</f>
        <v>0.0421333333333333</v>
      </c>
      <c r="AD23" s="22" t="n">
        <f aca="false">IFERROR(AD22/AD11,0)</f>
        <v>0.0423666666666667</v>
      </c>
      <c r="AE23" s="22" t="n">
        <f aca="false">IFERROR(AE22/AE11,0)</f>
        <v>0.0426</v>
      </c>
      <c r="AF23" s="22" t="n">
        <f aca="false">IFERROR(AF22/AF11,0)</f>
        <v>0.0428333333333333</v>
      </c>
      <c r="AG23" s="22" t="n">
        <f aca="false">IFERROR(AG22/AG11,0)</f>
        <v>0.0430666666666667</v>
      </c>
      <c r="AH23" s="22" t="n">
        <f aca="false">IFERROR(AH22/AH11,0)</f>
        <v>0.0433</v>
      </c>
      <c r="AI23" s="22" t="n">
        <f aca="false">IFERROR(AI22/AI11,0)</f>
        <v>0.0435333333333333</v>
      </c>
      <c r="AJ23" s="22" t="n">
        <f aca="false">IFERROR(AJ22/AJ11,0)</f>
        <v>0.0437666666666667</v>
      </c>
      <c r="AK23" s="22" t="n">
        <f aca="false">IFERROR(AK22/AK11,0)</f>
        <v>0.044</v>
      </c>
      <c r="AL23" s="22" t="n">
        <f aca="false">IFERROR(AL22/AL11,0)</f>
        <v>0.0441666666666667</v>
      </c>
      <c r="AM23" s="22" t="n">
        <f aca="false">IFERROR(AM22/AM11,0)</f>
        <v>0.0443333333333333</v>
      </c>
      <c r="AN23" s="22" t="n">
        <f aca="false">IFERROR(AN22/AN11,0)</f>
        <v>0.0445</v>
      </c>
      <c r="AO23" s="22" t="n">
        <f aca="false">IFERROR(AO22/AO11,0)</f>
        <v>0.0446666666666667</v>
      </c>
      <c r="AP23" s="22" t="n">
        <f aca="false">IFERROR(AP22/AP11,0)</f>
        <v>0.0448333333333333</v>
      </c>
      <c r="AQ23" s="22" t="n">
        <f aca="false">IFERROR(AQ22/AQ11,0)</f>
        <v>0.045</v>
      </c>
      <c r="AR23" s="22" t="n">
        <f aca="false">IFERROR(AR22/AR11,0)</f>
        <v>0.0451666666666667</v>
      </c>
      <c r="AS23" s="22" t="n">
        <f aca="false">IFERROR(AS22/AS11,0)</f>
        <v>0.0453333333333333</v>
      </c>
      <c r="AT23" s="22" t="n">
        <f aca="false">IFERROR(AT22/AT11,0)</f>
        <v>0.0455</v>
      </c>
      <c r="AU23" s="22" t="n">
        <f aca="false">IFERROR(AU22/AU11,0)</f>
        <v>0.0456666666666667</v>
      </c>
      <c r="AV23" s="22" t="n">
        <f aca="false">IFERROR(AV22/AV11,0)</f>
        <v>0.0458333333333333</v>
      </c>
      <c r="AW23" s="22" t="n">
        <f aca="false">IFERROR(AW22/AW11,0)</f>
        <v>0.046</v>
      </c>
      <c r="AX23" s="22" t="n">
        <f aca="false">IFERROR(AX22/AX11,0)</f>
        <v>0.0460466666666667</v>
      </c>
      <c r="AY23" s="22" t="n">
        <f aca="false">IFERROR(AY22/AY11,0)</f>
        <v>0.0460933333333333</v>
      </c>
      <c r="AZ23" s="22" t="n">
        <f aca="false">IFERROR(AZ22/AZ11,0)</f>
        <v>0.04614</v>
      </c>
      <c r="BA23" s="22" t="n">
        <f aca="false">IFERROR(BA22/BA11,0)</f>
        <v>0.0461866666666667</v>
      </c>
      <c r="BB23" s="22" t="n">
        <f aca="false">IFERROR(BB22/BB11,0)</f>
        <v>0.0462333333333333</v>
      </c>
      <c r="BC23" s="22" t="n">
        <f aca="false">IFERROR(BC22/BC11,0)</f>
        <v>0.04628</v>
      </c>
      <c r="BD23" s="22" t="n">
        <f aca="false">IFERROR(BD22/BD11,0)</f>
        <v>0.0463266666666667</v>
      </c>
      <c r="BE23" s="22" t="n">
        <f aca="false">IFERROR(BE22/BE11,0)</f>
        <v>0.0463733333333333</v>
      </c>
      <c r="BF23" s="22" t="n">
        <f aca="false">IFERROR(BF22/BF11,0)</f>
        <v>0.04642</v>
      </c>
      <c r="BG23" s="22" t="n">
        <f aca="false">IFERROR(BG22/BG11,0)</f>
        <v>0.0464666666666667</v>
      </c>
      <c r="BH23" s="22" t="n">
        <f aca="false">IFERROR(BH22/BH11,0)</f>
        <v>0.0465133333333333</v>
      </c>
      <c r="BI23" s="22" t="n">
        <f aca="false">IFERROR(BI22/BI11,0)</f>
        <v>0.04656</v>
      </c>
    </row>
    <row r="24" customFormat="false" ht="14.25" hidden="false" customHeight="false" outlineLevel="0" collapsed="false">
      <c r="A24" s="7" t="s">
        <v>411</v>
      </c>
      <c r="B24" s="16" t="n">
        <f aca="false">IFERROR(B11/assumptions!$G$6,0)</f>
        <v>43.75</v>
      </c>
      <c r="C24" s="16" t="n">
        <f aca="false">IFERROR(C11/assumptions!$G$6,0)</f>
        <v>94.3181818181818</v>
      </c>
      <c r="D24" s="16" t="n">
        <f aca="false">IFERROR(D11/assumptions!$G$6,0)</f>
        <v>153.882575757576</v>
      </c>
      <c r="E24" s="16" t="n">
        <f aca="false">IFERROR(E11/assumptions!$G$6,0)</f>
        <v>221.401515151515</v>
      </c>
      <c r="F24" s="16" t="n">
        <f aca="false">IFERROR(F11/assumptions!$G$6,0)</f>
        <v>295.454545454545</v>
      </c>
      <c r="G24" s="16" t="n">
        <f aca="false">IFERROR(G11/assumptions!$G$6,0)</f>
        <v>378.787878787879</v>
      </c>
      <c r="H24" s="16" t="n">
        <f aca="false">IFERROR(H11/assumptions!$G$6,0)</f>
        <v>470.075757575758</v>
      </c>
      <c r="I24" s="16" t="n">
        <f aca="false">IFERROR(I11/assumptions!$G$6,0)</f>
        <v>567.613636363636</v>
      </c>
      <c r="J24" s="16" t="n">
        <f aca="false">IFERROR(J11/assumptions!$G$6,0)</f>
        <v>674.715909090909</v>
      </c>
      <c r="K24" s="16" t="n">
        <f aca="false">IFERROR(K11/assumptions!$G$6,0)</f>
        <v>789.772727272727</v>
      </c>
      <c r="L24" s="16" t="n">
        <f aca="false">IFERROR(L11/assumptions!$G$6,0)</f>
        <v>910.795454545455</v>
      </c>
      <c r="M24" s="16" t="n">
        <f aca="false">IFERROR(M11/assumptions!$G$6,0)</f>
        <v>1041.66666666667</v>
      </c>
      <c r="N24" s="16" t="n">
        <f aca="false">IFERROR(N11/assumptions!$G$6,0)</f>
        <v>1393.68055555556</v>
      </c>
      <c r="O24" s="16" t="n">
        <f aca="false">IFERROR(O11/assumptions!$G$6,0)</f>
        <v>1758.81944444444</v>
      </c>
      <c r="P24" s="16" t="n">
        <f aca="false">IFERROR(P11/assumptions!$G$6,0)</f>
        <v>2132.8125</v>
      </c>
      <c r="Q24" s="16" t="n">
        <f aca="false">IFERROR(Q11/assumptions!$G$6,0)</f>
        <v>2517.77777777778</v>
      </c>
      <c r="R24" s="16" t="n">
        <f aca="false">IFERROR(R11/assumptions!$G$6,0)</f>
        <v>2915.97222222222</v>
      </c>
      <c r="S24" s="16" t="n">
        <f aca="false">IFERROR(S11/assumptions!$G$6,0)</f>
        <v>3322.91666666667</v>
      </c>
      <c r="T24" s="16" t="n">
        <f aca="false">IFERROR(T11/assumptions!$G$6,0)</f>
        <v>3740.83333333333</v>
      </c>
      <c r="U24" s="16" t="n">
        <f aca="false">IFERROR(U11/assumptions!$G$6,0)</f>
        <v>4172.08333333333</v>
      </c>
      <c r="V24" s="16" t="n">
        <f aca="false">IFERROR(V11/assumptions!$G$6,0)</f>
        <v>4611.97916666667</v>
      </c>
      <c r="W24" s="16" t="n">
        <f aca="false">IFERROR(W11/assumptions!$G$6,0)</f>
        <v>5062.84722222222</v>
      </c>
      <c r="X24" s="16" t="n">
        <f aca="false">IFERROR(X11/assumptions!$G$6,0)</f>
        <v>5527.15277777778</v>
      </c>
      <c r="Y24" s="16" t="n">
        <f aca="false">IFERROR(Y11/assumptions!$G$6,0)</f>
        <v>6000</v>
      </c>
      <c r="Z24" s="16" t="n">
        <f aca="false">IFERROR(Z11/assumptions!$G$6,0)</f>
        <v>6989.55729166667</v>
      </c>
      <c r="AA24" s="16" t="n">
        <f aca="false">IFERROR(AA11/assumptions!$G$6,0)</f>
        <v>7995.67708333333</v>
      </c>
      <c r="AB24" s="16" t="n">
        <f aca="false">IFERROR(AB11/assumptions!$G$6,0)</f>
        <v>9023.4375</v>
      </c>
      <c r="AC24" s="16" t="n">
        <f aca="false">IFERROR(AC11/assumptions!$G$6,0)</f>
        <v>10070.3125</v>
      </c>
      <c r="AD24" s="16" t="n">
        <f aca="false">IFERROR(AD11/assumptions!$G$6,0)</f>
        <v>11133.671875</v>
      </c>
      <c r="AE24" s="16" t="n">
        <f aca="false">IFERROR(AE11/assumptions!$G$6,0)</f>
        <v>12218.75</v>
      </c>
      <c r="AF24" s="16" t="n">
        <f aca="false">IFERROR(AF11/assumptions!$G$6,0)</f>
        <v>13322.9427083333</v>
      </c>
      <c r="AG24" s="16" t="n">
        <f aca="false">IFERROR(AG11/assumptions!$G$6,0)</f>
        <v>14443.5416666667</v>
      </c>
      <c r="AH24" s="16" t="n">
        <f aca="false">IFERROR(AH11/assumptions!$G$6,0)</f>
        <v>15585.9375</v>
      </c>
      <c r="AI24" s="16" t="n">
        <f aca="false">IFERROR(AI11/assumptions!$G$6,0)</f>
        <v>16747.4479166667</v>
      </c>
      <c r="AJ24" s="16" t="n">
        <f aca="false">IFERROR(AJ11/assumptions!$G$6,0)</f>
        <v>17925.2864583333</v>
      </c>
      <c r="AK24" s="16" t="n">
        <f aca="false">IFERROR(AK11/assumptions!$G$6,0)</f>
        <v>19125</v>
      </c>
      <c r="AL24" s="16" t="n">
        <f aca="false">IFERROR(AL11/assumptions!$G$6,0)</f>
        <v>20940.9722222222</v>
      </c>
      <c r="AM24" s="16" t="n">
        <f aca="false">IFERROR(AM11/assumptions!$G$6,0)</f>
        <v>22777.7777777778</v>
      </c>
      <c r="AN24" s="16" t="n">
        <f aca="false">IFERROR(AN11/assumptions!$G$6,0)</f>
        <v>24635.4166666667</v>
      </c>
      <c r="AO24" s="16" t="n">
        <f aca="false">IFERROR(AO11/assumptions!$G$6,0)</f>
        <v>26513.8888888889</v>
      </c>
      <c r="AP24" s="16" t="n">
        <f aca="false">IFERROR(AP11/assumptions!$G$6,0)</f>
        <v>28413.1944444444</v>
      </c>
      <c r="AQ24" s="16" t="n">
        <f aca="false">IFERROR(AQ11/assumptions!$G$6,0)</f>
        <v>30333.3333333333</v>
      </c>
      <c r="AR24" s="16" t="n">
        <f aca="false">IFERROR(AR11/assumptions!$G$6,0)</f>
        <v>32274.3055555556</v>
      </c>
      <c r="AS24" s="16" t="n">
        <f aca="false">IFERROR(AS11/assumptions!$G$6,0)</f>
        <v>34236.1111111111</v>
      </c>
      <c r="AT24" s="16" t="n">
        <f aca="false">IFERROR(AT11/assumptions!$G$6,0)</f>
        <v>36218.75</v>
      </c>
      <c r="AU24" s="16" t="n">
        <f aca="false">IFERROR(AU11/assumptions!$G$6,0)</f>
        <v>38222.2222222222</v>
      </c>
      <c r="AV24" s="16" t="n">
        <f aca="false">IFERROR(AV11/assumptions!$G$6,0)</f>
        <v>40246.5277777778</v>
      </c>
      <c r="AW24" s="16" t="n">
        <f aca="false">IFERROR(AW11/assumptions!$G$6,0)</f>
        <v>42291.6666666667</v>
      </c>
      <c r="AX24" s="16" t="n">
        <f aca="false">IFERROR(AX11/assumptions!$G$6,0)</f>
        <v>45039.7864583333</v>
      </c>
      <c r="AY24" s="16" t="n">
        <f aca="false">IFERROR(AY11/assumptions!$G$6,0)</f>
        <v>47816.9895833333</v>
      </c>
      <c r="AZ24" s="16" t="n">
        <f aca="false">IFERROR(AZ11/assumptions!$G$6,0)</f>
        <v>50617.1875</v>
      </c>
      <c r="BA24" s="16" t="n">
        <f aca="false">IFERROR(BA11/assumptions!$G$6,0)</f>
        <v>53443.4166666667</v>
      </c>
      <c r="BB24" s="16" t="n">
        <f aca="false">IFERROR(BB11/assumptions!$G$6,0)</f>
        <v>56298.7760416667</v>
      </c>
      <c r="BC24" s="16" t="n">
        <f aca="false">IFERROR(BC11/assumptions!$G$6,0)</f>
        <v>59177.0833333333</v>
      </c>
      <c r="BD24" s="16" t="n">
        <f aca="false">IFERROR(BD11/assumptions!$G$6,0)</f>
        <v>62081.421875</v>
      </c>
      <c r="BE24" s="16" t="n">
        <f aca="false">IFERROR(BE11/assumptions!$G$6,0)</f>
        <v>65014.9375</v>
      </c>
      <c r="BF24" s="16" t="n">
        <f aca="false">IFERROR(BF11/assumptions!$G$6,0)</f>
        <v>67971.3541666667</v>
      </c>
      <c r="BG24" s="16" t="n">
        <f aca="false">IFERROR(BG11/assumptions!$G$6,0)</f>
        <v>70953.8020833333</v>
      </c>
      <c r="BH24" s="16" t="n">
        <f aca="false">IFERROR(BH11/assumptions!$G$6,0)</f>
        <v>73965.4739583333</v>
      </c>
      <c r="BI24" s="16" t="n">
        <f aca="false">IFERROR(BI11/assumptions!$G$6,0)</f>
        <v>77000</v>
      </c>
    </row>
    <row r="27" customFormat="false" ht="14.25" hidden="false" customHeight="false" outlineLevel="0" collapsed="false">
      <c r="A27" s="51" t="s">
        <v>412</v>
      </c>
    </row>
    <row r="28" customFormat="false" ht="14.25" hidden="false" customHeight="false" outlineLevel="0" collapsed="false">
      <c r="A28" s="2" t="s">
        <v>413</v>
      </c>
      <c r="B28" s="58" t="s">
        <v>42</v>
      </c>
      <c r="C28" s="58" t="s">
        <v>43</v>
      </c>
      <c r="D28" s="58" t="s">
        <v>44</v>
      </c>
      <c r="E28" s="58" t="s">
        <v>45</v>
      </c>
      <c r="F28" s="58" t="s">
        <v>46</v>
      </c>
    </row>
    <row r="29" customFormat="false" ht="14.25" hidden="false" customHeight="false" outlineLevel="0" collapsed="false">
      <c r="A29" s="7" t="s">
        <v>414</v>
      </c>
      <c r="B29" s="15" t="n">
        <f aca="false">M5</f>
        <v>500</v>
      </c>
      <c r="C29" s="15" t="n">
        <f aca="false">Y5</f>
        <v>2400</v>
      </c>
      <c r="D29" s="15" t="n">
        <f aca="false">AK5</f>
        <v>6800</v>
      </c>
      <c r="E29" s="15" t="n">
        <f aca="false">AW5</f>
        <v>14000</v>
      </c>
      <c r="F29" s="15" t="n">
        <f aca="false">BI5</f>
        <v>24000</v>
      </c>
    </row>
    <row r="30" customFormat="false" ht="14.25" hidden="false" customHeight="false" outlineLevel="0" collapsed="false">
      <c r="A30" s="7" t="s">
        <v>14</v>
      </c>
      <c r="B30" s="18" t="n">
        <f aca="false">SUM(B11:M11)</f>
        <v>2708272.72727273</v>
      </c>
      <c r="C30" s="18" t="n">
        <f aca="false">SUM(N11:Y11)</f>
        <v>20715300</v>
      </c>
      <c r="D30" s="18" t="n">
        <f aca="false">SUM(Z11:AK11)</f>
        <v>74199150</v>
      </c>
      <c r="E30" s="18" t="n">
        <f aca="false">SUM(AL11:AW11)</f>
        <v>181010000</v>
      </c>
      <c r="F30" s="18" t="n">
        <f aca="false">SUM(AX11:BI11)</f>
        <v>350102510</v>
      </c>
    </row>
    <row r="31" customFormat="false" ht="14.25" hidden="false" customHeight="false" outlineLevel="0" collapsed="false">
      <c r="A31" s="7" t="s">
        <v>415</v>
      </c>
      <c r="B31" s="18" t="n">
        <f aca="false">SUM(B12:M12)</f>
        <v>216661.818181818</v>
      </c>
      <c r="C31" s="18" t="n">
        <f aca="false">SUM(N12:Y12)</f>
        <v>1657224</v>
      </c>
      <c r="D31" s="18" t="n">
        <f aca="false">SUM(Z12:AK12)</f>
        <v>5935932</v>
      </c>
      <c r="E31" s="18" t="n">
        <f aca="false">SUM(AL12:AW12)</f>
        <v>14480800</v>
      </c>
      <c r="F31" s="18" t="n">
        <f aca="false">SUM(AX12:BI12)</f>
        <v>28008200.8</v>
      </c>
    </row>
    <row r="32" customFormat="false" ht="14.25" hidden="false" customHeight="false" outlineLevel="0" collapsed="false">
      <c r="A32" s="7" t="s">
        <v>416</v>
      </c>
      <c r="B32" s="18" t="n">
        <f aca="false">SUM(B22:M22)</f>
        <v>108330.909090909</v>
      </c>
      <c r="C32" s="18" t="n">
        <f aca="false">SUM(N22:Y22)</f>
        <v>844950.993333333</v>
      </c>
      <c r="D32" s="18" t="n">
        <f aca="false">SUM(Z22:AK22)</f>
        <v>3187210.39333333</v>
      </c>
      <c r="E32" s="18" t="n">
        <f aca="false">SUM(AL22:AW22)</f>
        <v>8182738.88888889</v>
      </c>
      <c r="F32" s="18" t="n">
        <f aca="false">SUM(AX22:BI22)</f>
        <v>16220219.8336</v>
      </c>
    </row>
    <row r="33" customFormat="false" ht="14.25" hidden="false" customHeight="false" outlineLevel="0" collapsed="false">
      <c r="A33" s="7" t="s">
        <v>16</v>
      </c>
      <c r="B33" s="21" t="n">
        <f aca="false">SUM(B22:M22)/SUM(B11:M11)</f>
        <v>0.04</v>
      </c>
      <c r="C33" s="21" t="n">
        <f aca="false">SUM(N22:Y22)/SUM(N11:Y11)</f>
        <v>0.0407887403674257</v>
      </c>
      <c r="D33" s="21" t="n">
        <f aca="false">SUM(Z22:AK22)/SUM(Z11:AK11)</f>
        <v>0.0429548100393783</v>
      </c>
      <c r="E33" s="21" t="n">
        <f aca="false">SUM(AL22:AW22)/SUM(AL11:AW11)</f>
        <v>0.0452060045792436</v>
      </c>
      <c r="F33" s="21" t="n">
        <f aca="false">SUM(AX22:BI22)/SUM(AX11:BI11)</f>
        <v>0.0463299158683552</v>
      </c>
    </row>
    <row r="34" customFormat="false" ht="14.25" hidden="false" customHeight="false" outlineLevel="0" collapsed="false">
      <c r="A34" s="7" t="s">
        <v>417</v>
      </c>
      <c r="B34" s="15" t="n">
        <f aca="false">operator_supply!M5</f>
        <v>155</v>
      </c>
      <c r="C34" s="15" t="n">
        <f aca="false">operator_supply!Y5</f>
        <v>273</v>
      </c>
      <c r="D34" s="15" t="n">
        <f aca="false">operator_supply!AK5</f>
        <v>378</v>
      </c>
      <c r="E34" s="15" t="n">
        <f aca="false">operator_supply!AW5</f>
        <v>471</v>
      </c>
      <c r="F34" s="15" t="n">
        <f aca="false">operator_supply!BI5</f>
        <v>555</v>
      </c>
    </row>
  </sheetData>
  <mergeCells count="1">
    <mergeCell ref="A1:B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61" min="2" style="0" width="11"/>
  </cols>
  <sheetData>
    <row r="1" customFormat="false" ht="21.75" hidden="false" customHeight="true" outlineLevel="0" collapsed="false">
      <c r="A1" s="1" t="s">
        <v>418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3" customFormat="false" ht="14.25" hidden="false" customHeight="false" outlineLevel="0" collapsed="false">
      <c r="A3" s="54" t="s">
        <v>5</v>
      </c>
      <c r="B3" s="36" t="s">
        <v>276</v>
      </c>
      <c r="C3" s="36" t="s">
        <v>277</v>
      </c>
      <c r="D3" s="36" t="s">
        <v>278</v>
      </c>
      <c r="E3" s="36" t="s">
        <v>279</v>
      </c>
      <c r="F3" s="36" t="s">
        <v>280</v>
      </c>
      <c r="G3" s="36" t="s">
        <v>281</v>
      </c>
      <c r="H3" s="36" t="s">
        <v>282</v>
      </c>
      <c r="I3" s="36" t="s">
        <v>283</v>
      </c>
      <c r="J3" s="36" t="s">
        <v>284</v>
      </c>
      <c r="K3" s="36" t="s">
        <v>285</v>
      </c>
      <c r="L3" s="36" t="s">
        <v>286</v>
      </c>
      <c r="M3" s="36" t="s">
        <v>287</v>
      </c>
      <c r="N3" s="36" t="s">
        <v>288</v>
      </c>
      <c r="O3" s="36" t="s">
        <v>289</v>
      </c>
      <c r="P3" s="36" t="s">
        <v>290</v>
      </c>
      <c r="Q3" s="36" t="s">
        <v>291</v>
      </c>
      <c r="R3" s="36" t="s">
        <v>292</v>
      </c>
      <c r="S3" s="36" t="s">
        <v>293</v>
      </c>
      <c r="T3" s="36" t="s">
        <v>294</v>
      </c>
      <c r="U3" s="36" t="s">
        <v>295</v>
      </c>
      <c r="V3" s="36" t="s">
        <v>296</v>
      </c>
      <c r="W3" s="36" t="s">
        <v>297</v>
      </c>
      <c r="X3" s="36" t="s">
        <v>298</v>
      </c>
      <c r="Y3" s="36" t="s">
        <v>299</v>
      </c>
      <c r="Z3" s="36" t="s">
        <v>300</v>
      </c>
      <c r="AA3" s="36" t="s">
        <v>301</v>
      </c>
      <c r="AB3" s="36" t="s">
        <v>302</v>
      </c>
      <c r="AC3" s="36" t="s">
        <v>303</v>
      </c>
      <c r="AD3" s="36" t="s">
        <v>304</v>
      </c>
      <c r="AE3" s="36" t="s">
        <v>305</v>
      </c>
      <c r="AF3" s="36" t="s">
        <v>306</v>
      </c>
      <c r="AG3" s="36" t="s">
        <v>307</v>
      </c>
      <c r="AH3" s="36" t="s">
        <v>308</v>
      </c>
      <c r="AI3" s="36" t="s">
        <v>309</v>
      </c>
      <c r="AJ3" s="36" t="s">
        <v>310</v>
      </c>
      <c r="AK3" s="36" t="s">
        <v>311</v>
      </c>
      <c r="AL3" s="36" t="s">
        <v>312</v>
      </c>
      <c r="AM3" s="36" t="s">
        <v>313</v>
      </c>
      <c r="AN3" s="36" t="s">
        <v>314</v>
      </c>
      <c r="AO3" s="36" t="s">
        <v>315</v>
      </c>
      <c r="AP3" s="36" t="s">
        <v>316</v>
      </c>
      <c r="AQ3" s="36" t="s">
        <v>317</v>
      </c>
      <c r="AR3" s="36" t="s">
        <v>318</v>
      </c>
      <c r="AS3" s="36" t="s">
        <v>319</v>
      </c>
      <c r="AT3" s="36" t="s">
        <v>320</v>
      </c>
      <c r="AU3" s="36" t="s">
        <v>321</v>
      </c>
      <c r="AV3" s="36" t="s">
        <v>322</v>
      </c>
      <c r="AW3" s="36" t="s">
        <v>323</v>
      </c>
      <c r="AX3" s="36" t="s">
        <v>324</v>
      </c>
      <c r="AY3" s="36" t="s">
        <v>325</v>
      </c>
      <c r="AZ3" s="36" t="s">
        <v>326</v>
      </c>
      <c r="BA3" s="36" t="s">
        <v>327</v>
      </c>
      <c r="BB3" s="36" t="s">
        <v>328</v>
      </c>
      <c r="BC3" s="36" t="s">
        <v>329</v>
      </c>
      <c r="BD3" s="36" t="s">
        <v>330</v>
      </c>
      <c r="BE3" s="36" t="s">
        <v>331</v>
      </c>
      <c r="BF3" s="36" t="s">
        <v>332</v>
      </c>
      <c r="BG3" s="36" t="s">
        <v>333</v>
      </c>
      <c r="BH3" s="36" t="s">
        <v>334</v>
      </c>
      <c r="BI3" s="36" t="s">
        <v>335</v>
      </c>
    </row>
    <row r="4" customFormat="false" ht="14.25" hidden="false" customHeight="false" outlineLevel="0" collapsed="false">
      <c r="A4" s="7" t="s">
        <v>155</v>
      </c>
      <c r="B4" s="16" t="n">
        <f aca="false">assumptions!$G$57</f>
        <v>12</v>
      </c>
      <c r="C4" s="16" t="n">
        <f aca="false">assumptions!$G$57</f>
        <v>12</v>
      </c>
      <c r="D4" s="16" t="n">
        <f aca="false">assumptions!$G$57</f>
        <v>12</v>
      </c>
      <c r="E4" s="16" t="n">
        <f aca="false">assumptions!$G$57</f>
        <v>12</v>
      </c>
      <c r="F4" s="16" t="n">
        <f aca="false">assumptions!$G$57</f>
        <v>12</v>
      </c>
      <c r="G4" s="16" t="n">
        <f aca="false">assumptions!$G$57</f>
        <v>12</v>
      </c>
      <c r="H4" s="16" t="n">
        <f aca="false">assumptions!$G$57</f>
        <v>12</v>
      </c>
      <c r="I4" s="16" t="n">
        <f aca="false">assumptions!$G$57</f>
        <v>12</v>
      </c>
      <c r="J4" s="16" t="n">
        <f aca="false">assumptions!$G$57</f>
        <v>12</v>
      </c>
      <c r="K4" s="16" t="n">
        <f aca="false">assumptions!$G$57</f>
        <v>12</v>
      </c>
      <c r="L4" s="16" t="n">
        <f aca="false">assumptions!$G$57</f>
        <v>12</v>
      </c>
      <c r="M4" s="16" t="n">
        <f aca="false">assumptions!$G$57</f>
        <v>12</v>
      </c>
      <c r="N4" s="16" t="n">
        <f aca="false">assumptions!$G$57</f>
        <v>12</v>
      </c>
      <c r="O4" s="16" t="n">
        <f aca="false">assumptions!$G$57</f>
        <v>12</v>
      </c>
      <c r="P4" s="16" t="n">
        <f aca="false">assumptions!$G$57</f>
        <v>12</v>
      </c>
      <c r="Q4" s="16" t="n">
        <f aca="false">assumptions!$G$57</f>
        <v>12</v>
      </c>
      <c r="R4" s="16" t="n">
        <f aca="false">assumptions!$G$57</f>
        <v>12</v>
      </c>
      <c r="S4" s="16" t="n">
        <f aca="false">assumptions!$G$57</f>
        <v>12</v>
      </c>
      <c r="T4" s="16" t="n">
        <f aca="false">assumptions!$G$57</f>
        <v>12</v>
      </c>
      <c r="U4" s="16" t="n">
        <f aca="false">assumptions!$G$57</f>
        <v>12</v>
      </c>
      <c r="V4" s="16" t="n">
        <f aca="false">assumptions!$G$57</f>
        <v>12</v>
      </c>
      <c r="W4" s="16" t="n">
        <f aca="false">assumptions!$G$57</f>
        <v>12</v>
      </c>
      <c r="X4" s="16" t="n">
        <f aca="false">assumptions!$G$57</f>
        <v>12</v>
      </c>
      <c r="Y4" s="16" t="n">
        <f aca="false">assumptions!$G$57</f>
        <v>12</v>
      </c>
      <c r="Z4" s="16" t="n">
        <f aca="false">assumptions!$G$57</f>
        <v>12</v>
      </c>
      <c r="AA4" s="16" t="n">
        <f aca="false">assumptions!$G$57</f>
        <v>12</v>
      </c>
      <c r="AB4" s="16" t="n">
        <f aca="false">assumptions!$G$57</f>
        <v>12</v>
      </c>
      <c r="AC4" s="16" t="n">
        <f aca="false">assumptions!$G$57</f>
        <v>12</v>
      </c>
      <c r="AD4" s="16" t="n">
        <f aca="false">assumptions!$G$57</f>
        <v>12</v>
      </c>
      <c r="AE4" s="16" t="n">
        <f aca="false">assumptions!$G$57</f>
        <v>12</v>
      </c>
      <c r="AF4" s="16" t="n">
        <f aca="false">assumptions!$G$57</f>
        <v>12</v>
      </c>
      <c r="AG4" s="16" t="n">
        <f aca="false">assumptions!$G$57</f>
        <v>12</v>
      </c>
      <c r="AH4" s="16" t="n">
        <f aca="false">assumptions!$G$57</f>
        <v>12</v>
      </c>
      <c r="AI4" s="16" t="n">
        <f aca="false">assumptions!$G$57</f>
        <v>12</v>
      </c>
      <c r="AJ4" s="16" t="n">
        <f aca="false">assumptions!$G$57</f>
        <v>12</v>
      </c>
      <c r="AK4" s="16" t="n">
        <f aca="false">assumptions!$G$57</f>
        <v>12</v>
      </c>
      <c r="AL4" s="16" t="n">
        <f aca="false">assumptions!$G$57</f>
        <v>12</v>
      </c>
      <c r="AM4" s="16" t="n">
        <f aca="false">assumptions!$G$57</f>
        <v>12</v>
      </c>
      <c r="AN4" s="16" t="n">
        <f aca="false">assumptions!$G$57</f>
        <v>12</v>
      </c>
      <c r="AO4" s="16" t="n">
        <f aca="false">assumptions!$G$57</f>
        <v>12</v>
      </c>
      <c r="AP4" s="16" t="n">
        <f aca="false">assumptions!$G$57</f>
        <v>12</v>
      </c>
      <c r="AQ4" s="16" t="n">
        <f aca="false">assumptions!$G$57</f>
        <v>12</v>
      </c>
      <c r="AR4" s="16" t="n">
        <f aca="false">assumptions!$G$57</f>
        <v>12</v>
      </c>
      <c r="AS4" s="16" t="n">
        <f aca="false">assumptions!$G$57</f>
        <v>12</v>
      </c>
      <c r="AT4" s="16" t="n">
        <f aca="false">assumptions!$G$57</f>
        <v>12</v>
      </c>
      <c r="AU4" s="16" t="n">
        <f aca="false">assumptions!$G$57</f>
        <v>12</v>
      </c>
      <c r="AV4" s="16" t="n">
        <f aca="false">assumptions!$G$57</f>
        <v>12</v>
      </c>
      <c r="AW4" s="16" t="n">
        <f aca="false">assumptions!$G$57</f>
        <v>12</v>
      </c>
      <c r="AX4" s="16" t="n">
        <f aca="false">assumptions!$G$57</f>
        <v>12</v>
      </c>
      <c r="AY4" s="16" t="n">
        <f aca="false">assumptions!$G$57</f>
        <v>12</v>
      </c>
      <c r="AZ4" s="16" t="n">
        <f aca="false">assumptions!$G$57</f>
        <v>12</v>
      </c>
      <c r="BA4" s="16" t="n">
        <f aca="false">assumptions!$G$57</f>
        <v>12</v>
      </c>
      <c r="BB4" s="16" t="n">
        <f aca="false">assumptions!$G$57</f>
        <v>12</v>
      </c>
      <c r="BC4" s="16" t="n">
        <f aca="false">assumptions!$G$57</f>
        <v>12</v>
      </c>
      <c r="BD4" s="16" t="n">
        <f aca="false">assumptions!$G$57</f>
        <v>12</v>
      </c>
      <c r="BE4" s="16" t="n">
        <f aca="false">assumptions!$G$57</f>
        <v>12</v>
      </c>
      <c r="BF4" s="16" t="n">
        <f aca="false">assumptions!$G$57</f>
        <v>12</v>
      </c>
      <c r="BG4" s="16" t="n">
        <f aca="false">assumptions!$G$57</f>
        <v>12</v>
      </c>
      <c r="BH4" s="16" t="n">
        <f aca="false">assumptions!$G$57</f>
        <v>12</v>
      </c>
      <c r="BI4" s="16" t="n">
        <f aca="false">assumptions!$G$57</f>
        <v>12</v>
      </c>
    </row>
    <row r="5" customFormat="false" ht="14.25" hidden="false" customHeight="false" outlineLevel="0" collapsed="false">
      <c r="A5" s="2" t="s">
        <v>419</v>
      </c>
      <c r="B5" s="59" t="n">
        <f aca="false">assumptions!$G$56+B4-B6</f>
        <v>32</v>
      </c>
      <c r="C5" s="59" t="n">
        <f aca="false">B5+C4-C6</f>
        <v>44</v>
      </c>
      <c r="D5" s="59" t="n">
        <f aca="false">C5+D4-D6</f>
        <v>56</v>
      </c>
      <c r="E5" s="59" t="n">
        <f aca="false">D5+E4-E6</f>
        <v>67</v>
      </c>
      <c r="F5" s="59" t="n">
        <f aca="false">E5+F4-F6</f>
        <v>78</v>
      </c>
      <c r="G5" s="59" t="n">
        <f aca="false">F5+G4-G6</f>
        <v>89</v>
      </c>
      <c r="H5" s="59" t="n">
        <f aca="false">G5+H4-H6</f>
        <v>100</v>
      </c>
      <c r="I5" s="59" t="n">
        <f aca="false">H5+I4-I6</f>
        <v>111</v>
      </c>
      <c r="J5" s="59" t="n">
        <f aca="false">I5+J4-J6</f>
        <v>122</v>
      </c>
      <c r="K5" s="59" t="n">
        <f aca="false">J5+K4-K6</f>
        <v>133</v>
      </c>
      <c r="L5" s="59" t="n">
        <f aca="false">K5+L4-L6</f>
        <v>144</v>
      </c>
      <c r="M5" s="59" t="n">
        <f aca="false">L5+M4-M6</f>
        <v>155</v>
      </c>
      <c r="N5" s="59" t="n">
        <f aca="false">M5+N4-N6</f>
        <v>165</v>
      </c>
      <c r="O5" s="59" t="n">
        <f aca="false">N5+O4-O6</f>
        <v>175</v>
      </c>
      <c r="P5" s="59" t="n">
        <f aca="false">O5+P4-P6</f>
        <v>185</v>
      </c>
      <c r="Q5" s="59" t="n">
        <f aca="false">P5+Q4-Q6</f>
        <v>195</v>
      </c>
      <c r="R5" s="59" t="n">
        <f aca="false">Q5+R4-R6</f>
        <v>205</v>
      </c>
      <c r="S5" s="59" t="n">
        <f aca="false">R5+S4-S6</f>
        <v>215</v>
      </c>
      <c r="T5" s="59" t="n">
        <f aca="false">S5+T4-T6</f>
        <v>225</v>
      </c>
      <c r="U5" s="59" t="n">
        <f aca="false">T5+U4-U6</f>
        <v>235</v>
      </c>
      <c r="V5" s="59" t="n">
        <f aca="false">U5+V4-V6</f>
        <v>245</v>
      </c>
      <c r="W5" s="59" t="n">
        <f aca="false">V5+W4-W6</f>
        <v>255</v>
      </c>
      <c r="X5" s="59" t="n">
        <f aca="false">W5+X4-X6</f>
        <v>264</v>
      </c>
      <c r="Y5" s="59" t="n">
        <f aca="false">X5+Y4-Y6</f>
        <v>273</v>
      </c>
      <c r="Z5" s="59" t="n">
        <f aca="false">Y5+Z4-Z6</f>
        <v>282</v>
      </c>
      <c r="AA5" s="59" t="n">
        <f aca="false">Z5+AA4-AA6</f>
        <v>291</v>
      </c>
      <c r="AB5" s="59" t="n">
        <f aca="false">AA5+AB4-AB6</f>
        <v>300</v>
      </c>
      <c r="AC5" s="59" t="n">
        <f aca="false">AB5+AC4-AC6</f>
        <v>309</v>
      </c>
      <c r="AD5" s="59" t="n">
        <f aca="false">AC5+AD4-AD6</f>
        <v>318</v>
      </c>
      <c r="AE5" s="59" t="n">
        <f aca="false">AD5+AE4-AE6</f>
        <v>327</v>
      </c>
      <c r="AF5" s="59" t="n">
        <f aca="false">AE5+AF4-AF6</f>
        <v>336</v>
      </c>
      <c r="AG5" s="59" t="n">
        <f aca="false">AF5+AG4-AG6</f>
        <v>345</v>
      </c>
      <c r="AH5" s="59" t="n">
        <f aca="false">AG5+AH4-AH6</f>
        <v>354</v>
      </c>
      <c r="AI5" s="59" t="n">
        <f aca="false">AH5+AI4-AI6</f>
        <v>362</v>
      </c>
      <c r="AJ5" s="59" t="n">
        <f aca="false">AI5+AJ4-AJ6</f>
        <v>370</v>
      </c>
      <c r="AK5" s="59" t="n">
        <f aca="false">AJ5+AK4-AK6</f>
        <v>378</v>
      </c>
      <c r="AL5" s="59" t="n">
        <f aca="false">AK5+AL4-AL6</f>
        <v>386</v>
      </c>
      <c r="AM5" s="59" t="n">
        <f aca="false">AL5+AM4-AM6</f>
        <v>394</v>
      </c>
      <c r="AN5" s="59" t="n">
        <f aca="false">AM5+AN4-AN6</f>
        <v>402</v>
      </c>
      <c r="AO5" s="59" t="n">
        <f aca="false">AN5+AO4-AO6</f>
        <v>410</v>
      </c>
      <c r="AP5" s="59" t="n">
        <f aca="false">AO5+AP4-AP6</f>
        <v>418</v>
      </c>
      <c r="AQ5" s="59" t="n">
        <f aca="false">AP5+AQ4-AQ6</f>
        <v>426</v>
      </c>
      <c r="AR5" s="59" t="n">
        <f aca="false">AQ5+AR4-AR6</f>
        <v>434</v>
      </c>
      <c r="AS5" s="59" t="n">
        <f aca="false">AR5+AS4-AS6</f>
        <v>442</v>
      </c>
      <c r="AT5" s="59" t="n">
        <f aca="false">AS5+AT4-AT6</f>
        <v>450</v>
      </c>
      <c r="AU5" s="59" t="n">
        <f aca="false">AT5+AU4-AU6</f>
        <v>457</v>
      </c>
      <c r="AV5" s="59" t="n">
        <f aca="false">AU5+AV4-AV6</f>
        <v>464</v>
      </c>
      <c r="AW5" s="59" t="n">
        <f aca="false">AV5+AW4-AW6</f>
        <v>471</v>
      </c>
      <c r="AX5" s="59" t="n">
        <f aca="false">AW5+AX4-AX6</f>
        <v>478</v>
      </c>
      <c r="AY5" s="59" t="n">
        <f aca="false">AX5+AY4-AY6</f>
        <v>485</v>
      </c>
      <c r="AZ5" s="59" t="n">
        <f aca="false">AY5+AZ4-AZ6</f>
        <v>492</v>
      </c>
      <c r="BA5" s="59" t="n">
        <f aca="false">AZ5+BA4-BA6</f>
        <v>499</v>
      </c>
      <c r="BB5" s="59" t="n">
        <f aca="false">BA5+BB4-BB6</f>
        <v>506</v>
      </c>
      <c r="BC5" s="59" t="n">
        <f aca="false">BB5+BC4-BC6</f>
        <v>513</v>
      </c>
      <c r="BD5" s="59" t="n">
        <f aca="false">BC5+BD4-BD6</f>
        <v>520</v>
      </c>
      <c r="BE5" s="59" t="n">
        <f aca="false">BD5+BE4-BE6</f>
        <v>527</v>
      </c>
      <c r="BF5" s="59" t="n">
        <f aca="false">BE5+BF4-BF6</f>
        <v>534</v>
      </c>
      <c r="BG5" s="59" t="n">
        <f aca="false">BF5+BG4-BG6</f>
        <v>541</v>
      </c>
      <c r="BH5" s="59" t="n">
        <f aca="false">BG5+BH4-BH6</f>
        <v>548</v>
      </c>
      <c r="BI5" s="59" t="n">
        <f aca="false">BH5+BI4-BI6</f>
        <v>555</v>
      </c>
    </row>
    <row r="6" customFormat="false" ht="14.25" hidden="false" customHeight="false" outlineLevel="0" collapsed="false">
      <c r="A6" s="7" t="s">
        <v>420</v>
      </c>
      <c r="B6" s="16" t="n">
        <f aca="false">ROUND(assumptions!$G$56*assumptions!$G$58,0)</f>
        <v>0</v>
      </c>
      <c r="C6" s="16" t="n">
        <f aca="false">ROUND(B5*assumptions!$G$58,0)</f>
        <v>0</v>
      </c>
      <c r="D6" s="16" t="n">
        <f aca="false">ROUND(C5*assumptions!$G$58,0)</f>
        <v>0</v>
      </c>
      <c r="E6" s="16" t="n">
        <f aca="false">ROUND(D5*assumptions!$G$58,0)</f>
        <v>1</v>
      </c>
      <c r="F6" s="16" t="n">
        <f aca="false">ROUND(E5*assumptions!$G$58,0)</f>
        <v>1</v>
      </c>
      <c r="G6" s="16" t="n">
        <f aca="false">ROUND(F5*assumptions!$G$58,0)</f>
        <v>1</v>
      </c>
      <c r="H6" s="16" t="n">
        <f aca="false">ROUND(G5*assumptions!$G$58,0)</f>
        <v>1</v>
      </c>
      <c r="I6" s="16" t="n">
        <f aca="false">ROUND(H5*assumptions!$G$58,0)</f>
        <v>1</v>
      </c>
      <c r="J6" s="16" t="n">
        <f aca="false">ROUND(I5*assumptions!$G$58,0)</f>
        <v>1</v>
      </c>
      <c r="K6" s="16" t="n">
        <f aca="false">ROUND(J5*assumptions!$G$58,0)</f>
        <v>1</v>
      </c>
      <c r="L6" s="16" t="n">
        <f aca="false">ROUND(K5*assumptions!$G$58,0)</f>
        <v>1</v>
      </c>
      <c r="M6" s="16" t="n">
        <f aca="false">ROUND(L5*assumptions!$G$58,0)</f>
        <v>1</v>
      </c>
      <c r="N6" s="16" t="n">
        <f aca="false">ROUND(M5*assumptions!$G$58,0)</f>
        <v>2</v>
      </c>
      <c r="O6" s="16" t="n">
        <f aca="false">ROUND(N5*assumptions!$G$58,0)</f>
        <v>2</v>
      </c>
      <c r="P6" s="16" t="n">
        <f aca="false">ROUND(O5*assumptions!$G$58,0)</f>
        <v>2</v>
      </c>
      <c r="Q6" s="16" t="n">
        <f aca="false">ROUND(P5*assumptions!$G$58,0)</f>
        <v>2</v>
      </c>
      <c r="R6" s="16" t="n">
        <f aca="false">ROUND(Q5*assumptions!$G$58,0)</f>
        <v>2</v>
      </c>
      <c r="S6" s="16" t="n">
        <f aca="false">ROUND(R5*assumptions!$G$58,0)</f>
        <v>2</v>
      </c>
      <c r="T6" s="16" t="n">
        <f aca="false">ROUND(S5*assumptions!$G$58,0)</f>
        <v>2</v>
      </c>
      <c r="U6" s="16" t="n">
        <f aca="false">ROUND(T5*assumptions!$G$58,0)</f>
        <v>2</v>
      </c>
      <c r="V6" s="16" t="n">
        <f aca="false">ROUND(U5*assumptions!$G$58,0)</f>
        <v>2</v>
      </c>
      <c r="W6" s="16" t="n">
        <f aca="false">ROUND(V5*assumptions!$G$58,0)</f>
        <v>2</v>
      </c>
      <c r="X6" s="16" t="n">
        <f aca="false">ROUND(W5*assumptions!$G$58,0)</f>
        <v>3</v>
      </c>
      <c r="Y6" s="16" t="n">
        <f aca="false">ROUND(X5*assumptions!$G$58,0)</f>
        <v>3</v>
      </c>
      <c r="Z6" s="16" t="n">
        <f aca="false">ROUND(Y5*assumptions!$G$58,0)</f>
        <v>3</v>
      </c>
      <c r="AA6" s="16" t="n">
        <f aca="false">ROUND(Z5*assumptions!$G$58,0)</f>
        <v>3</v>
      </c>
      <c r="AB6" s="16" t="n">
        <f aca="false">ROUND(AA5*assumptions!$G$58,0)</f>
        <v>3</v>
      </c>
      <c r="AC6" s="16" t="n">
        <f aca="false">ROUND(AB5*assumptions!$G$58,0)</f>
        <v>3</v>
      </c>
      <c r="AD6" s="16" t="n">
        <f aca="false">ROUND(AC5*assumptions!$G$58,0)</f>
        <v>3</v>
      </c>
      <c r="AE6" s="16" t="n">
        <f aca="false">ROUND(AD5*assumptions!$G$58,0)</f>
        <v>3</v>
      </c>
      <c r="AF6" s="16" t="n">
        <f aca="false">ROUND(AE5*assumptions!$G$58,0)</f>
        <v>3</v>
      </c>
      <c r="AG6" s="16" t="n">
        <f aca="false">ROUND(AF5*assumptions!$G$58,0)</f>
        <v>3</v>
      </c>
      <c r="AH6" s="16" t="n">
        <f aca="false">ROUND(AG5*assumptions!$G$58,0)</f>
        <v>3</v>
      </c>
      <c r="AI6" s="16" t="n">
        <f aca="false">ROUND(AH5*assumptions!$G$58,0)</f>
        <v>4</v>
      </c>
      <c r="AJ6" s="16" t="n">
        <f aca="false">ROUND(AI5*assumptions!$G$58,0)</f>
        <v>4</v>
      </c>
      <c r="AK6" s="16" t="n">
        <f aca="false">ROUND(AJ5*assumptions!$G$58,0)</f>
        <v>4</v>
      </c>
      <c r="AL6" s="16" t="n">
        <f aca="false">ROUND(AK5*assumptions!$G$58,0)</f>
        <v>4</v>
      </c>
      <c r="AM6" s="16" t="n">
        <f aca="false">ROUND(AL5*assumptions!$G$58,0)</f>
        <v>4</v>
      </c>
      <c r="AN6" s="16" t="n">
        <f aca="false">ROUND(AM5*assumptions!$G$58,0)</f>
        <v>4</v>
      </c>
      <c r="AO6" s="16" t="n">
        <f aca="false">ROUND(AN5*assumptions!$G$58,0)</f>
        <v>4</v>
      </c>
      <c r="AP6" s="16" t="n">
        <f aca="false">ROUND(AO5*assumptions!$G$58,0)</f>
        <v>4</v>
      </c>
      <c r="AQ6" s="16" t="n">
        <f aca="false">ROUND(AP5*assumptions!$G$58,0)</f>
        <v>4</v>
      </c>
      <c r="AR6" s="16" t="n">
        <f aca="false">ROUND(AQ5*assumptions!$G$58,0)</f>
        <v>4</v>
      </c>
      <c r="AS6" s="16" t="n">
        <f aca="false">ROUND(AR5*assumptions!$G$58,0)</f>
        <v>4</v>
      </c>
      <c r="AT6" s="16" t="n">
        <f aca="false">ROUND(AS5*assumptions!$G$58,0)</f>
        <v>4</v>
      </c>
      <c r="AU6" s="16" t="n">
        <f aca="false">ROUND(AT5*assumptions!$G$58,0)</f>
        <v>5</v>
      </c>
      <c r="AV6" s="16" t="n">
        <f aca="false">ROUND(AU5*assumptions!$G$58,0)</f>
        <v>5</v>
      </c>
      <c r="AW6" s="16" t="n">
        <f aca="false">ROUND(AV5*assumptions!$G$58,0)</f>
        <v>5</v>
      </c>
      <c r="AX6" s="16" t="n">
        <f aca="false">ROUND(AW5*assumptions!$G$58,0)</f>
        <v>5</v>
      </c>
      <c r="AY6" s="16" t="n">
        <f aca="false">ROUND(AX5*assumptions!$G$58,0)</f>
        <v>5</v>
      </c>
      <c r="AZ6" s="16" t="n">
        <f aca="false">ROUND(AY5*assumptions!$G$58,0)</f>
        <v>5</v>
      </c>
      <c r="BA6" s="16" t="n">
        <f aca="false">ROUND(AZ5*assumptions!$G$58,0)</f>
        <v>5</v>
      </c>
      <c r="BB6" s="16" t="n">
        <f aca="false">ROUND(BA5*assumptions!$G$58,0)</f>
        <v>5</v>
      </c>
      <c r="BC6" s="16" t="n">
        <f aca="false">ROUND(BB5*assumptions!$G$58,0)</f>
        <v>5</v>
      </c>
      <c r="BD6" s="16" t="n">
        <f aca="false">ROUND(BC5*assumptions!$G$58,0)</f>
        <v>5</v>
      </c>
      <c r="BE6" s="16" t="n">
        <f aca="false">ROUND(BD5*assumptions!$G$58,0)</f>
        <v>5</v>
      </c>
      <c r="BF6" s="16" t="n">
        <f aca="false">ROUND(BE5*assumptions!$G$58,0)</f>
        <v>5</v>
      </c>
      <c r="BG6" s="16" t="n">
        <f aca="false">ROUND(BF5*assumptions!$G$58,0)</f>
        <v>5</v>
      </c>
      <c r="BH6" s="16" t="n">
        <f aca="false">ROUND(BG5*assumptions!$G$58,0)</f>
        <v>5</v>
      </c>
      <c r="BI6" s="16" t="n">
        <f aca="false">ROUND(BH5*assumptions!$G$58,0)</f>
        <v>5</v>
      </c>
    </row>
    <row r="7" customFormat="false" ht="14.25" hidden="false" customHeight="false" outlineLevel="0" collapsed="false">
      <c r="A7" s="7" t="s">
        <v>421</v>
      </c>
      <c r="B7" s="19" t="n">
        <f aca="false">B5*assumptions!$G$59</f>
        <v>960</v>
      </c>
      <c r="C7" s="19" t="n">
        <f aca="false">C5*assumptions!$G$59</f>
        <v>1320</v>
      </c>
      <c r="D7" s="19" t="n">
        <f aca="false">D5*assumptions!$G$59</f>
        <v>1680</v>
      </c>
      <c r="E7" s="19" t="n">
        <f aca="false">E5*assumptions!$G$59</f>
        <v>2010</v>
      </c>
      <c r="F7" s="19" t="n">
        <f aca="false">F5*assumptions!$G$59</f>
        <v>2340</v>
      </c>
      <c r="G7" s="19" t="n">
        <f aca="false">G5*assumptions!$G$59</f>
        <v>2670</v>
      </c>
      <c r="H7" s="19" t="n">
        <f aca="false">H5*assumptions!$G$59</f>
        <v>3000</v>
      </c>
      <c r="I7" s="19" t="n">
        <f aca="false">I5*assumptions!$G$59</f>
        <v>3330</v>
      </c>
      <c r="J7" s="19" t="n">
        <f aca="false">J5*assumptions!$G$59</f>
        <v>3660</v>
      </c>
      <c r="K7" s="19" t="n">
        <f aca="false">K5*assumptions!$G$59</f>
        <v>3990</v>
      </c>
      <c r="L7" s="19" t="n">
        <f aca="false">L5*assumptions!$G$59</f>
        <v>4320</v>
      </c>
      <c r="M7" s="19" t="n">
        <f aca="false">M5*assumptions!$G$59</f>
        <v>4650</v>
      </c>
      <c r="N7" s="19" t="n">
        <f aca="false">N5*assumptions!$G$59</f>
        <v>4950</v>
      </c>
      <c r="O7" s="19" t="n">
        <f aca="false">O5*assumptions!$G$59</f>
        <v>5250</v>
      </c>
      <c r="P7" s="19" t="n">
        <f aca="false">P5*assumptions!$G$59</f>
        <v>5550</v>
      </c>
      <c r="Q7" s="19" t="n">
        <f aca="false">Q5*assumptions!$G$59</f>
        <v>5850</v>
      </c>
      <c r="R7" s="19" t="n">
        <f aca="false">R5*assumptions!$G$59</f>
        <v>6150</v>
      </c>
      <c r="S7" s="19" t="n">
        <f aca="false">S5*assumptions!$G$59</f>
        <v>6450</v>
      </c>
      <c r="T7" s="19" t="n">
        <f aca="false">T5*assumptions!$G$59</f>
        <v>6750</v>
      </c>
      <c r="U7" s="19" t="n">
        <f aca="false">U5*assumptions!$G$59</f>
        <v>7050</v>
      </c>
      <c r="V7" s="19" t="n">
        <f aca="false">V5*assumptions!$G$59</f>
        <v>7350</v>
      </c>
      <c r="W7" s="19" t="n">
        <f aca="false">W5*assumptions!$G$59</f>
        <v>7650</v>
      </c>
      <c r="X7" s="19" t="n">
        <f aca="false">X5*assumptions!$G$59</f>
        <v>7920</v>
      </c>
      <c r="Y7" s="19" t="n">
        <f aca="false">Y5*assumptions!$G$59</f>
        <v>8190</v>
      </c>
      <c r="Z7" s="19" t="n">
        <f aca="false">Z5*assumptions!$G$59</f>
        <v>8460</v>
      </c>
      <c r="AA7" s="19" t="n">
        <f aca="false">AA5*assumptions!$G$59</f>
        <v>8730</v>
      </c>
      <c r="AB7" s="19" t="n">
        <f aca="false">AB5*assumptions!$G$59</f>
        <v>9000</v>
      </c>
      <c r="AC7" s="19" t="n">
        <f aca="false">AC5*assumptions!$G$59</f>
        <v>9270</v>
      </c>
      <c r="AD7" s="19" t="n">
        <f aca="false">AD5*assumptions!$G$59</f>
        <v>9540</v>
      </c>
      <c r="AE7" s="19" t="n">
        <f aca="false">AE5*assumptions!$G$59</f>
        <v>9810</v>
      </c>
      <c r="AF7" s="19" t="n">
        <f aca="false">AF5*assumptions!$G$59</f>
        <v>10080</v>
      </c>
      <c r="AG7" s="19" t="n">
        <f aca="false">AG5*assumptions!$G$59</f>
        <v>10350</v>
      </c>
      <c r="AH7" s="19" t="n">
        <f aca="false">AH5*assumptions!$G$59</f>
        <v>10620</v>
      </c>
      <c r="AI7" s="19" t="n">
        <f aca="false">AI5*assumptions!$G$59</f>
        <v>10860</v>
      </c>
      <c r="AJ7" s="19" t="n">
        <f aca="false">AJ5*assumptions!$G$59</f>
        <v>11100</v>
      </c>
      <c r="AK7" s="19" t="n">
        <f aca="false">AK5*assumptions!$G$59</f>
        <v>11340</v>
      </c>
      <c r="AL7" s="19" t="n">
        <f aca="false">AL5*assumptions!$G$59</f>
        <v>11580</v>
      </c>
      <c r="AM7" s="19" t="n">
        <f aca="false">AM5*assumptions!$G$59</f>
        <v>11820</v>
      </c>
      <c r="AN7" s="19" t="n">
        <f aca="false">AN5*assumptions!$G$59</f>
        <v>12060</v>
      </c>
      <c r="AO7" s="19" t="n">
        <f aca="false">AO5*assumptions!$G$59</f>
        <v>12300</v>
      </c>
      <c r="AP7" s="19" t="n">
        <f aca="false">AP5*assumptions!$G$59</f>
        <v>12540</v>
      </c>
      <c r="AQ7" s="19" t="n">
        <f aca="false">AQ5*assumptions!$G$59</f>
        <v>12780</v>
      </c>
      <c r="AR7" s="19" t="n">
        <f aca="false">AR5*assumptions!$G$59</f>
        <v>13020</v>
      </c>
      <c r="AS7" s="19" t="n">
        <f aca="false">AS5*assumptions!$G$59</f>
        <v>13260</v>
      </c>
      <c r="AT7" s="19" t="n">
        <f aca="false">AT5*assumptions!$G$59</f>
        <v>13500</v>
      </c>
      <c r="AU7" s="19" t="n">
        <f aca="false">AU5*assumptions!$G$59</f>
        <v>13710</v>
      </c>
      <c r="AV7" s="19" t="n">
        <f aca="false">AV5*assumptions!$G$59</f>
        <v>13920</v>
      </c>
      <c r="AW7" s="19" t="n">
        <f aca="false">AW5*assumptions!$G$59</f>
        <v>14130</v>
      </c>
      <c r="AX7" s="19" t="n">
        <f aca="false">AX5*assumptions!$G$59</f>
        <v>14340</v>
      </c>
      <c r="AY7" s="19" t="n">
        <f aca="false">AY5*assumptions!$G$59</f>
        <v>14550</v>
      </c>
      <c r="AZ7" s="19" t="n">
        <f aca="false">AZ5*assumptions!$G$59</f>
        <v>14760</v>
      </c>
      <c r="BA7" s="19" t="n">
        <f aca="false">BA5*assumptions!$G$59</f>
        <v>14970</v>
      </c>
      <c r="BB7" s="19" t="n">
        <f aca="false">BB5*assumptions!$G$59</f>
        <v>15180</v>
      </c>
      <c r="BC7" s="19" t="n">
        <f aca="false">BC5*assumptions!$G$59</f>
        <v>15390</v>
      </c>
      <c r="BD7" s="19" t="n">
        <f aca="false">BD5*assumptions!$G$59</f>
        <v>15600</v>
      </c>
      <c r="BE7" s="19" t="n">
        <f aca="false">BE5*assumptions!$G$59</f>
        <v>15810</v>
      </c>
      <c r="BF7" s="19" t="n">
        <f aca="false">BF5*assumptions!$G$59</f>
        <v>16020</v>
      </c>
      <c r="BG7" s="19" t="n">
        <f aca="false">BG5*assumptions!$G$59</f>
        <v>16230</v>
      </c>
      <c r="BH7" s="19" t="n">
        <f aca="false">BH5*assumptions!$G$59</f>
        <v>16440</v>
      </c>
      <c r="BI7" s="19" t="n">
        <f aca="false">BI5*assumptions!$G$59</f>
        <v>16650</v>
      </c>
    </row>
  </sheetData>
  <mergeCells count="1">
    <mergeCell ref="A1:B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38" activeCellId="0" sqref="A3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61" min="2" style="0" width="12"/>
  </cols>
  <sheetData>
    <row r="1" customFormat="false" ht="21.75" hidden="false" customHeight="true" outlineLevel="0" collapsed="false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3" customFormat="false" ht="14.25" hidden="false" customHeight="false" outlineLevel="0" collapsed="false">
      <c r="A3" s="54" t="s">
        <v>5</v>
      </c>
      <c r="B3" s="36" t="s">
        <v>276</v>
      </c>
      <c r="C3" s="36" t="s">
        <v>277</v>
      </c>
      <c r="D3" s="36" t="s">
        <v>278</v>
      </c>
      <c r="E3" s="36" t="s">
        <v>279</v>
      </c>
      <c r="F3" s="36" t="s">
        <v>280</v>
      </c>
      <c r="G3" s="36" t="s">
        <v>281</v>
      </c>
      <c r="H3" s="36" t="s">
        <v>282</v>
      </c>
      <c r="I3" s="36" t="s">
        <v>283</v>
      </c>
      <c r="J3" s="36" t="s">
        <v>284</v>
      </c>
      <c r="K3" s="36" t="s">
        <v>285</v>
      </c>
      <c r="L3" s="36" t="s">
        <v>286</v>
      </c>
      <c r="M3" s="36" t="s">
        <v>287</v>
      </c>
      <c r="N3" s="36" t="s">
        <v>288</v>
      </c>
      <c r="O3" s="36" t="s">
        <v>289</v>
      </c>
      <c r="P3" s="36" t="s">
        <v>290</v>
      </c>
      <c r="Q3" s="36" t="s">
        <v>291</v>
      </c>
      <c r="R3" s="36" t="s">
        <v>292</v>
      </c>
      <c r="S3" s="36" t="s">
        <v>293</v>
      </c>
      <c r="T3" s="36" t="s">
        <v>294</v>
      </c>
      <c r="U3" s="36" t="s">
        <v>295</v>
      </c>
      <c r="V3" s="36" t="s">
        <v>296</v>
      </c>
      <c r="W3" s="36" t="s">
        <v>297</v>
      </c>
      <c r="X3" s="36" t="s">
        <v>298</v>
      </c>
      <c r="Y3" s="36" t="s">
        <v>299</v>
      </c>
      <c r="Z3" s="36" t="s">
        <v>300</v>
      </c>
      <c r="AA3" s="36" t="s">
        <v>301</v>
      </c>
      <c r="AB3" s="36" t="s">
        <v>302</v>
      </c>
      <c r="AC3" s="36" t="s">
        <v>303</v>
      </c>
      <c r="AD3" s="36" t="s">
        <v>304</v>
      </c>
      <c r="AE3" s="36" t="s">
        <v>305</v>
      </c>
      <c r="AF3" s="36" t="s">
        <v>306</v>
      </c>
      <c r="AG3" s="36" t="s">
        <v>307</v>
      </c>
      <c r="AH3" s="36" t="s">
        <v>308</v>
      </c>
      <c r="AI3" s="36" t="s">
        <v>309</v>
      </c>
      <c r="AJ3" s="36" t="s">
        <v>310</v>
      </c>
      <c r="AK3" s="36" t="s">
        <v>311</v>
      </c>
      <c r="AL3" s="36" t="s">
        <v>312</v>
      </c>
      <c r="AM3" s="36" t="s">
        <v>313</v>
      </c>
      <c r="AN3" s="36" t="s">
        <v>314</v>
      </c>
      <c r="AO3" s="36" t="s">
        <v>315</v>
      </c>
      <c r="AP3" s="36" t="s">
        <v>316</v>
      </c>
      <c r="AQ3" s="36" t="s">
        <v>317</v>
      </c>
      <c r="AR3" s="36" t="s">
        <v>318</v>
      </c>
      <c r="AS3" s="36" t="s">
        <v>319</v>
      </c>
      <c r="AT3" s="36" t="s">
        <v>320</v>
      </c>
      <c r="AU3" s="36" t="s">
        <v>321</v>
      </c>
      <c r="AV3" s="36" t="s">
        <v>322</v>
      </c>
      <c r="AW3" s="36" t="s">
        <v>323</v>
      </c>
      <c r="AX3" s="36" t="s">
        <v>324</v>
      </c>
      <c r="AY3" s="36" t="s">
        <v>325</v>
      </c>
      <c r="AZ3" s="36" t="s">
        <v>326</v>
      </c>
      <c r="BA3" s="36" t="s">
        <v>327</v>
      </c>
      <c r="BB3" s="36" t="s">
        <v>328</v>
      </c>
      <c r="BC3" s="36" t="s">
        <v>329</v>
      </c>
      <c r="BD3" s="36" t="s">
        <v>330</v>
      </c>
      <c r="BE3" s="36" t="s">
        <v>331</v>
      </c>
      <c r="BF3" s="36" t="s">
        <v>332</v>
      </c>
      <c r="BG3" s="36" t="s">
        <v>333</v>
      </c>
      <c r="BH3" s="36" t="s">
        <v>334</v>
      </c>
      <c r="BI3" s="36" t="s">
        <v>335</v>
      </c>
    </row>
    <row r="4" customFormat="false" ht="14.25" hidden="false" customHeight="false" outlineLevel="0" collapsed="false">
      <c r="A4" s="51" t="s">
        <v>423</v>
      </c>
    </row>
    <row r="5" customFormat="false" ht="14.25" hidden="false" customHeight="false" outlineLevel="0" collapsed="false">
      <c r="A5" s="2" t="s">
        <v>424</v>
      </c>
      <c r="B5" s="18" t="n">
        <f aca="false">creator_cohorts!B22</f>
        <v>840</v>
      </c>
      <c r="C5" s="18" t="n">
        <f aca="false">creator_cohorts!C22</f>
        <v>1810.90909090909</v>
      </c>
      <c r="D5" s="18" t="n">
        <f aca="false">creator_cohorts!D22</f>
        <v>2954.54545454545</v>
      </c>
      <c r="E5" s="18" t="n">
        <f aca="false">creator_cohorts!E22</f>
        <v>4250.90909090909</v>
      </c>
      <c r="F5" s="18" t="n">
        <f aca="false">creator_cohorts!F22</f>
        <v>5672.72727272727</v>
      </c>
      <c r="G5" s="18" t="n">
        <f aca="false">creator_cohorts!G22</f>
        <v>7272.72727272727</v>
      </c>
      <c r="H5" s="18" t="n">
        <f aca="false">creator_cohorts!H22</f>
        <v>9025.45454545455</v>
      </c>
      <c r="I5" s="18" t="n">
        <f aca="false">creator_cohorts!I22</f>
        <v>10898.1818181818</v>
      </c>
      <c r="J5" s="18" t="n">
        <f aca="false">creator_cohorts!J22</f>
        <v>12954.5454545455</v>
      </c>
      <c r="K5" s="18" t="n">
        <f aca="false">creator_cohorts!K22</f>
        <v>15163.6363636364</v>
      </c>
      <c r="L5" s="18" t="n">
        <f aca="false">creator_cohorts!L22</f>
        <v>17487.2727272727</v>
      </c>
      <c r="M5" s="18" t="n">
        <f aca="false">creator_cohorts!M22</f>
        <v>20000</v>
      </c>
      <c r="N5" s="18" t="n">
        <f aca="false">creator_cohorts!N22</f>
        <v>26825.5633333333</v>
      </c>
      <c r="O5" s="18" t="n">
        <f aca="false">creator_cohorts!O22</f>
        <v>33938.18</v>
      </c>
      <c r="P5" s="18" t="n">
        <f aca="false">creator_cohorts!P22</f>
        <v>41257.125</v>
      </c>
      <c r="Q5" s="18" t="n">
        <f aca="false">creator_cohorts!Q22</f>
        <v>48824.7466666667</v>
      </c>
      <c r="R5" s="18" t="n">
        <f aca="false">creator_cohorts!R22</f>
        <v>56686.5</v>
      </c>
      <c r="S5" s="18" t="n">
        <f aca="false">creator_cohorts!S22</f>
        <v>64757</v>
      </c>
      <c r="T5" s="18" t="n">
        <f aca="false">creator_cohorts!T22</f>
        <v>73080.92</v>
      </c>
      <c r="U5" s="18" t="n">
        <f aca="false">creator_cohorts!U22</f>
        <v>81706.08</v>
      </c>
      <c r="V5" s="18" t="n">
        <f aca="false">creator_cohorts!V22</f>
        <v>90542.375</v>
      </c>
      <c r="W5" s="18" t="n">
        <f aca="false">creator_cohorts!W22</f>
        <v>99636.8333333334</v>
      </c>
      <c r="X5" s="18" t="n">
        <f aca="false">creator_cohorts!X22</f>
        <v>109039.67</v>
      </c>
      <c r="Y5" s="18" t="n">
        <f aca="false">creator_cohorts!Y22</f>
        <v>118656</v>
      </c>
      <c r="Z5" s="18" t="n">
        <f aca="false">creator_cohorts!Z22</f>
        <v>139008.315416667</v>
      </c>
      <c r="AA5" s="18" t="n">
        <f aca="false">creator_cohorts!AA22</f>
        <v>159913.541666667</v>
      </c>
      <c r="AB5" s="18" t="n">
        <f aca="false">creator_cohorts!AB22</f>
        <v>181479.375</v>
      </c>
      <c r="AC5" s="18" t="n">
        <f aca="false">creator_cohorts!AC22</f>
        <v>203662</v>
      </c>
      <c r="AD5" s="18" t="n">
        <f aca="false">creator_cohorts!AD22</f>
        <v>226414.35125</v>
      </c>
      <c r="AE5" s="18" t="n">
        <f aca="false">creator_cohorts!AE22</f>
        <v>249849</v>
      </c>
      <c r="AF5" s="18" t="n">
        <f aca="false">creator_cohorts!AF22</f>
        <v>273919.702083333</v>
      </c>
      <c r="AG5" s="18" t="n">
        <f aca="false">creator_cohorts!AG22</f>
        <v>298576.893333333</v>
      </c>
      <c r="AH5" s="18" t="n">
        <f aca="false">creator_cohorts!AH22</f>
        <v>323938.125</v>
      </c>
      <c r="AI5" s="18" t="n">
        <f aca="false">creator_cohorts!AI22</f>
        <v>349954.671666667</v>
      </c>
      <c r="AJ5" s="18" t="n">
        <f aca="false">creator_cohorts!AJ22</f>
        <v>376574.417916667</v>
      </c>
      <c r="AK5" s="18" t="n">
        <f aca="false">creator_cohorts!AK22</f>
        <v>403920</v>
      </c>
      <c r="AL5" s="18" t="n">
        <f aca="false">creator_cohorts!AL22</f>
        <v>443948.611111111</v>
      </c>
      <c r="AM5" s="18" t="n">
        <f aca="false">creator_cohorts!AM22</f>
        <v>484711.111111111</v>
      </c>
      <c r="AN5" s="18" t="n">
        <f aca="false">creator_cohorts!AN22</f>
        <v>526212.5</v>
      </c>
      <c r="AO5" s="18" t="n">
        <f aca="false">creator_cohorts!AO22</f>
        <v>568457.777777778</v>
      </c>
      <c r="AP5" s="18" t="n">
        <f aca="false">creator_cohorts!AP22</f>
        <v>611451.944444445</v>
      </c>
      <c r="AQ5" s="18" t="n">
        <f aca="false">creator_cohorts!AQ22</f>
        <v>655200</v>
      </c>
      <c r="AR5" s="18" t="n">
        <f aca="false">creator_cohorts!AR22</f>
        <v>699706.944444444</v>
      </c>
      <c r="AS5" s="18" t="n">
        <f aca="false">creator_cohorts!AS22</f>
        <v>744977.777777778</v>
      </c>
      <c r="AT5" s="18" t="n">
        <f aca="false">creator_cohorts!AT22</f>
        <v>791017.5</v>
      </c>
      <c r="AU5" s="18" t="n">
        <f aca="false">creator_cohorts!AU22</f>
        <v>837831.111111111</v>
      </c>
      <c r="AV5" s="18" t="n">
        <f aca="false">creator_cohorts!AV22</f>
        <v>885423.611111111</v>
      </c>
      <c r="AW5" s="18" t="n">
        <f aca="false">creator_cohorts!AW22</f>
        <v>933800</v>
      </c>
      <c r="AX5" s="18" t="n">
        <f aca="false">creator_cohorts!AX22</f>
        <v>995487.376216667</v>
      </c>
      <c r="AY5" s="18" t="n">
        <f aca="false">creator_cohorts!AY22</f>
        <v>1057941.33113333</v>
      </c>
      <c r="AZ5" s="18" t="n">
        <f aca="false">creator_cohorts!AZ22</f>
        <v>1121028.975</v>
      </c>
      <c r="BA5" s="18" t="n">
        <f aca="false">creator_cohorts!BA22</f>
        <v>1184819.17013333</v>
      </c>
      <c r="BB5" s="18" t="n">
        <f aca="false">creator_cohorts!BB22</f>
        <v>1249382.43791667</v>
      </c>
      <c r="BC5" s="18" t="n">
        <f aca="false">creator_cohorts!BC22</f>
        <v>1314583.4</v>
      </c>
      <c r="BD5" s="18" t="n">
        <f aca="false">creator_cohorts!BD22</f>
        <v>1380492.16195</v>
      </c>
      <c r="BE5" s="18" t="n">
        <f aca="false">creator_cohorts!BE22</f>
        <v>1447180.4968</v>
      </c>
      <c r="BF5" s="18" t="n">
        <f aca="false">creator_cohorts!BF22</f>
        <v>1514510.525</v>
      </c>
      <c r="BG5" s="18" t="n">
        <f aca="false">creator_cohorts!BG22</f>
        <v>1582553.60166667</v>
      </c>
      <c r="BH5" s="18" t="n">
        <f aca="false">creator_cohorts!BH22</f>
        <v>1651382.75778333</v>
      </c>
      <c r="BI5" s="18" t="n">
        <f aca="false">creator_cohorts!BI22</f>
        <v>1720857.6</v>
      </c>
    </row>
    <row r="6" customFormat="false" ht="14.25" hidden="false" customHeight="false" outlineLevel="0" collapsed="false">
      <c r="A6" s="7" t="s">
        <v>425</v>
      </c>
      <c r="B6" s="19" t="n">
        <f aca="false">creator_cohorts!B11*assumptions!$G$61+creator_cohorts!B24*assumptions!$G$62</f>
        <v>323.75</v>
      </c>
      <c r="C6" s="19" t="n">
        <f aca="false">creator_cohorts!C11*assumptions!$G$61+creator_cohorts!C24*assumptions!$G$62</f>
        <v>697.954545454546</v>
      </c>
      <c r="D6" s="19" t="n">
        <f aca="false">creator_cohorts!D11*assumptions!$G$61+creator_cohorts!D24*assumptions!$G$62</f>
        <v>1138.73106060606</v>
      </c>
      <c r="E6" s="19" t="n">
        <f aca="false">creator_cohorts!E11*assumptions!$G$61+creator_cohorts!E24*assumptions!$G$62</f>
        <v>1638.37121212121</v>
      </c>
      <c r="F6" s="19" t="n">
        <f aca="false">creator_cohorts!F11*assumptions!$G$61+creator_cohorts!F24*assumptions!$G$62</f>
        <v>2186.36363636364</v>
      </c>
      <c r="G6" s="19" t="n">
        <f aca="false">creator_cohorts!G11*assumptions!$G$61+creator_cohorts!G24*assumptions!$G$62</f>
        <v>2803.0303030303</v>
      </c>
      <c r="H6" s="19" t="n">
        <f aca="false">creator_cohorts!H11*assumptions!$G$61+creator_cohorts!H24*assumptions!$G$62</f>
        <v>3478.56060606061</v>
      </c>
      <c r="I6" s="19" t="n">
        <f aca="false">creator_cohorts!I11*assumptions!$G$61+creator_cohorts!I24*assumptions!$G$62</f>
        <v>4200.34090909091</v>
      </c>
      <c r="J6" s="19" t="n">
        <f aca="false">creator_cohorts!J11*assumptions!$G$61+creator_cohorts!J24*assumptions!$G$62</f>
        <v>4992.89772727273</v>
      </c>
      <c r="K6" s="19" t="n">
        <f aca="false">creator_cohorts!K11*assumptions!$G$61+creator_cohorts!K24*assumptions!$G$62</f>
        <v>5844.31818181818</v>
      </c>
      <c r="L6" s="19" t="n">
        <f aca="false">creator_cohorts!L11*assumptions!$G$61+creator_cohorts!L24*assumptions!$G$62</f>
        <v>6739.88636363636</v>
      </c>
      <c r="M6" s="19" t="n">
        <f aca="false">creator_cohorts!M11*assumptions!$G$61+creator_cohorts!M24*assumptions!$G$62</f>
        <v>7708.33333333333</v>
      </c>
      <c r="N6" s="19" t="n">
        <f aca="false">creator_cohorts!N11*assumptions!$G$61+creator_cohorts!N24*assumptions!$G$62</f>
        <v>10313.2361111111</v>
      </c>
      <c r="O6" s="19" t="n">
        <f aca="false">creator_cohorts!O11*assumptions!$G$61+creator_cohorts!O24*assumptions!$G$62</f>
        <v>13015.2638888889</v>
      </c>
      <c r="P6" s="19" t="n">
        <f aca="false">creator_cohorts!P11*assumptions!$G$61+creator_cohorts!P24*assumptions!$G$62</f>
        <v>15782.8125</v>
      </c>
      <c r="Q6" s="19" t="n">
        <f aca="false">creator_cohorts!Q11*assumptions!$G$61+creator_cohorts!Q24*assumptions!$G$62</f>
        <v>18631.5555555556</v>
      </c>
      <c r="R6" s="19" t="n">
        <f aca="false">creator_cohorts!R11*assumptions!$G$61+creator_cohorts!R24*assumptions!$G$62</f>
        <v>21578.1944444444</v>
      </c>
      <c r="S6" s="19" t="n">
        <f aca="false">creator_cohorts!S11*assumptions!$G$61+creator_cohorts!S24*assumptions!$G$62</f>
        <v>24589.5833333333</v>
      </c>
      <c r="T6" s="19" t="n">
        <f aca="false">creator_cohorts!T11*assumptions!$G$61+creator_cohorts!T24*assumptions!$G$62</f>
        <v>27682.1666666667</v>
      </c>
      <c r="U6" s="19" t="n">
        <f aca="false">creator_cohorts!U11*assumptions!$G$61+creator_cohorts!U24*assumptions!$G$62</f>
        <v>30873.4166666667</v>
      </c>
      <c r="V6" s="19" t="n">
        <f aca="false">creator_cohorts!V11*assumptions!$G$61+creator_cohorts!V24*assumptions!$G$62</f>
        <v>34128.6458333333</v>
      </c>
      <c r="W6" s="19" t="n">
        <f aca="false">creator_cohorts!W11*assumptions!$G$61+creator_cohorts!W24*assumptions!$G$62</f>
        <v>37465.0694444444</v>
      </c>
      <c r="X6" s="19" t="n">
        <f aca="false">creator_cohorts!X11*assumptions!$G$61+creator_cohorts!X24*assumptions!$G$62</f>
        <v>40900.9305555556</v>
      </c>
      <c r="Y6" s="19" t="n">
        <f aca="false">creator_cohorts!Y11*assumptions!$G$61+creator_cohorts!Y24*assumptions!$G$62</f>
        <v>44400</v>
      </c>
      <c r="Z6" s="19" t="n">
        <f aca="false">creator_cohorts!Z11*assumptions!$G$61+creator_cohorts!Z24*assumptions!$G$62</f>
        <v>51722.7239583333</v>
      </c>
      <c r="AA6" s="19" t="n">
        <f aca="false">creator_cohorts!AA11*assumptions!$G$61+creator_cohorts!AA24*assumptions!$G$62</f>
        <v>59168.0104166667</v>
      </c>
      <c r="AB6" s="19" t="n">
        <f aca="false">creator_cohorts!AB11*assumptions!$G$61+creator_cohorts!AB24*assumptions!$G$62</f>
        <v>66773.4375</v>
      </c>
      <c r="AC6" s="19" t="n">
        <f aca="false">creator_cohorts!AC11*assumptions!$G$61+creator_cohorts!AC24*assumptions!$G$62</f>
        <v>74520.3125</v>
      </c>
      <c r="AD6" s="19" t="n">
        <f aca="false">creator_cohorts!AD11*assumptions!$G$61+creator_cohorts!AD24*assumptions!$G$62</f>
        <v>82389.171875</v>
      </c>
      <c r="AE6" s="19" t="n">
        <f aca="false">creator_cohorts!AE11*assumptions!$G$61+creator_cohorts!AE24*assumptions!$G$62</f>
        <v>90418.75</v>
      </c>
      <c r="AF6" s="19" t="n">
        <f aca="false">creator_cohorts!AF11*assumptions!$G$61+creator_cohorts!AF24*assumptions!$G$62</f>
        <v>98589.7760416667</v>
      </c>
      <c r="AG6" s="19" t="n">
        <f aca="false">creator_cohorts!AG11*assumptions!$G$61+creator_cohorts!AG24*assumptions!$G$62</f>
        <v>106882.208333333</v>
      </c>
      <c r="AH6" s="19" t="n">
        <f aca="false">creator_cohorts!AH11*assumptions!$G$61+creator_cohorts!AH24*assumptions!$G$62</f>
        <v>115335.9375</v>
      </c>
      <c r="AI6" s="19" t="n">
        <f aca="false">creator_cohorts!AI11*assumptions!$G$61+creator_cohorts!AI24*assumptions!$G$62</f>
        <v>123931.114583333</v>
      </c>
      <c r="AJ6" s="19" t="n">
        <f aca="false">creator_cohorts!AJ11*assumptions!$G$61+creator_cohorts!AJ24*assumptions!$G$62</f>
        <v>132647.119791667</v>
      </c>
      <c r="AK6" s="19" t="n">
        <f aca="false">creator_cohorts!AK11*assumptions!$G$61+creator_cohorts!AK24*assumptions!$G$62</f>
        <v>141525</v>
      </c>
      <c r="AL6" s="19" t="n">
        <f aca="false">creator_cohorts!AL11*assumptions!$G$61+creator_cohorts!AL24*assumptions!$G$62</f>
        <v>154963.194444444</v>
      </c>
      <c r="AM6" s="19" t="n">
        <f aca="false">creator_cohorts!AM11*assumptions!$G$61+creator_cohorts!AM24*assumptions!$G$62</f>
        <v>168555.555555556</v>
      </c>
      <c r="AN6" s="19" t="n">
        <f aca="false">creator_cohorts!AN11*assumptions!$G$61+creator_cohorts!AN24*assumptions!$G$62</f>
        <v>182302.083333333</v>
      </c>
      <c r="AO6" s="19" t="n">
        <f aca="false">creator_cohorts!AO11*assumptions!$G$61+creator_cohorts!AO24*assumptions!$G$62</f>
        <v>196202.777777778</v>
      </c>
      <c r="AP6" s="19" t="n">
        <f aca="false">creator_cohorts!AP11*assumptions!$G$61+creator_cohorts!AP24*assumptions!$G$62</f>
        <v>210257.638888889</v>
      </c>
      <c r="AQ6" s="19" t="n">
        <f aca="false">creator_cohorts!AQ11*assumptions!$G$61+creator_cohorts!AQ24*assumptions!$G$62</f>
        <v>224466.666666667</v>
      </c>
      <c r="AR6" s="19" t="n">
        <f aca="false">creator_cohorts!AR11*assumptions!$G$61+creator_cohorts!AR24*assumptions!$G$62</f>
        <v>238829.861111111</v>
      </c>
      <c r="AS6" s="19" t="n">
        <f aca="false">creator_cohorts!AS11*assumptions!$G$61+creator_cohorts!AS24*assumptions!$G$62</f>
        <v>253347.222222222</v>
      </c>
      <c r="AT6" s="19" t="n">
        <f aca="false">creator_cohorts!AT11*assumptions!$G$61+creator_cohorts!AT24*assumptions!$G$62</f>
        <v>268018.75</v>
      </c>
      <c r="AU6" s="19" t="n">
        <f aca="false">creator_cohorts!AU11*assumptions!$G$61+creator_cohorts!AU24*assumptions!$G$62</f>
        <v>282844.444444444</v>
      </c>
      <c r="AV6" s="19" t="n">
        <f aca="false">creator_cohorts!AV11*assumptions!$G$61+creator_cohorts!AV24*assumptions!$G$62</f>
        <v>297824.305555556</v>
      </c>
      <c r="AW6" s="19" t="n">
        <f aca="false">creator_cohorts!AW11*assumptions!$G$61+creator_cohorts!AW24*assumptions!$G$62</f>
        <v>312958.333333333</v>
      </c>
      <c r="AX6" s="19" t="n">
        <f aca="false">creator_cohorts!AX11*assumptions!$G$61+creator_cohorts!AX24*assumptions!$G$62</f>
        <v>333294.419791667</v>
      </c>
      <c r="AY6" s="19" t="n">
        <f aca="false">creator_cohorts!AY11*assumptions!$G$61+creator_cohorts!AY24*assumptions!$G$62</f>
        <v>353845.722916667</v>
      </c>
      <c r="AZ6" s="19" t="n">
        <f aca="false">creator_cohorts!AZ11*assumptions!$G$61+creator_cohorts!AZ24*assumptions!$G$62</f>
        <v>374567.1875</v>
      </c>
      <c r="BA6" s="19" t="n">
        <f aca="false">creator_cohorts!BA11*assumptions!$G$61+creator_cohorts!BA24*assumptions!$G$62</f>
        <v>395481.283333333</v>
      </c>
      <c r="BB6" s="19" t="n">
        <f aca="false">creator_cohorts!BB11*assumptions!$G$61+creator_cohorts!BB24*assumptions!$G$62</f>
        <v>416610.942708333</v>
      </c>
      <c r="BC6" s="19" t="n">
        <f aca="false">creator_cohorts!BC11*assumptions!$G$61+creator_cohorts!BC24*assumptions!$G$62</f>
        <v>437910.416666667</v>
      </c>
      <c r="BD6" s="19" t="n">
        <f aca="false">creator_cohorts!BD11*assumptions!$G$61+creator_cohorts!BD24*assumptions!$G$62</f>
        <v>459402.521875</v>
      </c>
      <c r="BE6" s="19" t="n">
        <f aca="false">creator_cohorts!BE11*assumptions!$G$61+creator_cohorts!BE24*assumptions!$G$62</f>
        <v>481110.5375</v>
      </c>
      <c r="BF6" s="19" t="n">
        <f aca="false">creator_cohorts!BF11*assumptions!$G$61+creator_cohorts!BF24*assumptions!$G$62</f>
        <v>502988.020833333</v>
      </c>
      <c r="BG6" s="19" t="n">
        <f aca="false">creator_cohorts!BG11*assumptions!$G$61+creator_cohorts!BG24*assumptions!$G$62</f>
        <v>525058.135416667</v>
      </c>
      <c r="BH6" s="19" t="n">
        <f aca="false">creator_cohorts!BH11*assumptions!$G$61+creator_cohorts!BH24*assumptions!$G$62</f>
        <v>547344.507291667</v>
      </c>
      <c r="BI6" s="19" t="n">
        <f aca="false">creator_cohorts!BI11*assumptions!$G$61+creator_cohorts!BI24*assumptions!$G$62</f>
        <v>569800</v>
      </c>
    </row>
    <row r="7" customFormat="false" ht="14.25" hidden="false" customHeight="false" outlineLevel="0" collapsed="false">
      <c r="A7" s="7" t="s">
        <v>426</v>
      </c>
      <c r="B7" s="19" t="n">
        <f aca="false">creator_cohorts!B5*assumptions!$G$63</f>
        <v>16.8</v>
      </c>
      <c r="C7" s="19" t="n">
        <f aca="false">creator_cohorts!C5*assumptions!$G$63</f>
        <v>33.2</v>
      </c>
      <c r="D7" s="19" t="n">
        <f aca="false">creator_cohorts!D5*assumptions!$G$63</f>
        <v>50</v>
      </c>
      <c r="E7" s="19" t="n">
        <f aca="false">creator_cohorts!E5*assumptions!$G$63</f>
        <v>66.8</v>
      </c>
      <c r="F7" s="19" t="n">
        <f aca="false">creator_cohorts!F5*assumptions!$G$63</f>
        <v>83.2</v>
      </c>
      <c r="G7" s="19" t="n">
        <f aca="false">creator_cohorts!G5*assumptions!$G$63</f>
        <v>100</v>
      </c>
      <c r="H7" s="19" t="n">
        <f aca="false">creator_cohorts!H5*assumptions!$G$63</f>
        <v>116.8</v>
      </c>
      <c r="I7" s="19" t="n">
        <f aca="false">creator_cohorts!I5*assumptions!$G$63</f>
        <v>133.2</v>
      </c>
      <c r="J7" s="19" t="n">
        <f aca="false">creator_cohorts!J5*assumptions!$G$63</f>
        <v>150</v>
      </c>
      <c r="K7" s="19" t="n">
        <f aca="false">creator_cohorts!K5*assumptions!$G$63</f>
        <v>166.8</v>
      </c>
      <c r="L7" s="19" t="n">
        <f aca="false">creator_cohorts!L5*assumptions!$G$63</f>
        <v>183.2</v>
      </c>
      <c r="M7" s="19" t="n">
        <f aca="false">creator_cohorts!M5*assumptions!$G$63</f>
        <v>200</v>
      </c>
      <c r="N7" s="19" t="n">
        <f aca="false">creator_cohorts!N5*assumptions!$G$63</f>
        <v>263.2</v>
      </c>
      <c r="O7" s="19" t="n">
        <f aca="false">creator_cohorts!O5*assumptions!$G$63</f>
        <v>326.8</v>
      </c>
      <c r="P7" s="19" t="n">
        <f aca="false">creator_cohorts!P5*assumptions!$G$63</f>
        <v>390</v>
      </c>
      <c r="Q7" s="19" t="n">
        <f aca="false">creator_cohorts!Q5*assumptions!$G$63</f>
        <v>453.2</v>
      </c>
      <c r="R7" s="19" t="n">
        <f aca="false">creator_cohorts!R5*assumptions!$G$63</f>
        <v>516.8</v>
      </c>
      <c r="S7" s="19" t="n">
        <f aca="false">creator_cohorts!S5*assumptions!$G$63</f>
        <v>580</v>
      </c>
      <c r="T7" s="19" t="n">
        <f aca="false">creator_cohorts!T5*assumptions!$G$63</f>
        <v>643.2</v>
      </c>
      <c r="U7" s="19" t="n">
        <f aca="false">creator_cohorts!U5*assumptions!$G$63</f>
        <v>706.8</v>
      </c>
      <c r="V7" s="19" t="n">
        <f aca="false">creator_cohorts!V5*assumptions!$G$63</f>
        <v>770</v>
      </c>
      <c r="W7" s="19" t="n">
        <f aca="false">creator_cohorts!W5*assumptions!$G$63</f>
        <v>833.2</v>
      </c>
      <c r="X7" s="19" t="n">
        <f aca="false">creator_cohorts!X5*assumptions!$G$63</f>
        <v>896.8</v>
      </c>
      <c r="Y7" s="19" t="n">
        <f aca="false">creator_cohorts!Y5*assumptions!$G$63</f>
        <v>960</v>
      </c>
      <c r="Z7" s="19" t="n">
        <f aca="false">creator_cohorts!Z5*assumptions!$G$63</f>
        <v>1106.8</v>
      </c>
      <c r="AA7" s="19" t="n">
        <f aca="false">creator_cohorts!AA5*assumptions!$G$63</f>
        <v>1253.2</v>
      </c>
      <c r="AB7" s="19" t="n">
        <f aca="false">creator_cohorts!AB5*assumptions!$G$63</f>
        <v>1400</v>
      </c>
      <c r="AC7" s="19" t="n">
        <f aca="false">creator_cohorts!AC5*assumptions!$G$63</f>
        <v>1546.8</v>
      </c>
      <c r="AD7" s="19" t="n">
        <f aca="false">creator_cohorts!AD5*assumptions!$G$63</f>
        <v>1693.2</v>
      </c>
      <c r="AE7" s="19" t="n">
        <f aca="false">creator_cohorts!AE5*assumptions!$G$63</f>
        <v>1840</v>
      </c>
      <c r="AF7" s="19" t="n">
        <f aca="false">creator_cohorts!AF5*assumptions!$G$63</f>
        <v>1986.8</v>
      </c>
      <c r="AG7" s="19" t="n">
        <f aca="false">creator_cohorts!AG5*assumptions!$G$63</f>
        <v>2133.2</v>
      </c>
      <c r="AH7" s="19" t="n">
        <f aca="false">creator_cohorts!AH5*assumptions!$G$63</f>
        <v>2280</v>
      </c>
      <c r="AI7" s="19" t="n">
        <f aca="false">creator_cohorts!AI5*assumptions!$G$63</f>
        <v>2426.8</v>
      </c>
      <c r="AJ7" s="19" t="n">
        <f aca="false">creator_cohorts!AJ5*assumptions!$G$63</f>
        <v>2573.2</v>
      </c>
      <c r="AK7" s="19" t="n">
        <f aca="false">creator_cohorts!AK5*assumptions!$G$63</f>
        <v>2720</v>
      </c>
      <c r="AL7" s="19" t="n">
        <f aca="false">creator_cohorts!AL5*assumptions!$G$63</f>
        <v>2960</v>
      </c>
      <c r="AM7" s="19" t="n">
        <f aca="false">creator_cohorts!AM5*assumptions!$G$63</f>
        <v>3200</v>
      </c>
      <c r="AN7" s="19" t="n">
        <f aca="false">creator_cohorts!AN5*assumptions!$G$63</f>
        <v>3440</v>
      </c>
      <c r="AO7" s="19" t="n">
        <f aca="false">creator_cohorts!AO5*assumptions!$G$63</f>
        <v>3680</v>
      </c>
      <c r="AP7" s="19" t="n">
        <f aca="false">creator_cohorts!AP5*assumptions!$G$63</f>
        <v>3920</v>
      </c>
      <c r="AQ7" s="19" t="n">
        <f aca="false">creator_cohorts!AQ5*assumptions!$G$63</f>
        <v>4160</v>
      </c>
      <c r="AR7" s="19" t="n">
        <f aca="false">creator_cohorts!AR5*assumptions!$G$63</f>
        <v>4400</v>
      </c>
      <c r="AS7" s="19" t="n">
        <f aca="false">creator_cohorts!AS5*assumptions!$G$63</f>
        <v>4640</v>
      </c>
      <c r="AT7" s="19" t="n">
        <f aca="false">creator_cohorts!AT5*assumptions!$G$63</f>
        <v>4880</v>
      </c>
      <c r="AU7" s="19" t="n">
        <f aca="false">creator_cohorts!AU5*assumptions!$G$63</f>
        <v>5120</v>
      </c>
      <c r="AV7" s="19" t="n">
        <f aca="false">creator_cohorts!AV5*assumptions!$G$63</f>
        <v>5360</v>
      </c>
      <c r="AW7" s="19" t="n">
        <f aca="false">creator_cohorts!AW5*assumptions!$G$63</f>
        <v>5600</v>
      </c>
      <c r="AX7" s="19" t="n">
        <f aca="false">creator_cohorts!AX5*assumptions!$G$63</f>
        <v>5933.2</v>
      </c>
      <c r="AY7" s="19" t="n">
        <f aca="false">creator_cohorts!AY5*assumptions!$G$63</f>
        <v>6266.8</v>
      </c>
      <c r="AZ7" s="19" t="n">
        <f aca="false">creator_cohorts!AZ5*assumptions!$G$63</f>
        <v>6600</v>
      </c>
      <c r="BA7" s="19" t="n">
        <f aca="false">creator_cohorts!BA5*assumptions!$G$63</f>
        <v>6933.2</v>
      </c>
      <c r="BB7" s="19" t="n">
        <f aca="false">creator_cohorts!BB5*assumptions!$G$63</f>
        <v>7266.8</v>
      </c>
      <c r="BC7" s="19" t="n">
        <f aca="false">creator_cohorts!BC5*assumptions!$G$63</f>
        <v>7600</v>
      </c>
      <c r="BD7" s="19" t="n">
        <f aca="false">creator_cohorts!BD5*assumptions!$G$63</f>
        <v>7933.2</v>
      </c>
      <c r="BE7" s="19" t="n">
        <f aca="false">creator_cohorts!BE5*assumptions!$G$63</f>
        <v>8266.8</v>
      </c>
      <c r="BF7" s="19" t="n">
        <f aca="false">creator_cohorts!BF5*assumptions!$G$63</f>
        <v>8600</v>
      </c>
      <c r="BG7" s="19" t="n">
        <f aca="false">creator_cohorts!BG5*assumptions!$G$63</f>
        <v>8933.2</v>
      </c>
      <c r="BH7" s="19" t="n">
        <f aca="false">creator_cohorts!BH5*assumptions!$G$63</f>
        <v>9266.8</v>
      </c>
      <c r="BI7" s="19" t="n">
        <f aca="false">creator_cohorts!BI5*assumptions!$G$63</f>
        <v>9600</v>
      </c>
    </row>
    <row r="8" customFormat="false" ht="14.25" hidden="false" customHeight="false" outlineLevel="0" collapsed="false">
      <c r="A8" s="7" t="s">
        <v>427</v>
      </c>
      <c r="B8" s="19" t="n">
        <f aca="false">creator_cohorts!B5*assumptions!$G$65/1000*assumptions!$G$64</f>
        <v>50.4</v>
      </c>
      <c r="C8" s="19" t="n">
        <f aca="false">creator_cohorts!C5*assumptions!$G$65/1000*assumptions!$G$64</f>
        <v>99.6</v>
      </c>
      <c r="D8" s="19" t="n">
        <f aca="false">creator_cohorts!D5*assumptions!$G$65/1000*assumptions!$G$64</f>
        <v>150</v>
      </c>
      <c r="E8" s="19" t="n">
        <f aca="false">creator_cohorts!E5*assumptions!$G$65/1000*assumptions!$G$64</f>
        <v>200.4</v>
      </c>
      <c r="F8" s="19" t="n">
        <f aca="false">creator_cohorts!F5*assumptions!$G$65/1000*assumptions!$G$64</f>
        <v>249.6</v>
      </c>
      <c r="G8" s="19" t="n">
        <f aca="false">creator_cohorts!G5*assumptions!$G$65/1000*assumptions!$G$64</f>
        <v>300</v>
      </c>
      <c r="H8" s="19" t="n">
        <f aca="false">creator_cohorts!H5*assumptions!$G$65/1000*assumptions!$G$64</f>
        <v>350.4</v>
      </c>
      <c r="I8" s="19" t="n">
        <f aca="false">creator_cohorts!I5*assumptions!$G$65/1000*assumptions!$G$64</f>
        <v>399.6</v>
      </c>
      <c r="J8" s="19" t="n">
        <f aca="false">creator_cohorts!J5*assumptions!$G$65/1000*assumptions!$G$64</f>
        <v>450</v>
      </c>
      <c r="K8" s="19" t="n">
        <f aca="false">creator_cohorts!K5*assumptions!$G$65/1000*assumptions!$G$64</f>
        <v>500.4</v>
      </c>
      <c r="L8" s="19" t="n">
        <f aca="false">creator_cohorts!L5*assumptions!$G$65/1000*assumptions!$G$64</f>
        <v>549.6</v>
      </c>
      <c r="M8" s="19" t="n">
        <f aca="false">creator_cohorts!M5*assumptions!$G$65/1000*assumptions!$G$64</f>
        <v>600</v>
      </c>
      <c r="N8" s="19" t="n">
        <f aca="false">creator_cohorts!N5*assumptions!$G$65/1000*assumptions!$G$64</f>
        <v>789.6</v>
      </c>
      <c r="O8" s="19" t="n">
        <f aca="false">creator_cohorts!O5*assumptions!$G$65/1000*assumptions!$G$64</f>
        <v>980.4</v>
      </c>
      <c r="P8" s="19" t="n">
        <f aca="false">creator_cohorts!P5*assumptions!$G$65/1000*assumptions!$G$64</f>
        <v>1170</v>
      </c>
      <c r="Q8" s="19" t="n">
        <f aca="false">creator_cohorts!Q5*assumptions!$G$65/1000*assumptions!$G$64</f>
        <v>1359.6</v>
      </c>
      <c r="R8" s="19" t="n">
        <f aca="false">creator_cohorts!R5*assumptions!$G$65/1000*assumptions!$G$64</f>
        <v>1550.4</v>
      </c>
      <c r="S8" s="19" t="n">
        <f aca="false">creator_cohorts!S5*assumptions!$G$65/1000*assumptions!$G$64</f>
        <v>1740</v>
      </c>
      <c r="T8" s="19" t="n">
        <f aca="false">creator_cohorts!T5*assumptions!$G$65/1000*assumptions!$G$64</f>
        <v>1929.6</v>
      </c>
      <c r="U8" s="19" t="n">
        <f aca="false">creator_cohorts!U5*assumptions!$G$65/1000*assumptions!$G$64</f>
        <v>2120.4</v>
      </c>
      <c r="V8" s="19" t="n">
        <f aca="false">creator_cohorts!V5*assumptions!$G$65/1000*assumptions!$G$64</f>
        <v>2310</v>
      </c>
      <c r="W8" s="19" t="n">
        <f aca="false">creator_cohorts!W5*assumptions!$G$65/1000*assumptions!$G$64</f>
        <v>2499.6</v>
      </c>
      <c r="X8" s="19" t="n">
        <f aca="false">creator_cohorts!X5*assumptions!$G$65/1000*assumptions!$G$64</f>
        <v>2690.4</v>
      </c>
      <c r="Y8" s="19" t="n">
        <f aca="false">creator_cohorts!Y5*assumptions!$G$65/1000*assumptions!$G$64</f>
        <v>2880</v>
      </c>
      <c r="Z8" s="19" t="n">
        <f aca="false">creator_cohorts!Z5*assumptions!$G$65/1000*assumptions!$G$64</f>
        <v>3320.4</v>
      </c>
      <c r="AA8" s="19" t="n">
        <f aca="false">creator_cohorts!AA5*assumptions!$G$65/1000*assumptions!$G$64</f>
        <v>3759.6</v>
      </c>
      <c r="AB8" s="19" t="n">
        <f aca="false">creator_cohorts!AB5*assumptions!$G$65/1000*assumptions!$G$64</f>
        <v>4200</v>
      </c>
      <c r="AC8" s="19" t="n">
        <f aca="false">creator_cohorts!AC5*assumptions!$G$65/1000*assumptions!$G$64</f>
        <v>4640.4</v>
      </c>
      <c r="AD8" s="19" t="n">
        <f aca="false">creator_cohorts!AD5*assumptions!$G$65/1000*assumptions!$G$64</f>
        <v>5079.6</v>
      </c>
      <c r="AE8" s="19" t="n">
        <f aca="false">creator_cohorts!AE5*assumptions!$G$65/1000*assumptions!$G$64</f>
        <v>5520</v>
      </c>
      <c r="AF8" s="19" t="n">
        <f aca="false">creator_cohorts!AF5*assumptions!$G$65/1000*assumptions!$G$64</f>
        <v>5960.4</v>
      </c>
      <c r="AG8" s="19" t="n">
        <f aca="false">creator_cohorts!AG5*assumptions!$G$65/1000*assumptions!$G$64</f>
        <v>6399.6</v>
      </c>
      <c r="AH8" s="19" t="n">
        <f aca="false">creator_cohorts!AH5*assumptions!$G$65/1000*assumptions!$G$64</f>
        <v>6840</v>
      </c>
      <c r="AI8" s="19" t="n">
        <f aca="false">creator_cohorts!AI5*assumptions!$G$65/1000*assumptions!$G$64</f>
        <v>7280.4</v>
      </c>
      <c r="AJ8" s="19" t="n">
        <f aca="false">creator_cohorts!AJ5*assumptions!$G$65/1000*assumptions!$G$64</f>
        <v>7719.6</v>
      </c>
      <c r="AK8" s="19" t="n">
        <f aca="false">creator_cohorts!AK5*assumptions!$G$65/1000*assumptions!$G$64</f>
        <v>8160</v>
      </c>
      <c r="AL8" s="19" t="n">
        <f aca="false">creator_cohorts!AL5*assumptions!$G$65/1000*assumptions!$G$64</f>
        <v>8880</v>
      </c>
      <c r="AM8" s="19" t="n">
        <f aca="false">creator_cohorts!AM5*assumptions!$G$65/1000*assumptions!$G$64</f>
        <v>9600</v>
      </c>
      <c r="AN8" s="19" t="n">
        <f aca="false">creator_cohorts!AN5*assumptions!$G$65/1000*assumptions!$G$64</f>
        <v>10320</v>
      </c>
      <c r="AO8" s="19" t="n">
        <f aca="false">creator_cohorts!AO5*assumptions!$G$65/1000*assumptions!$G$64</f>
        <v>11040</v>
      </c>
      <c r="AP8" s="19" t="n">
        <f aca="false">creator_cohorts!AP5*assumptions!$G$65/1000*assumptions!$G$64</f>
        <v>11760</v>
      </c>
      <c r="AQ8" s="19" t="n">
        <f aca="false">creator_cohorts!AQ5*assumptions!$G$65/1000*assumptions!$G$64</f>
        <v>12480</v>
      </c>
      <c r="AR8" s="19" t="n">
        <f aca="false">creator_cohorts!AR5*assumptions!$G$65/1000*assumptions!$G$64</f>
        <v>13200</v>
      </c>
      <c r="AS8" s="19" t="n">
        <f aca="false">creator_cohorts!AS5*assumptions!$G$65/1000*assumptions!$G$64</f>
        <v>13920</v>
      </c>
      <c r="AT8" s="19" t="n">
        <f aca="false">creator_cohorts!AT5*assumptions!$G$65/1000*assumptions!$G$64</f>
        <v>14640</v>
      </c>
      <c r="AU8" s="19" t="n">
        <f aca="false">creator_cohorts!AU5*assumptions!$G$65/1000*assumptions!$G$64</f>
        <v>15360</v>
      </c>
      <c r="AV8" s="19" t="n">
        <f aca="false">creator_cohorts!AV5*assumptions!$G$65/1000*assumptions!$G$64</f>
        <v>16080</v>
      </c>
      <c r="AW8" s="19" t="n">
        <f aca="false">creator_cohorts!AW5*assumptions!$G$65/1000*assumptions!$G$64</f>
        <v>16800</v>
      </c>
      <c r="AX8" s="19" t="n">
        <f aca="false">creator_cohorts!AX5*assumptions!$G$65/1000*assumptions!$G$64</f>
        <v>17799.6</v>
      </c>
      <c r="AY8" s="19" t="n">
        <f aca="false">creator_cohorts!AY5*assumptions!$G$65/1000*assumptions!$G$64</f>
        <v>18800.4</v>
      </c>
      <c r="AZ8" s="19" t="n">
        <f aca="false">creator_cohorts!AZ5*assumptions!$G$65/1000*assumptions!$G$64</f>
        <v>19800</v>
      </c>
      <c r="BA8" s="19" t="n">
        <f aca="false">creator_cohorts!BA5*assumptions!$G$65/1000*assumptions!$G$64</f>
        <v>20799.6</v>
      </c>
      <c r="BB8" s="19" t="n">
        <f aca="false">creator_cohorts!BB5*assumptions!$G$65/1000*assumptions!$G$64</f>
        <v>21800.4</v>
      </c>
      <c r="BC8" s="19" t="n">
        <f aca="false">creator_cohorts!BC5*assumptions!$G$65/1000*assumptions!$G$64</f>
        <v>22800</v>
      </c>
      <c r="BD8" s="19" t="n">
        <f aca="false">creator_cohorts!BD5*assumptions!$G$65/1000*assumptions!$G$64</f>
        <v>23799.6</v>
      </c>
      <c r="BE8" s="19" t="n">
        <f aca="false">creator_cohorts!BE5*assumptions!$G$65/1000*assumptions!$G$64</f>
        <v>24800.4</v>
      </c>
      <c r="BF8" s="19" t="n">
        <f aca="false">creator_cohorts!BF5*assumptions!$G$65/1000*assumptions!$G$64</f>
        <v>25800</v>
      </c>
      <c r="BG8" s="19" t="n">
        <f aca="false">creator_cohorts!BG5*assumptions!$G$65/1000*assumptions!$G$64</f>
        <v>26799.6</v>
      </c>
      <c r="BH8" s="19" t="n">
        <f aca="false">creator_cohorts!BH5*assumptions!$G$65/1000*assumptions!$G$64</f>
        <v>27800.4</v>
      </c>
      <c r="BI8" s="19" t="n">
        <f aca="false">creator_cohorts!BI5*assumptions!$G$65/1000*assumptions!$G$64</f>
        <v>28800</v>
      </c>
    </row>
    <row r="9" customFormat="false" ht="14.25" hidden="false" customHeight="false" outlineLevel="0" collapsed="false">
      <c r="A9" s="7" t="s">
        <v>428</v>
      </c>
      <c r="B9" s="19" t="n">
        <f aca="false">assumptions!$G$66*(1+assumptions!$G$67)^(1-1)</f>
        <v>500</v>
      </c>
      <c r="C9" s="19" t="n">
        <f aca="false">assumptions!$G$66*(1+assumptions!$G$67)^(2-1)</f>
        <v>525</v>
      </c>
      <c r="D9" s="19" t="n">
        <f aca="false">assumptions!$G$66*(1+assumptions!$G$67)^(3-1)</f>
        <v>551.25</v>
      </c>
      <c r="E9" s="19" t="n">
        <f aca="false">assumptions!$G$66*(1+assumptions!$G$67)^(4-1)</f>
        <v>578.8125</v>
      </c>
      <c r="F9" s="19" t="n">
        <f aca="false">assumptions!$G$66*(1+assumptions!$G$67)^(5-1)</f>
        <v>607.753125</v>
      </c>
      <c r="G9" s="19" t="n">
        <f aca="false">assumptions!$G$66*(1+assumptions!$G$67)^(6-1)</f>
        <v>638.14078125</v>
      </c>
      <c r="H9" s="19" t="n">
        <f aca="false">assumptions!$G$66*(1+assumptions!$G$67)^(7-1)</f>
        <v>670.0478203125</v>
      </c>
      <c r="I9" s="19" t="n">
        <f aca="false">assumptions!$G$66*(1+assumptions!$G$67)^(8-1)</f>
        <v>703.550211328125</v>
      </c>
      <c r="J9" s="19" t="n">
        <f aca="false">assumptions!$G$66*(1+assumptions!$G$67)^(9-1)</f>
        <v>738.727721894532</v>
      </c>
      <c r="K9" s="19" t="n">
        <f aca="false">assumptions!$G$66*(1+assumptions!$G$67)^(10-1)</f>
        <v>775.664107989258</v>
      </c>
      <c r="L9" s="19" t="n">
        <f aca="false">assumptions!$G$66*(1+assumptions!$G$67)^(11-1)</f>
        <v>814.447313388721</v>
      </c>
      <c r="M9" s="19" t="n">
        <f aca="false">assumptions!$G$66*(1+assumptions!$G$67)^(12-1)</f>
        <v>855.169679058157</v>
      </c>
      <c r="N9" s="19" t="n">
        <f aca="false">assumptions!$G$66*(1+assumptions!$G$67)^(13-1)</f>
        <v>897.928163011065</v>
      </c>
      <c r="O9" s="19" t="n">
        <f aca="false">assumptions!$G$66*(1+assumptions!$G$67)^(14-1)</f>
        <v>942.824571161618</v>
      </c>
      <c r="P9" s="19" t="n">
        <f aca="false">assumptions!$G$66*(1+assumptions!$G$67)^(15-1)</f>
        <v>989.965799719699</v>
      </c>
      <c r="Q9" s="19" t="n">
        <f aca="false">assumptions!$G$66*(1+assumptions!$G$67)^(16-1)</f>
        <v>1039.46408970568</v>
      </c>
      <c r="R9" s="19" t="n">
        <f aca="false">assumptions!$G$66*(1+assumptions!$G$67)^(17-1)</f>
        <v>1091.43729419097</v>
      </c>
      <c r="S9" s="19" t="n">
        <f aca="false">assumptions!$G$66*(1+assumptions!$G$67)^(18-1)</f>
        <v>1146.00915890052</v>
      </c>
      <c r="T9" s="19" t="n">
        <f aca="false">assumptions!$G$66*(1+assumptions!$G$67)^(19-1)</f>
        <v>1203.30961684554</v>
      </c>
      <c r="U9" s="19" t="n">
        <f aca="false">assumptions!$G$66*(1+assumptions!$G$67)^(20-1)</f>
        <v>1263.47509768782</v>
      </c>
      <c r="V9" s="19" t="n">
        <f aca="false">assumptions!$G$66*(1+assumptions!$G$67)^(21-1)</f>
        <v>1326.64885257221</v>
      </c>
      <c r="W9" s="19" t="n">
        <f aca="false">assumptions!$G$66*(1+assumptions!$G$67)^(22-1)</f>
        <v>1392.98129520082</v>
      </c>
      <c r="X9" s="19" t="n">
        <f aca="false">assumptions!$G$66*(1+assumptions!$G$67)^(23-1)</f>
        <v>1462.63035996086</v>
      </c>
      <c r="Y9" s="19" t="n">
        <f aca="false">assumptions!$G$66*(1+assumptions!$G$67)^(24-1)</f>
        <v>1535.76187795891</v>
      </c>
      <c r="Z9" s="19" t="n">
        <f aca="false">assumptions!$G$66*(1+assumptions!$G$67)^(25-1)</f>
        <v>1612.54997185685</v>
      </c>
      <c r="AA9" s="19" t="n">
        <f aca="false">assumptions!$G$66*(1+assumptions!$G$67)^(26-1)</f>
        <v>1693.17747044969</v>
      </c>
      <c r="AB9" s="19" t="n">
        <f aca="false">assumptions!$G$66*(1+assumptions!$G$67)^(27-1)</f>
        <v>1777.83634397218</v>
      </c>
      <c r="AC9" s="19" t="n">
        <f aca="false">assumptions!$G$66*(1+assumptions!$G$67)^(28-1)</f>
        <v>1866.72816117079</v>
      </c>
      <c r="AD9" s="19" t="n">
        <f aca="false">assumptions!$G$66*(1+assumptions!$G$67)^(29-1)</f>
        <v>1960.06456922933</v>
      </c>
      <c r="AE9" s="19" t="n">
        <f aca="false">assumptions!$G$66*(1+assumptions!$G$67)^(30-1)</f>
        <v>2058.06779769079</v>
      </c>
      <c r="AF9" s="19" t="n">
        <f aca="false">assumptions!$G$66*(1+assumptions!$G$67)^(31-1)</f>
        <v>2160.97118757533</v>
      </c>
      <c r="AG9" s="19" t="n">
        <f aca="false">assumptions!$G$66*(1+assumptions!$G$67)^(32-1)</f>
        <v>2269.0197469541</v>
      </c>
      <c r="AH9" s="19" t="n">
        <f aca="false">assumptions!$G$66*(1+assumptions!$G$67)^(33-1)</f>
        <v>2382.47073430181</v>
      </c>
      <c r="AI9" s="19" t="n">
        <f aca="false">assumptions!$G$66*(1+assumptions!$G$67)^(34-1)</f>
        <v>2501.5942710169</v>
      </c>
      <c r="AJ9" s="19" t="n">
        <f aca="false">assumptions!$G$66*(1+assumptions!$G$67)^(35-1)</f>
        <v>2626.67398456774</v>
      </c>
      <c r="AK9" s="19" t="n">
        <f aca="false">assumptions!$G$66*(1+assumptions!$G$67)^(36-1)</f>
        <v>2758.00768379613</v>
      </c>
      <c r="AL9" s="19" t="n">
        <f aca="false">assumptions!$G$66*(1+assumptions!$G$67)^(37-1)</f>
        <v>2895.90806798593</v>
      </c>
      <c r="AM9" s="19" t="n">
        <f aca="false">assumptions!$G$66*(1+assumptions!$G$67)^(38-1)</f>
        <v>3040.70347138523</v>
      </c>
      <c r="AN9" s="19" t="n">
        <f aca="false">assumptions!$G$66*(1+assumptions!$G$67)^(39-1)</f>
        <v>3192.73864495449</v>
      </c>
      <c r="AO9" s="19" t="n">
        <f aca="false">assumptions!$G$66*(1+assumptions!$G$67)^(40-1)</f>
        <v>3352.37557720222</v>
      </c>
      <c r="AP9" s="19" t="n">
        <f aca="false">assumptions!$G$66*(1+assumptions!$G$67)^(41-1)</f>
        <v>3519.99435606233</v>
      </c>
      <c r="AQ9" s="19" t="n">
        <f aca="false">assumptions!$G$66*(1+assumptions!$G$67)^(42-1)</f>
        <v>3695.99407386545</v>
      </c>
      <c r="AR9" s="19" t="n">
        <f aca="false">assumptions!$G$66*(1+assumptions!$G$67)^(43-1)</f>
        <v>3880.79377755872</v>
      </c>
      <c r="AS9" s="19" t="n">
        <f aca="false">assumptions!$G$66*(1+assumptions!$G$67)^(44-1)</f>
        <v>4074.83346643665</v>
      </c>
      <c r="AT9" s="19" t="n">
        <f aca="false">assumptions!$G$66*(1+assumptions!$G$67)^(45-1)</f>
        <v>4278.57513975849</v>
      </c>
      <c r="AU9" s="19" t="n">
        <f aca="false">assumptions!$G$66*(1+assumptions!$G$67)^(46-1)</f>
        <v>4492.50389674641</v>
      </c>
      <c r="AV9" s="19" t="n">
        <f aca="false">assumptions!$G$66*(1+assumptions!$G$67)^(47-1)</f>
        <v>4717.12909158373</v>
      </c>
      <c r="AW9" s="19" t="n">
        <f aca="false">assumptions!$G$66*(1+assumptions!$G$67)^(48-1)</f>
        <v>4952.98554616292</v>
      </c>
      <c r="AX9" s="19" t="n">
        <f aca="false">assumptions!$G$66*(1+assumptions!$G$67)^(49-1)</f>
        <v>5200.63482347107</v>
      </c>
      <c r="AY9" s="19" t="n">
        <f aca="false">assumptions!$G$66*(1+assumptions!$G$67)^(50-1)</f>
        <v>5460.66656464462</v>
      </c>
      <c r="AZ9" s="19" t="n">
        <f aca="false">assumptions!$G$66*(1+assumptions!$G$67)^(51-1)</f>
        <v>5733.69989287685</v>
      </c>
      <c r="BA9" s="19" t="n">
        <f aca="false">assumptions!$G$66*(1+assumptions!$G$67)^(52-1)</f>
        <v>6020.38488752069</v>
      </c>
      <c r="BB9" s="19" t="n">
        <f aca="false">assumptions!$G$66*(1+assumptions!$G$67)^(53-1)</f>
        <v>6321.40413189673</v>
      </c>
      <c r="BC9" s="19" t="n">
        <f aca="false">assumptions!$G$66*(1+assumptions!$G$67)^(54-1)</f>
        <v>6637.47433849157</v>
      </c>
      <c r="BD9" s="19" t="n">
        <f aca="false">assumptions!$G$66*(1+assumptions!$G$67)^(55-1)</f>
        <v>6969.34805541614</v>
      </c>
      <c r="BE9" s="19" t="n">
        <f aca="false">assumptions!$G$66*(1+assumptions!$G$67)^(56-1)</f>
        <v>7317.81545818695</v>
      </c>
      <c r="BF9" s="19" t="n">
        <f aca="false">assumptions!$G$66*(1+assumptions!$G$67)^(57-1)</f>
        <v>7683.7062310963</v>
      </c>
      <c r="BG9" s="19" t="n">
        <f aca="false">assumptions!$G$66*(1+assumptions!$G$67)^(58-1)</f>
        <v>8067.89154265111</v>
      </c>
      <c r="BH9" s="19" t="n">
        <f aca="false">assumptions!$G$66*(1+assumptions!$G$67)^(59-1)</f>
        <v>8471.28611978367</v>
      </c>
      <c r="BI9" s="19" t="n">
        <f aca="false">assumptions!$G$66*(1+assumptions!$G$67)^(60-1)</f>
        <v>8894.85042577285</v>
      </c>
    </row>
    <row r="10" customFormat="false" ht="14.25" hidden="false" customHeight="false" outlineLevel="0" collapsed="false">
      <c r="A10" s="7" t="s">
        <v>429</v>
      </c>
      <c r="B10" s="19" t="n">
        <f aca="false">creator_cohorts!B5*assumptions!$G$68</f>
        <v>33.6</v>
      </c>
      <c r="C10" s="19" t="n">
        <f aca="false">creator_cohorts!C5*assumptions!$G$68</f>
        <v>66.4</v>
      </c>
      <c r="D10" s="19" t="n">
        <f aca="false">creator_cohorts!D5*assumptions!$G$68</f>
        <v>100</v>
      </c>
      <c r="E10" s="19" t="n">
        <f aca="false">creator_cohorts!E5*assumptions!$G$68</f>
        <v>133.6</v>
      </c>
      <c r="F10" s="19" t="n">
        <f aca="false">creator_cohorts!F5*assumptions!$G$68</f>
        <v>166.4</v>
      </c>
      <c r="G10" s="19" t="n">
        <f aca="false">creator_cohorts!G5*assumptions!$G$68</f>
        <v>200</v>
      </c>
      <c r="H10" s="19" t="n">
        <f aca="false">creator_cohorts!H5*assumptions!$G$68</f>
        <v>233.6</v>
      </c>
      <c r="I10" s="19" t="n">
        <f aca="false">creator_cohorts!I5*assumptions!$G$68</f>
        <v>266.4</v>
      </c>
      <c r="J10" s="19" t="n">
        <f aca="false">creator_cohorts!J5*assumptions!$G$68</f>
        <v>300</v>
      </c>
      <c r="K10" s="19" t="n">
        <f aca="false">creator_cohorts!K5*assumptions!$G$68</f>
        <v>333.6</v>
      </c>
      <c r="L10" s="19" t="n">
        <f aca="false">creator_cohorts!L5*assumptions!$G$68</f>
        <v>366.4</v>
      </c>
      <c r="M10" s="19" t="n">
        <f aca="false">creator_cohorts!M5*assumptions!$G$68</f>
        <v>400</v>
      </c>
      <c r="N10" s="19" t="n">
        <f aca="false">creator_cohorts!N5*assumptions!$G$68</f>
        <v>526.4</v>
      </c>
      <c r="O10" s="19" t="n">
        <f aca="false">creator_cohorts!O5*assumptions!$G$68</f>
        <v>653.6</v>
      </c>
      <c r="P10" s="19" t="n">
        <f aca="false">creator_cohorts!P5*assumptions!$G$68</f>
        <v>780</v>
      </c>
      <c r="Q10" s="19" t="n">
        <f aca="false">creator_cohorts!Q5*assumptions!$G$68</f>
        <v>906.4</v>
      </c>
      <c r="R10" s="19" t="n">
        <f aca="false">creator_cohorts!R5*assumptions!$G$68</f>
        <v>1033.6</v>
      </c>
      <c r="S10" s="19" t="n">
        <f aca="false">creator_cohorts!S5*assumptions!$G$68</f>
        <v>1160</v>
      </c>
      <c r="T10" s="19" t="n">
        <f aca="false">creator_cohorts!T5*assumptions!$G$68</f>
        <v>1286.4</v>
      </c>
      <c r="U10" s="19" t="n">
        <f aca="false">creator_cohorts!U5*assumptions!$G$68</f>
        <v>1413.6</v>
      </c>
      <c r="V10" s="19" t="n">
        <f aca="false">creator_cohorts!V5*assumptions!$G$68</f>
        <v>1540</v>
      </c>
      <c r="W10" s="19" t="n">
        <f aca="false">creator_cohorts!W5*assumptions!$G$68</f>
        <v>1666.4</v>
      </c>
      <c r="X10" s="19" t="n">
        <f aca="false">creator_cohorts!X5*assumptions!$G$68</f>
        <v>1793.6</v>
      </c>
      <c r="Y10" s="19" t="n">
        <f aca="false">creator_cohorts!Y5*assumptions!$G$68</f>
        <v>1920</v>
      </c>
      <c r="Z10" s="19" t="n">
        <f aca="false">creator_cohorts!Z5*assumptions!$G$68</f>
        <v>2213.6</v>
      </c>
      <c r="AA10" s="19" t="n">
        <f aca="false">creator_cohorts!AA5*assumptions!$G$68</f>
        <v>2506.4</v>
      </c>
      <c r="AB10" s="19" t="n">
        <f aca="false">creator_cohorts!AB5*assumptions!$G$68</f>
        <v>2800</v>
      </c>
      <c r="AC10" s="19" t="n">
        <f aca="false">creator_cohorts!AC5*assumptions!$G$68</f>
        <v>3093.6</v>
      </c>
      <c r="AD10" s="19" t="n">
        <f aca="false">creator_cohorts!AD5*assumptions!$G$68</f>
        <v>3386.4</v>
      </c>
      <c r="AE10" s="19" t="n">
        <f aca="false">creator_cohorts!AE5*assumptions!$G$68</f>
        <v>3680</v>
      </c>
      <c r="AF10" s="19" t="n">
        <f aca="false">creator_cohorts!AF5*assumptions!$G$68</f>
        <v>3973.6</v>
      </c>
      <c r="AG10" s="19" t="n">
        <f aca="false">creator_cohorts!AG5*assumptions!$G$68</f>
        <v>4266.4</v>
      </c>
      <c r="AH10" s="19" t="n">
        <f aca="false">creator_cohorts!AH5*assumptions!$G$68</f>
        <v>4560</v>
      </c>
      <c r="AI10" s="19" t="n">
        <f aca="false">creator_cohorts!AI5*assumptions!$G$68</f>
        <v>4853.6</v>
      </c>
      <c r="AJ10" s="19" t="n">
        <f aca="false">creator_cohorts!AJ5*assumptions!$G$68</f>
        <v>5146.4</v>
      </c>
      <c r="AK10" s="19" t="n">
        <f aca="false">creator_cohorts!AK5*assumptions!$G$68</f>
        <v>5440</v>
      </c>
      <c r="AL10" s="19" t="n">
        <f aca="false">creator_cohorts!AL5*assumptions!$G$68</f>
        <v>5920</v>
      </c>
      <c r="AM10" s="19" t="n">
        <f aca="false">creator_cohorts!AM5*assumptions!$G$68</f>
        <v>6400</v>
      </c>
      <c r="AN10" s="19" t="n">
        <f aca="false">creator_cohorts!AN5*assumptions!$G$68</f>
        <v>6880</v>
      </c>
      <c r="AO10" s="19" t="n">
        <f aca="false">creator_cohorts!AO5*assumptions!$G$68</f>
        <v>7360</v>
      </c>
      <c r="AP10" s="19" t="n">
        <f aca="false">creator_cohorts!AP5*assumptions!$G$68</f>
        <v>7840</v>
      </c>
      <c r="AQ10" s="19" t="n">
        <f aca="false">creator_cohorts!AQ5*assumptions!$G$68</f>
        <v>8320</v>
      </c>
      <c r="AR10" s="19" t="n">
        <f aca="false">creator_cohorts!AR5*assumptions!$G$68</f>
        <v>8800</v>
      </c>
      <c r="AS10" s="19" t="n">
        <f aca="false">creator_cohorts!AS5*assumptions!$G$68</f>
        <v>9280</v>
      </c>
      <c r="AT10" s="19" t="n">
        <f aca="false">creator_cohorts!AT5*assumptions!$G$68</f>
        <v>9760</v>
      </c>
      <c r="AU10" s="19" t="n">
        <f aca="false">creator_cohorts!AU5*assumptions!$G$68</f>
        <v>10240</v>
      </c>
      <c r="AV10" s="19" t="n">
        <f aca="false">creator_cohorts!AV5*assumptions!$G$68</f>
        <v>10720</v>
      </c>
      <c r="AW10" s="19" t="n">
        <f aca="false">creator_cohorts!AW5*assumptions!$G$68</f>
        <v>11200</v>
      </c>
      <c r="AX10" s="19" t="n">
        <f aca="false">creator_cohorts!AX5*assumptions!$G$68</f>
        <v>11866.4</v>
      </c>
      <c r="AY10" s="19" t="n">
        <f aca="false">creator_cohorts!AY5*assumptions!$G$68</f>
        <v>12533.6</v>
      </c>
      <c r="AZ10" s="19" t="n">
        <f aca="false">creator_cohorts!AZ5*assumptions!$G$68</f>
        <v>13200</v>
      </c>
      <c r="BA10" s="19" t="n">
        <f aca="false">creator_cohorts!BA5*assumptions!$G$68</f>
        <v>13866.4</v>
      </c>
      <c r="BB10" s="19" t="n">
        <f aca="false">creator_cohorts!BB5*assumptions!$G$68</f>
        <v>14533.6</v>
      </c>
      <c r="BC10" s="19" t="n">
        <f aca="false">creator_cohorts!BC5*assumptions!$G$68</f>
        <v>15200</v>
      </c>
      <c r="BD10" s="19" t="n">
        <f aca="false">creator_cohorts!BD5*assumptions!$G$68</f>
        <v>15866.4</v>
      </c>
      <c r="BE10" s="19" t="n">
        <f aca="false">creator_cohorts!BE5*assumptions!$G$68</f>
        <v>16533.6</v>
      </c>
      <c r="BF10" s="19" t="n">
        <f aca="false">creator_cohorts!BF5*assumptions!$G$68</f>
        <v>17200</v>
      </c>
      <c r="BG10" s="19" t="n">
        <f aca="false">creator_cohorts!BG5*assumptions!$G$68</f>
        <v>17866.4</v>
      </c>
      <c r="BH10" s="19" t="n">
        <f aca="false">creator_cohorts!BH5*assumptions!$G$68</f>
        <v>18533.6</v>
      </c>
      <c r="BI10" s="19" t="n">
        <f aca="false">creator_cohorts!BI5*assumptions!$G$68</f>
        <v>19200</v>
      </c>
    </row>
    <row r="11" customFormat="false" ht="14.25" hidden="false" customHeight="false" outlineLevel="0" collapsed="false">
      <c r="A11" s="7" t="s">
        <v>430</v>
      </c>
      <c r="B11" s="18" t="n">
        <f aca="false">operator_supply!B7</f>
        <v>960</v>
      </c>
      <c r="C11" s="18" t="n">
        <f aca="false">operator_supply!C7</f>
        <v>1320</v>
      </c>
      <c r="D11" s="18" t="n">
        <f aca="false">operator_supply!D7</f>
        <v>1680</v>
      </c>
      <c r="E11" s="18" t="n">
        <f aca="false">operator_supply!E7</f>
        <v>2010</v>
      </c>
      <c r="F11" s="18" t="n">
        <f aca="false">operator_supply!F7</f>
        <v>2340</v>
      </c>
      <c r="G11" s="18" t="n">
        <f aca="false">operator_supply!G7</f>
        <v>2670</v>
      </c>
      <c r="H11" s="18" t="n">
        <f aca="false">operator_supply!H7</f>
        <v>3000</v>
      </c>
      <c r="I11" s="18" t="n">
        <f aca="false">operator_supply!I7</f>
        <v>3330</v>
      </c>
      <c r="J11" s="18" t="n">
        <f aca="false">operator_supply!J7</f>
        <v>3660</v>
      </c>
      <c r="K11" s="18" t="n">
        <f aca="false">operator_supply!K7</f>
        <v>3990</v>
      </c>
      <c r="L11" s="18" t="n">
        <f aca="false">operator_supply!L7</f>
        <v>4320</v>
      </c>
      <c r="M11" s="18" t="n">
        <f aca="false">operator_supply!M7</f>
        <v>4650</v>
      </c>
      <c r="N11" s="18" t="n">
        <f aca="false">operator_supply!N7</f>
        <v>4950</v>
      </c>
      <c r="O11" s="18" t="n">
        <f aca="false">operator_supply!O7</f>
        <v>5250</v>
      </c>
      <c r="P11" s="18" t="n">
        <f aca="false">operator_supply!P7</f>
        <v>5550</v>
      </c>
      <c r="Q11" s="18" t="n">
        <f aca="false">operator_supply!Q7</f>
        <v>5850</v>
      </c>
      <c r="R11" s="18" t="n">
        <f aca="false">operator_supply!R7</f>
        <v>6150</v>
      </c>
      <c r="S11" s="18" t="n">
        <f aca="false">operator_supply!S7</f>
        <v>6450</v>
      </c>
      <c r="T11" s="18" t="n">
        <f aca="false">operator_supply!T7</f>
        <v>6750</v>
      </c>
      <c r="U11" s="18" t="n">
        <f aca="false">operator_supply!U7</f>
        <v>7050</v>
      </c>
      <c r="V11" s="18" t="n">
        <f aca="false">operator_supply!V7</f>
        <v>7350</v>
      </c>
      <c r="W11" s="18" t="n">
        <f aca="false">operator_supply!W7</f>
        <v>7650</v>
      </c>
      <c r="X11" s="18" t="n">
        <f aca="false">operator_supply!X7</f>
        <v>7920</v>
      </c>
      <c r="Y11" s="18" t="n">
        <f aca="false">operator_supply!Y7</f>
        <v>8190</v>
      </c>
      <c r="Z11" s="18" t="n">
        <f aca="false">operator_supply!Z7</f>
        <v>8460</v>
      </c>
      <c r="AA11" s="18" t="n">
        <f aca="false">operator_supply!AA7</f>
        <v>8730</v>
      </c>
      <c r="AB11" s="18" t="n">
        <f aca="false">operator_supply!AB7</f>
        <v>9000</v>
      </c>
      <c r="AC11" s="18" t="n">
        <f aca="false">operator_supply!AC7</f>
        <v>9270</v>
      </c>
      <c r="AD11" s="18" t="n">
        <f aca="false">operator_supply!AD7</f>
        <v>9540</v>
      </c>
      <c r="AE11" s="18" t="n">
        <f aca="false">operator_supply!AE7</f>
        <v>9810</v>
      </c>
      <c r="AF11" s="18" t="n">
        <f aca="false">operator_supply!AF7</f>
        <v>10080</v>
      </c>
      <c r="AG11" s="18" t="n">
        <f aca="false">operator_supply!AG7</f>
        <v>10350</v>
      </c>
      <c r="AH11" s="18" t="n">
        <f aca="false">operator_supply!AH7</f>
        <v>10620</v>
      </c>
      <c r="AI11" s="18" t="n">
        <f aca="false">operator_supply!AI7</f>
        <v>10860</v>
      </c>
      <c r="AJ11" s="18" t="n">
        <f aca="false">operator_supply!AJ7</f>
        <v>11100</v>
      </c>
      <c r="AK11" s="18" t="n">
        <f aca="false">operator_supply!AK7</f>
        <v>11340</v>
      </c>
      <c r="AL11" s="18" t="n">
        <f aca="false">operator_supply!AL7</f>
        <v>11580</v>
      </c>
      <c r="AM11" s="18" t="n">
        <f aca="false">operator_supply!AM7</f>
        <v>11820</v>
      </c>
      <c r="AN11" s="18" t="n">
        <f aca="false">operator_supply!AN7</f>
        <v>12060</v>
      </c>
      <c r="AO11" s="18" t="n">
        <f aca="false">operator_supply!AO7</f>
        <v>12300</v>
      </c>
      <c r="AP11" s="18" t="n">
        <f aca="false">operator_supply!AP7</f>
        <v>12540</v>
      </c>
      <c r="AQ11" s="18" t="n">
        <f aca="false">operator_supply!AQ7</f>
        <v>12780</v>
      </c>
      <c r="AR11" s="18" t="n">
        <f aca="false">operator_supply!AR7</f>
        <v>13020</v>
      </c>
      <c r="AS11" s="18" t="n">
        <f aca="false">operator_supply!AS7</f>
        <v>13260</v>
      </c>
      <c r="AT11" s="18" t="n">
        <f aca="false">operator_supply!AT7</f>
        <v>13500</v>
      </c>
      <c r="AU11" s="18" t="n">
        <f aca="false">operator_supply!AU7</f>
        <v>13710</v>
      </c>
      <c r="AV11" s="18" t="n">
        <f aca="false">operator_supply!AV7</f>
        <v>13920</v>
      </c>
      <c r="AW11" s="18" t="n">
        <f aca="false">operator_supply!AW7</f>
        <v>14130</v>
      </c>
      <c r="AX11" s="18" t="n">
        <f aca="false">operator_supply!AX7</f>
        <v>14340</v>
      </c>
      <c r="AY11" s="18" t="n">
        <f aca="false">operator_supply!AY7</f>
        <v>14550</v>
      </c>
      <c r="AZ11" s="18" t="n">
        <f aca="false">operator_supply!AZ7</f>
        <v>14760</v>
      </c>
      <c r="BA11" s="18" t="n">
        <f aca="false">operator_supply!BA7</f>
        <v>14970</v>
      </c>
      <c r="BB11" s="18" t="n">
        <f aca="false">operator_supply!BB7</f>
        <v>15180</v>
      </c>
      <c r="BC11" s="18" t="n">
        <f aca="false">operator_supply!BC7</f>
        <v>15390</v>
      </c>
      <c r="BD11" s="18" t="n">
        <f aca="false">operator_supply!BD7</f>
        <v>15600</v>
      </c>
      <c r="BE11" s="18" t="n">
        <f aca="false">operator_supply!BE7</f>
        <v>15810</v>
      </c>
      <c r="BF11" s="18" t="n">
        <f aca="false">operator_supply!BF7</f>
        <v>16020</v>
      </c>
      <c r="BG11" s="18" t="n">
        <f aca="false">operator_supply!BG7</f>
        <v>16230</v>
      </c>
      <c r="BH11" s="18" t="n">
        <f aca="false">operator_supply!BH7</f>
        <v>16440</v>
      </c>
      <c r="BI11" s="18" t="n">
        <f aca="false">operator_supply!BI7</f>
        <v>16650</v>
      </c>
    </row>
    <row r="12" customFormat="false" ht="14.25" hidden="false" customHeight="false" outlineLevel="0" collapsed="false">
      <c r="A12" s="2" t="s">
        <v>431</v>
      </c>
      <c r="B12" s="55" t="n">
        <f aca="false">SUM(B6:B11)</f>
        <v>1884.55</v>
      </c>
      <c r="C12" s="55" t="n">
        <f aca="false">SUM(C6:C11)</f>
        <v>2742.15454545455</v>
      </c>
      <c r="D12" s="55" t="n">
        <f aca="false">SUM(D6:D11)</f>
        <v>3669.98106060606</v>
      </c>
      <c r="E12" s="55" t="n">
        <f aca="false">SUM(E6:E11)</f>
        <v>4627.98371212121</v>
      </c>
      <c r="F12" s="55" t="n">
        <f aca="false">SUM(F6:F11)</f>
        <v>5633.31676136364</v>
      </c>
      <c r="G12" s="55" t="n">
        <f aca="false">SUM(G6:G11)</f>
        <v>6711.1710842803</v>
      </c>
      <c r="H12" s="55" t="n">
        <f aca="false">SUM(H6:H11)</f>
        <v>7849.40842637311</v>
      </c>
      <c r="I12" s="55" t="n">
        <f aca="false">SUM(I6:I11)</f>
        <v>9033.09112041903</v>
      </c>
      <c r="J12" s="55" t="n">
        <f aca="false">SUM(J6:J11)</f>
        <v>10291.6254491673</v>
      </c>
      <c r="K12" s="55" t="n">
        <f aca="false">SUM(K6:K11)</f>
        <v>11610.7822898074</v>
      </c>
      <c r="L12" s="55" t="n">
        <f aca="false">SUM(L6:L11)</f>
        <v>12973.5336770251</v>
      </c>
      <c r="M12" s="55" t="n">
        <f aca="false">SUM(M6:M11)</f>
        <v>14413.5030123915</v>
      </c>
      <c r="N12" s="55" t="n">
        <f aca="false">SUM(N6:N11)</f>
        <v>17740.3642741222</v>
      </c>
      <c r="O12" s="55" t="n">
        <f aca="false">SUM(O6:O11)</f>
        <v>21168.8884600505</v>
      </c>
      <c r="P12" s="55" t="n">
        <f aca="false">SUM(P6:P11)</f>
        <v>24662.7782997197</v>
      </c>
      <c r="Q12" s="55" t="n">
        <f aca="false">SUM(Q6:Q11)</f>
        <v>28240.2196452612</v>
      </c>
      <c r="R12" s="55" t="n">
        <f aca="false">SUM(R6:R11)</f>
        <v>31920.4317386354</v>
      </c>
      <c r="S12" s="55" t="n">
        <f aca="false">SUM(S6:S11)</f>
        <v>35665.5924922338</v>
      </c>
      <c r="T12" s="55" t="n">
        <f aca="false">SUM(T6:T11)</f>
        <v>39494.6762835122</v>
      </c>
      <c r="U12" s="55" t="n">
        <f aca="false">SUM(U6:U11)</f>
        <v>43427.6917643545</v>
      </c>
      <c r="V12" s="55" t="n">
        <f aca="false">SUM(V6:V11)</f>
        <v>47425.2946859055</v>
      </c>
      <c r="W12" s="55" t="n">
        <f aca="false">SUM(W6:W11)</f>
        <v>51507.2507396453</v>
      </c>
      <c r="X12" s="55" t="n">
        <f aca="false">SUM(X6:X11)</f>
        <v>55664.3609155164</v>
      </c>
      <c r="Y12" s="55" t="n">
        <f aca="false">SUM(Y6:Y11)</f>
        <v>59885.7618779589</v>
      </c>
      <c r="Z12" s="55" t="n">
        <f aca="false">SUM(Z6:Z11)</f>
        <v>68436.0739301902</v>
      </c>
      <c r="AA12" s="55" t="n">
        <f aca="false">SUM(AA6:AA11)</f>
        <v>77110.3878871164</v>
      </c>
      <c r="AB12" s="55" t="n">
        <f aca="false">SUM(AB6:AB11)</f>
        <v>85951.2738439722</v>
      </c>
      <c r="AC12" s="55" t="n">
        <f aca="false">SUM(AC6:AC11)</f>
        <v>94937.8406611708</v>
      </c>
      <c r="AD12" s="55" t="n">
        <f aca="false">SUM(AD6:AD11)</f>
        <v>104048.436444229</v>
      </c>
      <c r="AE12" s="55" t="n">
        <f aca="false">SUM(AE6:AE11)</f>
        <v>113326.817797691</v>
      </c>
      <c r="AF12" s="55" t="n">
        <f aca="false">SUM(AF6:AF11)</f>
        <v>122751.547229242</v>
      </c>
      <c r="AG12" s="55" t="n">
        <f aca="false">SUM(AG6:AG11)</f>
        <v>132300.428080287</v>
      </c>
      <c r="AH12" s="55" t="n">
        <f aca="false">SUM(AH6:AH11)</f>
        <v>142018.408234302</v>
      </c>
      <c r="AI12" s="55" t="n">
        <f aca="false">SUM(AI6:AI11)</f>
        <v>151853.50885435</v>
      </c>
      <c r="AJ12" s="55" t="n">
        <f aca="false">SUM(AJ6:AJ11)</f>
        <v>161812.993776234</v>
      </c>
      <c r="AK12" s="55" t="n">
        <f aca="false">SUM(AK6:AK11)</f>
        <v>171943.007683796</v>
      </c>
      <c r="AL12" s="55" t="n">
        <f aca="false">SUM(AL6:AL11)</f>
        <v>187199.10251243</v>
      </c>
      <c r="AM12" s="55" t="n">
        <f aca="false">SUM(AM6:AM11)</f>
        <v>202616.259026941</v>
      </c>
      <c r="AN12" s="55" t="n">
        <f aca="false">SUM(AN6:AN11)</f>
        <v>218194.821978288</v>
      </c>
      <c r="AO12" s="55" t="n">
        <f aca="false">SUM(AO6:AO11)</f>
        <v>233935.15335498</v>
      </c>
      <c r="AP12" s="55" t="n">
        <f aca="false">SUM(AP6:AP11)</f>
        <v>249837.633244951</v>
      </c>
      <c r="AQ12" s="55" t="n">
        <f aca="false">SUM(AQ6:AQ11)</f>
        <v>265902.660740532</v>
      </c>
      <c r="AR12" s="55" t="n">
        <f aca="false">SUM(AR6:AR11)</f>
        <v>282130.65488867</v>
      </c>
      <c r="AS12" s="55" t="n">
        <f aca="false">SUM(AS6:AS11)</f>
        <v>298522.055688659</v>
      </c>
      <c r="AT12" s="55" t="n">
        <f aca="false">SUM(AT6:AT11)</f>
        <v>315077.325139758</v>
      </c>
      <c r="AU12" s="55" t="n">
        <f aca="false">SUM(AU6:AU11)</f>
        <v>331766.948341191</v>
      </c>
      <c r="AV12" s="55" t="n">
        <f aca="false">SUM(AV6:AV11)</f>
        <v>348621.434647139</v>
      </c>
      <c r="AW12" s="55" t="n">
        <f aca="false">SUM(AW6:AW11)</f>
        <v>365641.318879496</v>
      </c>
      <c r="AX12" s="55" t="n">
        <f aca="false">SUM(AX6:AX11)</f>
        <v>388434.254615138</v>
      </c>
      <c r="AY12" s="55" t="n">
        <f aca="false">SUM(AY6:AY11)</f>
        <v>411457.189481311</v>
      </c>
      <c r="AZ12" s="55" t="n">
        <f aca="false">SUM(AZ6:AZ11)</f>
        <v>434660.887392877</v>
      </c>
      <c r="BA12" s="55" t="n">
        <f aca="false">SUM(BA6:BA11)</f>
        <v>458070.868220854</v>
      </c>
      <c r="BB12" s="55" t="n">
        <f aca="false">SUM(BB6:BB11)</f>
        <v>481713.14684023</v>
      </c>
      <c r="BC12" s="55" t="n">
        <f aca="false">SUM(BC6:BC11)</f>
        <v>505537.891005158</v>
      </c>
      <c r="BD12" s="55" t="n">
        <f aca="false">SUM(BD6:BD11)</f>
        <v>529571.069930416</v>
      </c>
      <c r="BE12" s="55" t="n">
        <f aca="false">SUM(BE6:BE11)</f>
        <v>553839.152958187</v>
      </c>
      <c r="BF12" s="55" t="n">
        <f aca="false">SUM(BF6:BF11)</f>
        <v>578291.72706443</v>
      </c>
      <c r="BG12" s="55" t="n">
        <f aca="false">SUM(BG6:BG11)</f>
        <v>602955.226959318</v>
      </c>
      <c r="BH12" s="55" t="n">
        <f aca="false">SUM(BH6:BH11)</f>
        <v>627856.59341145</v>
      </c>
      <c r="BI12" s="55" t="n">
        <f aca="false">SUM(BI6:BI11)</f>
        <v>652944.850425773</v>
      </c>
    </row>
    <row r="13" customFormat="false" ht="14.25" hidden="false" customHeight="false" outlineLevel="0" collapsed="false">
      <c r="A13" s="2" t="s">
        <v>432</v>
      </c>
      <c r="B13" s="57" t="n">
        <f aca="false">B5-B12</f>
        <v>-1044.55</v>
      </c>
      <c r="C13" s="57" t="n">
        <f aca="false">C5-C12</f>
        <v>-931.245454545455</v>
      </c>
      <c r="D13" s="57" t="n">
        <f aca="false">D5-D12</f>
        <v>-715.435606060607</v>
      </c>
      <c r="E13" s="57" t="n">
        <f aca="false">E5-E12</f>
        <v>-377.074621212121</v>
      </c>
      <c r="F13" s="57" t="n">
        <f aca="false">F5-F12</f>
        <v>39.410511363636</v>
      </c>
      <c r="G13" s="57" t="n">
        <f aca="false">G5-G12</f>
        <v>561.55618844697</v>
      </c>
      <c r="H13" s="57" t="n">
        <f aca="false">H5-H12</f>
        <v>1176.04611908144</v>
      </c>
      <c r="I13" s="57" t="n">
        <f aca="false">I5-I12</f>
        <v>1865.09069776279</v>
      </c>
      <c r="J13" s="57" t="n">
        <f aca="false">J5-J12</f>
        <v>2662.9200053782</v>
      </c>
      <c r="K13" s="57" t="n">
        <f aca="false">K5-K12</f>
        <v>3552.85407382892</v>
      </c>
      <c r="L13" s="57" t="n">
        <f aca="false">L5-L12</f>
        <v>4513.73905024765</v>
      </c>
      <c r="M13" s="57" t="n">
        <f aca="false">M5-M12</f>
        <v>5586.49698760851</v>
      </c>
      <c r="N13" s="57" t="n">
        <f aca="false">N5-N12</f>
        <v>9085.19905921116</v>
      </c>
      <c r="O13" s="57" t="n">
        <f aca="false">O5-O12</f>
        <v>12769.2915399495</v>
      </c>
      <c r="P13" s="57" t="n">
        <f aca="false">P5-P12</f>
        <v>16594.3467002803</v>
      </c>
      <c r="Q13" s="57" t="n">
        <f aca="false">Q5-Q12</f>
        <v>20584.5270214054</v>
      </c>
      <c r="R13" s="57" t="n">
        <f aca="false">R5-R12</f>
        <v>24766.0682613646</v>
      </c>
      <c r="S13" s="57" t="n">
        <f aca="false">S5-S12</f>
        <v>29091.4075077662</v>
      </c>
      <c r="T13" s="57" t="n">
        <f aca="false">T5-T12</f>
        <v>33586.2437164878</v>
      </c>
      <c r="U13" s="57" t="n">
        <f aca="false">U5-U12</f>
        <v>38278.3882356455</v>
      </c>
      <c r="V13" s="57" t="n">
        <f aca="false">V5-V12</f>
        <v>43117.0803140945</v>
      </c>
      <c r="W13" s="57" t="n">
        <f aca="false">W5-W12</f>
        <v>48129.5825936881</v>
      </c>
      <c r="X13" s="57" t="n">
        <f aca="false">X5-X12</f>
        <v>53375.3090844836</v>
      </c>
      <c r="Y13" s="57" t="n">
        <f aca="false">Y5-Y12</f>
        <v>58770.2381220411</v>
      </c>
      <c r="Z13" s="57" t="n">
        <f aca="false">Z5-Z12</f>
        <v>70572.2414864765</v>
      </c>
      <c r="AA13" s="57" t="n">
        <f aca="false">AA5-AA12</f>
        <v>82803.1537795503</v>
      </c>
      <c r="AB13" s="57" t="n">
        <f aca="false">AB5-AB12</f>
        <v>95528.1011560278</v>
      </c>
      <c r="AC13" s="57" t="n">
        <f aca="false">AC5-AC12</f>
        <v>108724.159338829</v>
      </c>
      <c r="AD13" s="57" t="n">
        <f aca="false">AD5-AD12</f>
        <v>122365.914805771</v>
      </c>
      <c r="AE13" s="57" t="n">
        <f aca="false">AE5-AE12</f>
        <v>136522.182202309</v>
      </c>
      <c r="AF13" s="57" t="n">
        <f aca="false">AF5-AF12</f>
        <v>151168.154854091</v>
      </c>
      <c r="AG13" s="57" t="n">
        <f aca="false">AG5-AG12</f>
        <v>166276.465253046</v>
      </c>
      <c r="AH13" s="57" t="n">
        <f aca="false">AH5-AH12</f>
        <v>181919.716765698</v>
      </c>
      <c r="AI13" s="57" t="n">
        <f aca="false">AI5-AI12</f>
        <v>198101.162812316</v>
      </c>
      <c r="AJ13" s="57" t="n">
        <f aca="false">AJ5-AJ12</f>
        <v>214761.424140432</v>
      </c>
      <c r="AK13" s="57" t="n">
        <f aca="false">AK5-AK12</f>
        <v>231976.992316204</v>
      </c>
      <c r="AL13" s="57" t="n">
        <f aca="false">AL5-AL12</f>
        <v>256749.508598681</v>
      </c>
      <c r="AM13" s="57" t="n">
        <f aca="false">AM5-AM12</f>
        <v>282094.85208417</v>
      </c>
      <c r="AN13" s="57" t="n">
        <f aca="false">AN5-AN12</f>
        <v>308017.678021712</v>
      </c>
      <c r="AO13" s="57" t="n">
        <f aca="false">AO5-AO12</f>
        <v>334522.624422798</v>
      </c>
      <c r="AP13" s="57" t="n">
        <f aca="false">AP5-AP12</f>
        <v>361614.311199493</v>
      </c>
      <c r="AQ13" s="57" t="n">
        <f aca="false">AQ5-AQ12</f>
        <v>389297.339259468</v>
      </c>
      <c r="AR13" s="57" t="n">
        <f aca="false">AR5-AR12</f>
        <v>417576.289555775</v>
      </c>
      <c r="AS13" s="57" t="n">
        <f aca="false">AS5-AS12</f>
        <v>446455.722089119</v>
      </c>
      <c r="AT13" s="57" t="n">
        <f aca="false">AT5-AT12</f>
        <v>475940.174860242</v>
      </c>
      <c r="AU13" s="57" t="n">
        <f aca="false">AU5-AU12</f>
        <v>506064.16276992</v>
      </c>
      <c r="AV13" s="57" t="n">
        <f aca="false">AV5-AV12</f>
        <v>536802.176463972</v>
      </c>
      <c r="AW13" s="57" t="n">
        <f aca="false">AW5-AW12</f>
        <v>568158.681120504</v>
      </c>
      <c r="AX13" s="57" t="n">
        <f aca="false">AX5-AX12</f>
        <v>607053.121601529</v>
      </c>
      <c r="AY13" s="57" t="n">
        <f aca="false">AY5-AY12</f>
        <v>646484.141652022</v>
      </c>
      <c r="AZ13" s="57" t="n">
        <f aca="false">AZ5-AZ12</f>
        <v>686368.087607123</v>
      </c>
      <c r="BA13" s="57" t="n">
        <f aca="false">BA5-BA12</f>
        <v>726748.301912479</v>
      </c>
      <c r="BB13" s="57" t="n">
        <f aca="false">BB5-BB12</f>
        <v>767669.291076437</v>
      </c>
      <c r="BC13" s="57" t="n">
        <f aca="false">BC5-BC12</f>
        <v>809045.508994842</v>
      </c>
      <c r="BD13" s="57" t="n">
        <f aca="false">BD5-BD12</f>
        <v>850921.092019584</v>
      </c>
      <c r="BE13" s="57" t="n">
        <f aca="false">BE5-BE12</f>
        <v>893341.343841813</v>
      </c>
      <c r="BF13" s="57" t="n">
        <f aca="false">BF5-BF12</f>
        <v>936218.79793557</v>
      </c>
      <c r="BG13" s="57" t="n">
        <f aca="false">BG5-BG12</f>
        <v>979598.374707349</v>
      </c>
      <c r="BH13" s="57" t="n">
        <f aca="false">BH5-BH12</f>
        <v>1023526.16437188</v>
      </c>
      <c r="BI13" s="57" t="n">
        <f aca="false">BI5-BI12</f>
        <v>1067912.74957423</v>
      </c>
    </row>
    <row r="14" customFormat="false" ht="14.25" hidden="false" customHeight="false" outlineLevel="0" collapsed="false">
      <c r="A14" s="7" t="s">
        <v>433</v>
      </c>
      <c r="B14" s="56" t="n">
        <f aca="false">IFERROR(B13/B5,0)</f>
        <v>-1.2435119047619</v>
      </c>
      <c r="C14" s="56" t="n">
        <f aca="false">IFERROR(C13/C5,0)</f>
        <v>-0.514241967871486</v>
      </c>
      <c r="D14" s="56" t="n">
        <f aca="false">IFERROR(D13/D5,0)</f>
        <v>-0.242147435897436</v>
      </c>
      <c r="E14" s="56" t="n">
        <f aca="false">IFERROR(E13/E5,0)</f>
        <v>-0.0887044660678643</v>
      </c>
      <c r="F14" s="56" t="n">
        <f aca="false">IFERROR(F13/F5,0)</f>
        <v>0.00694736578525635</v>
      </c>
      <c r="G14" s="56" t="n">
        <f aca="false">IFERROR(G13/G5,0)</f>
        <v>0.0772139759114583</v>
      </c>
      <c r="H14" s="56" t="n">
        <f aca="false">IFERROR(H13/H5,0)</f>
        <v>0.13030325654609</v>
      </c>
      <c r="I14" s="56" t="n">
        <f aca="false">IFERROR(I13/I5,0)</f>
        <v>0.171137785080002</v>
      </c>
      <c r="J14" s="56" t="n">
        <f aca="false">IFERROR(J13/J5,0)</f>
        <v>0.205558737257264</v>
      </c>
      <c r="K14" s="56" t="n">
        <f aca="false">IFERROR(K13/K5,0)</f>
        <v>0.234300928130205</v>
      </c>
      <c r="L14" s="56" t="n">
        <f aca="false">IFERROR(L13/L5,0)</f>
        <v>0.258115666212955</v>
      </c>
      <c r="M14" s="56" t="n">
        <f aca="false">IFERROR(M13/M5,0)</f>
        <v>0.279324849380426</v>
      </c>
      <c r="N14" s="56" t="n">
        <f aca="false">IFERROR(N13/N5,0)</f>
        <v>0.338676915981926</v>
      </c>
      <c r="O14" s="56" t="n">
        <f aca="false">IFERROR(O13/O5,0)</f>
        <v>0.376251512012415</v>
      </c>
      <c r="P14" s="56" t="n">
        <f aca="false">IFERROR(P13/P5,0)</f>
        <v>0.402217718764463</v>
      </c>
      <c r="Q14" s="56" t="n">
        <f aca="false">IFERROR(Q13/Q5,0)</f>
        <v>0.421600283191203</v>
      </c>
      <c r="R14" s="56" t="n">
        <f aca="false">IFERROR(R13/R5,0)</f>
        <v>0.436895350063323</v>
      </c>
      <c r="S14" s="56" t="n">
        <f aca="false">IFERROR(S13/S5,0)</f>
        <v>0.449239580396963</v>
      </c>
      <c r="T14" s="56" t="n">
        <f aca="false">IFERROR(T13/T5,0)</f>
        <v>0.459576093411082</v>
      </c>
      <c r="U14" s="56" t="n">
        <f aca="false">IFERROR(U13/U5,0)</f>
        <v>0.46848885952729</v>
      </c>
      <c r="V14" s="56" t="n">
        <f aca="false">IFERROR(V13/V5,0)</f>
        <v>0.476208850431574</v>
      </c>
      <c r="W14" s="56" t="n">
        <f aca="false">IFERROR(W13/W5,0)</f>
        <v>0.48305010289389</v>
      </c>
      <c r="X14" s="56" t="n">
        <f aca="false">IFERROR(X13/X5,0)</f>
        <v>0.489503582361205</v>
      </c>
      <c r="Y14" s="56" t="n">
        <f aca="false">IFERROR(Y13/Y5,0)</f>
        <v>0.49529933692389</v>
      </c>
      <c r="Z14" s="56" t="n">
        <f aca="false">IFERROR(Z13/Z5,0)</f>
        <v>0.507683596300996</v>
      </c>
      <c r="AA14" s="56" t="n">
        <f aca="false">IFERROR(AA13/AA5,0)</f>
        <v>0.517799511639547</v>
      </c>
      <c r="AB14" s="56" t="n">
        <f aca="false">IFERROR(AB13/AB5,0)</f>
        <v>0.526385442731593</v>
      </c>
      <c r="AC14" s="56" t="n">
        <f aca="false">IFERROR(AC13/AC5,0)</f>
        <v>0.533846075059801</v>
      </c>
      <c r="AD14" s="56" t="n">
        <f aca="false">IFERROR(AD13/AD5,0)</f>
        <v>0.540451230808501</v>
      </c>
      <c r="AE14" s="56" t="n">
        <f aca="false">IFERROR(AE13/AE5,0)</f>
        <v>0.546418765743746</v>
      </c>
      <c r="AF14" s="56" t="n">
        <f aca="false">IFERROR(AF13/AF5,0)</f>
        <v>0.551870324421214</v>
      </c>
      <c r="AG14" s="56" t="n">
        <f aca="false">IFERROR(AG13/AG5,0)</f>
        <v>0.556896628525817</v>
      </c>
      <c r="AH14" s="56" t="n">
        <f aca="false">IFERROR(AH13/AH5,0)</f>
        <v>0.561587854982177</v>
      </c>
      <c r="AI14" s="56" t="n">
        <f aca="false">IFERROR(AI13/AI5,0)</f>
        <v>0.566076634636296</v>
      </c>
      <c r="AJ14" s="56" t="n">
        <f aca="false">IFERROR(AJ13/AJ5,0)</f>
        <v>0.570302744749797</v>
      </c>
      <c r="AK14" s="56" t="n">
        <f aca="false">IFERROR(AK13/AK5,0)</f>
        <v>0.574314201614686</v>
      </c>
      <c r="AL14" s="56" t="n">
        <f aca="false">IFERROR(AL13/AL5,0)</f>
        <v>0.578331595533299</v>
      </c>
      <c r="AM14" s="56" t="n">
        <f aca="false">IFERROR(AM13/AM5,0)</f>
        <v>0.581985528323293</v>
      </c>
      <c r="AN14" s="56" t="n">
        <f aca="false">IFERROR(AN13/AN5,0)</f>
        <v>0.585348462877093</v>
      </c>
      <c r="AO14" s="56" t="n">
        <f aca="false">IFERROR(AO13/AO5,0)</f>
        <v>0.588474003699128</v>
      </c>
      <c r="AP14" s="56" t="n">
        <f aca="false">IFERROR(AP13/AP5,0)</f>
        <v>0.591402667838517</v>
      </c>
      <c r="AQ14" s="56" t="n">
        <f aca="false">IFERROR(AQ13/AQ5,0)</f>
        <v>0.594165658210421</v>
      </c>
      <c r="AR14" s="56" t="n">
        <f aca="false">IFERROR(AR13/AR5,0)</f>
        <v>0.596787402027749</v>
      </c>
      <c r="AS14" s="56" t="n">
        <f aca="false">IFERROR(AS13/AS5,0)</f>
        <v>0.599287301455982</v>
      </c>
      <c r="AT14" s="56" t="n">
        <f aca="false">IFERROR(AT13/AT5,0)</f>
        <v>0.601680967690654</v>
      </c>
      <c r="AU14" s="56" t="n">
        <f aca="false">IFERROR(AU13/AU5,0)</f>
        <v>0.604016914696317</v>
      </c>
      <c r="AV14" s="56" t="n">
        <f aca="false">IFERROR(AV13/AV5,0)</f>
        <v>0.606265938391165</v>
      </c>
      <c r="AW14" s="56" t="n">
        <f aca="false">IFERROR(AW13/AW5,0)</f>
        <v>0.60843722544496</v>
      </c>
      <c r="AX14" s="56" t="n">
        <f aca="false">IFERROR(AX13/AX5,0)</f>
        <v>0.609804941885476</v>
      </c>
      <c r="AY14" s="56" t="n">
        <f aca="false">IFERROR(AY13/AY5,0)</f>
        <v>0.611077497992698</v>
      </c>
      <c r="AZ14" s="56" t="n">
        <f aca="false">IFERROR(AZ13/AZ5,0)</f>
        <v>0.612266143796259</v>
      </c>
      <c r="BA14" s="56" t="n">
        <f aca="false">IFERROR(BA13/BA5,0)</f>
        <v>0.613383307961412</v>
      </c>
      <c r="BB14" s="56" t="n">
        <f aca="false">IFERROR(BB13/BB5,0)</f>
        <v>0.61443899624243</v>
      </c>
      <c r="BC14" s="56" t="n">
        <f aca="false">IFERROR(BC13/BC5,0)</f>
        <v>0.615438707802671</v>
      </c>
      <c r="BD14" s="56" t="n">
        <f aca="false">IFERROR(BD13/BD5,0)</f>
        <v>0.616389658321293</v>
      </c>
      <c r="BE14" s="56" t="n">
        <f aca="false">IFERROR(BE13/BE5,0)</f>
        <v>0.6172978048123</v>
      </c>
      <c r="BF14" s="56" t="n">
        <f aca="false">IFERROR(BF13/BF5,0)</f>
        <v>0.618165923895161</v>
      </c>
      <c r="BG14" s="56" t="n">
        <f aca="false">IFERROR(BG13/BG5,0)</f>
        <v>0.618998543667453</v>
      </c>
      <c r="BH14" s="56" t="n">
        <f aca="false">IFERROR(BH13/BH5,0)</f>
        <v>0.619799473833536</v>
      </c>
      <c r="BI14" s="56" t="n">
        <f aca="false">IFERROR(BI13/BI5,0)</f>
        <v>0.620570086434942</v>
      </c>
    </row>
    <row r="16" customFormat="false" ht="14.25" hidden="false" customHeight="false" outlineLevel="0" collapsed="false">
      <c r="A16" s="51" t="s">
        <v>434</v>
      </c>
    </row>
    <row r="17" customFormat="false" ht="14.25" hidden="false" customHeight="false" outlineLevel="0" collapsed="false">
      <c r="A17" s="7" t="s">
        <v>435</v>
      </c>
      <c r="B17" s="18" t="n">
        <f aca="false">headcount_uk!G44</f>
        <v>81583.3333333333</v>
      </c>
      <c r="C17" s="18" t="n">
        <f aca="false">headcount_uk!H44</f>
        <v>74243.3333333333</v>
      </c>
      <c r="D17" s="18" t="n">
        <f aca="false">headcount_uk!I44</f>
        <v>49493.3333333333</v>
      </c>
      <c r="E17" s="18" t="n">
        <f aca="false">headcount_uk!J44</f>
        <v>87193.3333333333</v>
      </c>
      <c r="F17" s="18" t="n">
        <f aca="false">headcount_uk!K44</f>
        <v>64693.3333333333</v>
      </c>
      <c r="G17" s="18" t="n">
        <f aca="false">headcount_uk!L44</f>
        <v>107340</v>
      </c>
      <c r="H17" s="18" t="n">
        <f aca="false">headcount_uk!M44</f>
        <v>81840</v>
      </c>
      <c r="I17" s="18" t="n">
        <f aca="false">headcount_uk!N44</f>
        <v>81840</v>
      </c>
      <c r="J17" s="18" t="n">
        <f aca="false">headcount_uk!O44</f>
        <v>133443.333333333</v>
      </c>
      <c r="K17" s="18" t="n">
        <f aca="false">headcount_uk!P44</f>
        <v>102693.333333333</v>
      </c>
      <c r="L17" s="18" t="n">
        <f aca="false">headcount_uk!Q44</f>
        <v>102693.333333333</v>
      </c>
      <c r="M17" s="18" t="n">
        <f aca="false">headcount_uk!R44</f>
        <v>149350</v>
      </c>
      <c r="N17" s="18" t="n">
        <f aca="false">headcount_uk!S44</f>
        <v>126272</v>
      </c>
      <c r="O17" s="18" t="n">
        <f aca="false">headcount_uk!T44</f>
        <v>126272</v>
      </c>
      <c r="P17" s="18" t="n">
        <f aca="false">headcount_uk!U44</f>
        <v>163299.866666667</v>
      </c>
      <c r="Q17" s="18" t="n">
        <f aca="false">headcount_uk!V44</f>
        <v>141549.866666667</v>
      </c>
      <c r="R17" s="18" t="n">
        <f aca="false">headcount_uk!W44</f>
        <v>141549.866666667</v>
      </c>
      <c r="S17" s="18" t="n">
        <f aca="false">headcount_uk!X44</f>
        <v>141549.866666667</v>
      </c>
      <c r="T17" s="18" t="n">
        <f aca="false">headcount_uk!Y44</f>
        <v>141549.866666667</v>
      </c>
      <c r="U17" s="18" t="n">
        <f aca="false">headcount_uk!Z44</f>
        <v>165716.4</v>
      </c>
      <c r="V17" s="18" t="n">
        <f aca="false">headcount_uk!AA44</f>
        <v>151466.4</v>
      </c>
      <c r="W17" s="18" t="n">
        <f aca="false">headcount_uk!AB44</f>
        <v>170608.4</v>
      </c>
      <c r="X17" s="18" t="n">
        <f aca="false">headcount_uk!AC44</f>
        <v>159358.4</v>
      </c>
      <c r="Y17" s="18" t="n">
        <f aca="false">headcount_uk!AD44</f>
        <v>184222.6</v>
      </c>
      <c r="Z17" s="18" t="n">
        <f aca="false">headcount_uk!AE44</f>
        <v>176519.504</v>
      </c>
      <c r="AA17" s="18" t="n">
        <f aca="false">headcount_uk!AF44</f>
        <v>204949.408</v>
      </c>
      <c r="AB17" s="18" t="n">
        <f aca="false">headcount_uk!AG44</f>
        <v>188449.408</v>
      </c>
      <c r="AC17" s="18" t="n">
        <f aca="false">headcount_uk!AH44</f>
        <v>205371.624</v>
      </c>
      <c r="AD17" s="18" t="n">
        <f aca="false">headcount_uk!AI44</f>
        <v>195621.624</v>
      </c>
      <c r="AE17" s="18" t="n">
        <f aca="false">headcount_uk!AJ44</f>
        <v>212543.84</v>
      </c>
      <c r="AF17" s="18" t="n">
        <f aca="false">headcount_uk!AK44</f>
        <v>202793.84</v>
      </c>
      <c r="AG17" s="18" t="n">
        <f aca="false">headcount_uk!AL44</f>
        <v>220994.688</v>
      </c>
      <c r="AH17" s="18" t="n">
        <f aca="false">headcount_uk!AM44</f>
        <v>210494.688</v>
      </c>
      <c r="AI17" s="18" t="n">
        <f aca="false">headcount_uk!AN44</f>
        <v>233810.064</v>
      </c>
      <c r="AJ17" s="18" t="n">
        <f aca="false">headcount_uk!AO44</f>
        <v>220310.064</v>
      </c>
      <c r="AK17" s="18" t="n">
        <f aca="false">headcount_uk!AP44</f>
        <v>243625.44</v>
      </c>
      <c r="AL17" s="18" t="n">
        <f aca="false">headcount_uk!AQ44</f>
        <v>239006.4576</v>
      </c>
      <c r="AM17" s="18" t="n">
        <f aca="false">headcount_uk!AR44</f>
        <v>261402.67136</v>
      </c>
      <c r="AN17" s="18" t="n">
        <f aca="false">headcount_uk!AS44</f>
        <v>248652.67136</v>
      </c>
      <c r="AO17" s="18" t="n">
        <f aca="false">headcount_uk!AT44</f>
        <v>276247.99424</v>
      </c>
      <c r="AP17" s="18" t="n">
        <f aca="false">headcount_uk!AU44</f>
        <v>260497.99424</v>
      </c>
      <c r="AQ17" s="18" t="n">
        <f aca="false">headcount_uk!AV44</f>
        <v>297191.75808</v>
      </c>
      <c r="AR17" s="18" t="n">
        <f aca="false">headcount_uk!AW44</f>
        <v>276191.75808</v>
      </c>
      <c r="AS17" s="18" t="n">
        <f aca="false">headcount_uk!AX44</f>
        <v>307686.4128</v>
      </c>
      <c r="AT17" s="18" t="n">
        <f aca="false">headcount_uk!AY44</f>
        <v>289686.4128</v>
      </c>
      <c r="AU17" s="18" t="n">
        <f aca="false">headcount_uk!AZ44</f>
        <v>313382.40384</v>
      </c>
      <c r="AV17" s="18" t="n">
        <f aca="false">headcount_uk!BA44</f>
        <v>299882.40384</v>
      </c>
      <c r="AW17" s="18" t="n">
        <f aca="false">headcount_uk!BB44</f>
        <v>314479.95392</v>
      </c>
      <c r="AX17" s="18" t="n">
        <f aca="false">headcount_uk!BC44</f>
        <v>318083.1520768</v>
      </c>
      <c r="AY17" s="18" t="n">
        <f aca="false">headcount_uk!BD44</f>
        <v>343496.7511296</v>
      </c>
      <c r="AZ17" s="18" t="n">
        <f aca="false">headcount_uk!BE44</f>
        <v>329246.7511296</v>
      </c>
      <c r="BA17" s="18" t="n">
        <f aca="false">headcount_uk!BF44</f>
        <v>349373.2766976</v>
      </c>
      <c r="BB17" s="18" t="n">
        <f aca="false">headcount_uk!BG44</f>
        <v>338123.2766976</v>
      </c>
      <c r="BC17" s="18" t="n">
        <f aca="false">headcount_uk!BH44</f>
        <v>363536.8757504</v>
      </c>
      <c r="BD17" s="18" t="n">
        <f aca="false">headcount_uk!BI44</f>
        <v>349286.8757504</v>
      </c>
      <c r="BE17" s="18" t="n">
        <f aca="false">headcount_uk!BJ44</f>
        <v>368091.6329472</v>
      </c>
      <c r="BF17" s="18" t="n">
        <f aca="false">headcount_uk!BK44</f>
        <v>357591.6329472</v>
      </c>
      <c r="BG17" s="18" t="n">
        <f aca="false">headcount_uk!BL44</f>
        <v>381683.4636288</v>
      </c>
      <c r="BH17" s="18" t="n">
        <f aca="false">headcount_uk!BM44</f>
        <v>368183.4636288</v>
      </c>
      <c r="BI17" s="18" t="n">
        <f aca="false">headcount_uk!BN44</f>
        <v>397562.3677952</v>
      </c>
    </row>
    <row r="18" customFormat="false" ht="14.25" hidden="false" customHeight="false" outlineLevel="0" collapsed="false">
      <c r="A18" s="7" t="s">
        <v>436</v>
      </c>
      <c r="B18" s="18" t="n">
        <f aca="false">assumptions!$G$78</f>
        <v>2000</v>
      </c>
      <c r="C18" s="18" t="n">
        <f aca="false">assumptions!$G$78</f>
        <v>2000</v>
      </c>
      <c r="D18" s="18" t="n">
        <f aca="false">assumptions!$G$78</f>
        <v>2000</v>
      </c>
      <c r="E18" s="18" t="n">
        <f aca="false">assumptions!$G$78</f>
        <v>2000</v>
      </c>
      <c r="F18" s="18" t="n">
        <f aca="false">assumptions!$G$78</f>
        <v>2000</v>
      </c>
      <c r="G18" s="18" t="n">
        <f aca="false">assumptions!$G$78</f>
        <v>2000</v>
      </c>
      <c r="H18" s="18" t="n">
        <f aca="false">assumptions!$G$79</f>
        <v>4000</v>
      </c>
      <c r="I18" s="18" t="n">
        <f aca="false">assumptions!$G$79</f>
        <v>4000</v>
      </c>
      <c r="J18" s="18" t="n">
        <f aca="false">assumptions!$G$79</f>
        <v>4000</v>
      </c>
      <c r="K18" s="18" t="n">
        <f aca="false">assumptions!$G$79</f>
        <v>4000</v>
      </c>
      <c r="L18" s="18" t="n">
        <f aca="false">assumptions!$G$79</f>
        <v>4000</v>
      </c>
      <c r="M18" s="18" t="n">
        <f aca="false">assumptions!$G$79</f>
        <v>4000</v>
      </c>
      <c r="N18" s="18" t="n">
        <f aca="false">assumptions!$G$80</f>
        <v>6000</v>
      </c>
      <c r="O18" s="18" t="n">
        <f aca="false">assumptions!$G$80</f>
        <v>6000</v>
      </c>
      <c r="P18" s="18" t="n">
        <f aca="false">assumptions!$G$80</f>
        <v>6000</v>
      </c>
      <c r="Q18" s="18" t="n">
        <f aca="false">assumptions!$G$80</f>
        <v>6000</v>
      </c>
      <c r="R18" s="18" t="n">
        <f aca="false">assumptions!$G$80</f>
        <v>6000</v>
      </c>
      <c r="S18" s="18" t="n">
        <f aca="false">assumptions!$G$80</f>
        <v>6000</v>
      </c>
      <c r="T18" s="18" t="n">
        <f aca="false">assumptions!$G$80</f>
        <v>6000</v>
      </c>
      <c r="U18" s="18" t="n">
        <f aca="false">assumptions!$G$80</f>
        <v>6000</v>
      </c>
      <c r="V18" s="18" t="n">
        <f aca="false">assumptions!$G$80</f>
        <v>6000</v>
      </c>
      <c r="W18" s="18" t="n">
        <f aca="false">assumptions!$G$80</f>
        <v>6000</v>
      </c>
      <c r="X18" s="18" t="n">
        <f aca="false">assumptions!$G$80</f>
        <v>6000</v>
      </c>
      <c r="Y18" s="18" t="n">
        <f aca="false">assumptions!$G$80</f>
        <v>6000</v>
      </c>
      <c r="Z18" s="18" t="n">
        <f aca="false">assumptions!$G$81</f>
        <v>10000</v>
      </c>
      <c r="AA18" s="18" t="n">
        <f aca="false">assumptions!$G$81</f>
        <v>10000</v>
      </c>
      <c r="AB18" s="18" t="n">
        <f aca="false">assumptions!$G$81</f>
        <v>10000</v>
      </c>
      <c r="AC18" s="18" t="n">
        <f aca="false">assumptions!$G$81</f>
        <v>10000</v>
      </c>
      <c r="AD18" s="18" t="n">
        <f aca="false">assumptions!$G$81</f>
        <v>10000</v>
      </c>
      <c r="AE18" s="18" t="n">
        <f aca="false">assumptions!$G$81</f>
        <v>10000</v>
      </c>
      <c r="AF18" s="18" t="n">
        <f aca="false">assumptions!$G$81</f>
        <v>10000</v>
      </c>
      <c r="AG18" s="18" t="n">
        <f aca="false">assumptions!$G$81</f>
        <v>10000</v>
      </c>
      <c r="AH18" s="18" t="n">
        <f aca="false">assumptions!$G$81</f>
        <v>10000</v>
      </c>
      <c r="AI18" s="18" t="n">
        <f aca="false">assumptions!$G$81</f>
        <v>10000</v>
      </c>
      <c r="AJ18" s="18" t="n">
        <f aca="false">assumptions!$G$81</f>
        <v>10000</v>
      </c>
      <c r="AK18" s="18" t="n">
        <f aca="false">assumptions!$G$81</f>
        <v>10000</v>
      </c>
      <c r="AL18" s="18" t="n">
        <f aca="false">assumptions!$G$82</f>
        <v>18000</v>
      </c>
      <c r="AM18" s="18" t="n">
        <f aca="false">assumptions!$G$82</f>
        <v>18000</v>
      </c>
      <c r="AN18" s="18" t="n">
        <f aca="false">assumptions!$G$82</f>
        <v>18000</v>
      </c>
      <c r="AO18" s="18" t="n">
        <f aca="false">assumptions!$G$82</f>
        <v>18000</v>
      </c>
      <c r="AP18" s="18" t="n">
        <f aca="false">assumptions!$G$82</f>
        <v>18000</v>
      </c>
      <c r="AQ18" s="18" t="n">
        <f aca="false">assumptions!$G$82</f>
        <v>18000</v>
      </c>
      <c r="AR18" s="18" t="n">
        <f aca="false">assumptions!$G$82</f>
        <v>18000</v>
      </c>
      <c r="AS18" s="18" t="n">
        <f aca="false">assumptions!$G$82</f>
        <v>18000</v>
      </c>
      <c r="AT18" s="18" t="n">
        <f aca="false">assumptions!$G$82</f>
        <v>18000</v>
      </c>
      <c r="AU18" s="18" t="n">
        <f aca="false">assumptions!$G$82</f>
        <v>18000</v>
      </c>
      <c r="AV18" s="18" t="n">
        <f aca="false">assumptions!$G$82</f>
        <v>18000</v>
      </c>
      <c r="AW18" s="18" t="n">
        <f aca="false">assumptions!$G$82</f>
        <v>18000</v>
      </c>
      <c r="AX18" s="18" t="n">
        <f aca="false">assumptions!$G$82</f>
        <v>18000</v>
      </c>
      <c r="AY18" s="18" t="n">
        <f aca="false">assumptions!$G$82</f>
        <v>18000</v>
      </c>
      <c r="AZ18" s="18" t="n">
        <f aca="false">assumptions!$G$82</f>
        <v>18000</v>
      </c>
      <c r="BA18" s="18" t="n">
        <f aca="false">assumptions!$G$82</f>
        <v>18000</v>
      </c>
      <c r="BB18" s="18" t="n">
        <f aca="false">assumptions!$G$82</f>
        <v>18000</v>
      </c>
      <c r="BC18" s="18" t="n">
        <f aca="false">assumptions!$G$82</f>
        <v>18000</v>
      </c>
      <c r="BD18" s="18" t="n">
        <f aca="false">assumptions!$G$82</f>
        <v>18000</v>
      </c>
      <c r="BE18" s="18" t="n">
        <f aca="false">assumptions!$G$82</f>
        <v>18000</v>
      </c>
      <c r="BF18" s="18" t="n">
        <f aca="false">assumptions!$G$82</f>
        <v>18000</v>
      </c>
      <c r="BG18" s="18" t="n">
        <f aca="false">assumptions!$G$82</f>
        <v>18000</v>
      </c>
      <c r="BH18" s="18" t="n">
        <f aca="false">assumptions!$G$82</f>
        <v>18000</v>
      </c>
      <c r="BI18" s="18" t="n">
        <f aca="false">assumptions!$G$82</f>
        <v>18000</v>
      </c>
    </row>
    <row r="19" customFormat="false" ht="14.25" hidden="false" customHeight="false" outlineLevel="0" collapsed="false">
      <c r="A19" s="7" t="s">
        <v>437</v>
      </c>
      <c r="B19" s="18" t="n">
        <f aca="false">assumptions!$G$83</f>
        <v>1500</v>
      </c>
      <c r="C19" s="18" t="n">
        <f aca="false">assumptions!$G$83</f>
        <v>1500</v>
      </c>
      <c r="D19" s="18" t="n">
        <f aca="false">assumptions!$G$83</f>
        <v>1500</v>
      </c>
      <c r="E19" s="18" t="n">
        <f aca="false">assumptions!$G$83</f>
        <v>1500</v>
      </c>
      <c r="F19" s="18" t="n">
        <f aca="false">assumptions!$G$83</f>
        <v>1500</v>
      </c>
      <c r="G19" s="18" t="n">
        <f aca="false">assumptions!$G$83</f>
        <v>1500</v>
      </c>
      <c r="H19" s="18" t="n">
        <f aca="false">assumptions!$G$84</f>
        <v>1500</v>
      </c>
      <c r="I19" s="18" t="n">
        <f aca="false">assumptions!$G$84</f>
        <v>1500</v>
      </c>
      <c r="J19" s="18" t="n">
        <f aca="false">assumptions!$G$84</f>
        <v>1500</v>
      </c>
      <c r="K19" s="18" t="n">
        <f aca="false">assumptions!$G$84</f>
        <v>1500</v>
      </c>
      <c r="L19" s="18" t="n">
        <f aca="false">assumptions!$G$84</f>
        <v>1500</v>
      </c>
      <c r="M19" s="18" t="n">
        <f aca="false">assumptions!$G$84</f>
        <v>1500</v>
      </c>
      <c r="N19" s="18" t="n">
        <f aca="false">assumptions!$G$85</f>
        <v>2000</v>
      </c>
      <c r="O19" s="18" t="n">
        <f aca="false">assumptions!$G$85</f>
        <v>2000</v>
      </c>
      <c r="P19" s="18" t="n">
        <f aca="false">assumptions!$G$85</f>
        <v>2000</v>
      </c>
      <c r="Q19" s="18" t="n">
        <f aca="false">assumptions!$G$85</f>
        <v>2000</v>
      </c>
      <c r="R19" s="18" t="n">
        <f aca="false">assumptions!$G$85</f>
        <v>2000</v>
      </c>
      <c r="S19" s="18" t="n">
        <f aca="false">assumptions!$G$85</f>
        <v>2000</v>
      </c>
      <c r="T19" s="18" t="n">
        <f aca="false">assumptions!$G$85</f>
        <v>2000</v>
      </c>
      <c r="U19" s="18" t="n">
        <f aca="false">assumptions!$G$85</f>
        <v>2000</v>
      </c>
      <c r="V19" s="18" t="n">
        <f aca="false">assumptions!$G$85</f>
        <v>2000</v>
      </c>
      <c r="W19" s="18" t="n">
        <f aca="false">assumptions!$G$85</f>
        <v>2000</v>
      </c>
      <c r="X19" s="18" t="n">
        <f aca="false">assumptions!$G$85</f>
        <v>2000</v>
      </c>
      <c r="Y19" s="18" t="n">
        <f aca="false">assumptions!$G$85</f>
        <v>2000</v>
      </c>
      <c r="Z19" s="18" t="n">
        <f aca="false">assumptions!$G$86</f>
        <v>3000</v>
      </c>
      <c r="AA19" s="18" t="n">
        <f aca="false">assumptions!$G$86</f>
        <v>3000</v>
      </c>
      <c r="AB19" s="18" t="n">
        <f aca="false">assumptions!$G$86</f>
        <v>3000</v>
      </c>
      <c r="AC19" s="18" t="n">
        <f aca="false">assumptions!$G$86</f>
        <v>3000</v>
      </c>
      <c r="AD19" s="18" t="n">
        <f aca="false">assumptions!$G$86</f>
        <v>3000</v>
      </c>
      <c r="AE19" s="18" t="n">
        <f aca="false">assumptions!$G$86</f>
        <v>3000</v>
      </c>
      <c r="AF19" s="18" t="n">
        <f aca="false">assumptions!$G$86</f>
        <v>3000</v>
      </c>
      <c r="AG19" s="18" t="n">
        <f aca="false">assumptions!$G$86</f>
        <v>3000</v>
      </c>
      <c r="AH19" s="18" t="n">
        <f aca="false">assumptions!$G$86</f>
        <v>3000</v>
      </c>
      <c r="AI19" s="18" t="n">
        <f aca="false">assumptions!$G$86</f>
        <v>3000</v>
      </c>
      <c r="AJ19" s="18" t="n">
        <f aca="false">assumptions!$G$86</f>
        <v>3000</v>
      </c>
      <c r="AK19" s="18" t="n">
        <f aca="false">assumptions!$G$86</f>
        <v>3000</v>
      </c>
      <c r="AL19" s="18" t="n">
        <f aca="false">assumptions!$G$87</f>
        <v>4500</v>
      </c>
      <c r="AM19" s="18" t="n">
        <f aca="false">assumptions!$G$87</f>
        <v>4500</v>
      </c>
      <c r="AN19" s="18" t="n">
        <f aca="false">assumptions!$G$87</f>
        <v>4500</v>
      </c>
      <c r="AO19" s="18" t="n">
        <f aca="false">assumptions!$G$87</f>
        <v>4500</v>
      </c>
      <c r="AP19" s="18" t="n">
        <f aca="false">assumptions!$G$87</f>
        <v>4500</v>
      </c>
      <c r="AQ19" s="18" t="n">
        <f aca="false">assumptions!$G$87</f>
        <v>4500</v>
      </c>
      <c r="AR19" s="18" t="n">
        <f aca="false">assumptions!$G$87</f>
        <v>4500</v>
      </c>
      <c r="AS19" s="18" t="n">
        <f aca="false">assumptions!$G$87</f>
        <v>4500</v>
      </c>
      <c r="AT19" s="18" t="n">
        <f aca="false">assumptions!$G$87</f>
        <v>4500</v>
      </c>
      <c r="AU19" s="18" t="n">
        <f aca="false">assumptions!$G$87</f>
        <v>4500</v>
      </c>
      <c r="AV19" s="18" t="n">
        <f aca="false">assumptions!$G$87</f>
        <v>4500</v>
      </c>
      <c r="AW19" s="18" t="n">
        <f aca="false">assumptions!$G$87</f>
        <v>4500</v>
      </c>
      <c r="AX19" s="18" t="n">
        <f aca="false">assumptions!$G$87</f>
        <v>4500</v>
      </c>
      <c r="AY19" s="18" t="n">
        <f aca="false">assumptions!$G$87</f>
        <v>4500</v>
      </c>
      <c r="AZ19" s="18" t="n">
        <f aca="false">assumptions!$G$87</f>
        <v>4500</v>
      </c>
      <c r="BA19" s="18" t="n">
        <f aca="false">assumptions!$G$87</f>
        <v>4500</v>
      </c>
      <c r="BB19" s="18" t="n">
        <f aca="false">assumptions!$G$87</f>
        <v>4500</v>
      </c>
      <c r="BC19" s="18" t="n">
        <f aca="false">assumptions!$G$87</f>
        <v>4500</v>
      </c>
      <c r="BD19" s="18" t="n">
        <f aca="false">assumptions!$G$87</f>
        <v>4500</v>
      </c>
      <c r="BE19" s="18" t="n">
        <f aca="false">assumptions!$G$87</f>
        <v>4500</v>
      </c>
      <c r="BF19" s="18" t="n">
        <f aca="false">assumptions!$G$87</f>
        <v>4500</v>
      </c>
      <c r="BG19" s="18" t="n">
        <f aca="false">assumptions!$G$87</f>
        <v>4500</v>
      </c>
      <c r="BH19" s="18" t="n">
        <f aca="false">assumptions!$G$87</f>
        <v>4500</v>
      </c>
      <c r="BI19" s="18" t="n">
        <f aca="false">assumptions!$G$87</f>
        <v>4500</v>
      </c>
    </row>
    <row r="20" customFormat="false" ht="14.25" hidden="false" customHeight="false" outlineLevel="0" collapsed="false">
      <c r="A20" s="7" t="s">
        <v>438</v>
      </c>
      <c r="B20" s="18" t="n">
        <f aca="false">assumptions!$G$88</f>
        <v>1000</v>
      </c>
      <c r="C20" s="18" t="n">
        <f aca="false">assumptions!$G$88</f>
        <v>1000</v>
      </c>
      <c r="D20" s="18" t="n">
        <f aca="false">assumptions!$G$88</f>
        <v>1000</v>
      </c>
      <c r="E20" s="18" t="n">
        <f aca="false">assumptions!$G$88</f>
        <v>1000</v>
      </c>
      <c r="F20" s="18" t="n">
        <f aca="false">assumptions!$G$88</f>
        <v>1000</v>
      </c>
      <c r="G20" s="18" t="n">
        <f aca="false">assumptions!$G$88</f>
        <v>1000</v>
      </c>
      <c r="H20" s="18" t="n">
        <f aca="false">assumptions!$G$89</f>
        <v>1500</v>
      </c>
      <c r="I20" s="18" t="n">
        <f aca="false">assumptions!$G$89</f>
        <v>1500</v>
      </c>
      <c r="J20" s="18" t="n">
        <f aca="false">assumptions!$G$89</f>
        <v>1500</v>
      </c>
      <c r="K20" s="18" t="n">
        <f aca="false">assumptions!$G$89</f>
        <v>1500</v>
      </c>
      <c r="L20" s="18" t="n">
        <f aca="false">assumptions!$G$89</f>
        <v>1500</v>
      </c>
      <c r="M20" s="18" t="n">
        <f aca="false">assumptions!$G$89</f>
        <v>1500</v>
      </c>
      <c r="N20" s="18" t="n">
        <f aca="false">assumptions!$G$90</f>
        <v>2000</v>
      </c>
      <c r="O20" s="18" t="n">
        <f aca="false">assumptions!$G$90</f>
        <v>2000</v>
      </c>
      <c r="P20" s="18" t="n">
        <f aca="false">assumptions!$G$90</f>
        <v>2000</v>
      </c>
      <c r="Q20" s="18" t="n">
        <f aca="false">assumptions!$G$90</f>
        <v>2000</v>
      </c>
      <c r="R20" s="18" t="n">
        <f aca="false">assumptions!$G$90</f>
        <v>2000</v>
      </c>
      <c r="S20" s="18" t="n">
        <f aca="false">assumptions!$G$90</f>
        <v>2000</v>
      </c>
      <c r="T20" s="18" t="n">
        <f aca="false">assumptions!$G$90</f>
        <v>2000</v>
      </c>
      <c r="U20" s="18" t="n">
        <f aca="false">assumptions!$G$90</f>
        <v>2000</v>
      </c>
      <c r="V20" s="18" t="n">
        <f aca="false">assumptions!$G$90</f>
        <v>2000</v>
      </c>
      <c r="W20" s="18" t="n">
        <f aca="false">assumptions!$G$90</f>
        <v>2000</v>
      </c>
      <c r="X20" s="18" t="n">
        <f aca="false">assumptions!$G$90</f>
        <v>2000</v>
      </c>
      <c r="Y20" s="18" t="n">
        <f aca="false">assumptions!$G$90</f>
        <v>2000</v>
      </c>
      <c r="Z20" s="18" t="n">
        <f aca="false">assumptions!$G$91</f>
        <v>3000</v>
      </c>
      <c r="AA20" s="18" t="n">
        <f aca="false">assumptions!$G$91</f>
        <v>3000</v>
      </c>
      <c r="AB20" s="18" t="n">
        <f aca="false">assumptions!$G$91</f>
        <v>3000</v>
      </c>
      <c r="AC20" s="18" t="n">
        <f aca="false">assumptions!$G$91</f>
        <v>3000</v>
      </c>
      <c r="AD20" s="18" t="n">
        <f aca="false">assumptions!$G$91</f>
        <v>3000</v>
      </c>
      <c r="AE20" s="18" t="n">
        <f aca="false">assumptions!$G$91</f>
        <v>3000</v>
      </c>
      <c r="AF20" s="18" t="n">
        <f aca="false">assumptions!$G$91</f>
        <v>3000</v>
      </c>
      <c r="AG20" s="18" t="n">
        <f aca="false">assumptions!$G$91</f>
        <v>3000</v>
      </c>
      <c r="AH20" s="18" t="n">
        <f aca="false">assumptions!$G$91</f>
        <v>3000</v>
      </c>
      <c r="AI20" s="18" t="n">
        <f aca="false">assumptions!$G$91</f>
        <v>3000</v>
      </c>
      <c r="AJ20" s="18" t="n">
        <f aca="false">assumptions!$G$91</f>
        <v>3000</v>
      </c>
      <c r="AK20" s="18" t="n">
        <f aca="false">assumptions!$G$91</f>
        <v>3000</v>
      </c>
      <c r="AL20" s="18" t="n">
        <f aca="false">assumptions!$G$92</f>
        <v>4000</v>
      </c>
      <c r="AM20" s="18" t="n">
        <f aca="false">assumptions!$G$92</f>
        <v>4000</v>
      </c>
      <c r="AN20" s="18" t="n">
        <f aca="false">assumptions!$G$92</f>
        <v>4000</v>
      </c>
      <c r="AO20" s="18" t="n">
        <f aca="false">assumptions!$G$92</f>
        <v>4000</v>
      </c>
      <c r="AP20" s="18" t="n">
        <f aca="false">assumptions!$G$92</f>
        <v>4000</v>
      </c>
      <c r="AQ20" s="18" t="n">
        <f aca="false">assumptions!$G$92</f>
        <v>4000</v>
      </c>
      <c r="AR20" s="18" t="n">
        <f aca="false">assumptions!$G$92</f>
        <v>4000</v>
      </c>
      <c r="AS20" s="18" t="n">
        <f aca="false">assumptions!$G$92</f>
        <v>4000</v>
      </c>
      <c r="AT20" s="18" t="n">
        <f aca="false">assumptions!$G$92</f>
        <v>4000</v>
      </c>
      <c r="AU20" s="18" t="n">
        <f aca="false">assumptions!$G$92</f>
        <v>4000</v>
      </c>
      <c r="AV20" s="18" t="n">
        <f aca="false">assumptions!$G$92</f>
        <v>4000</v>
      </c>
      <c r="AW20" s="18" t="n">
        <f aca="false">assumptions!$G$92</f>
        <v>4000</v>
      </c>
      <c r="AX20" s="18" t="n">
        <f aca="false">assumptions!$G$92</f>
        <v>4000</v>
      </c>
      <c r="AY20" s="18" t="n">
        <f aca="false">assumptions!$G$92</f>
        <v>4000</v>
      </c>
      <c r="AZ20" s="18" t="n">
        <f aca="false">assumptions!$G$92</f>
        <v>4000</v>
      </c>
      <c r="BA20" s="18" t="n">
        <f aca="false">assumptions!$G$92</f>
        <v>4000</v>
      </c>
      <c r="BB20" s="18" t="n">
        <f aca="false">assumptions!$G$92</f>
        <v>4000</v>
      </c>
      <c r="BC20" s="18" t="n">
        <f aca="false">assumptions!$G$92</f>
        <v>4000</v>
      </c>
      <c r="BD20" s="18" t="n">
        <f aca="false">assumptions!$G$92</f>
        <v>4000</v>
      </c>
      <c r="BE20" s="18" t="n">
        <f aca="false">assumptions!$G$92</f>
        <v>4000</v>
      </c>
      <c r="BF20" s="18" t="n">
        <f aca="false">assumptions!$G$92</f>
        <v>4000</v>
      </c>
      <c r="BG20" s="18" t="n">
        <f aca="false">assumptions!$G$92</f>
        <v>4000</v>
      </c>
      <c r="BH20" s="18" t="n">
        <f aca="false">assumptions!$G$92</f>
        <v>4000</v>
      </c>
      <c r="BI20" s="18" t="n">
        <f aca="false">assumptions!$G$92</f>
        <v>4000</v>
      </c>
    </row>
    <row r="21" customFormat="false" ht="14.25" hidden="false" customHeight="false" outlineLevel="0" collapsed="false">
      <c r="A21" s="7" t="s">
        <v>439</v>
      </c>
      <c r="B21" s="18" t="n">
        <f aca="false">assumptions!$G$93</f>
        <v>500</v>
      </c>
      <c r="C21" s="18" t="n">
        <f aca="false">assumptions!$G$93</f>
        <v>500</v>
      </c>
      <c r="D21" s="18" t="n">
        <f aca="false">assumptions!$G$93</f>
        <v>500</v>
      </c>
      <c r="E21" s="18" t="n">
        <f aca="false">assumptions!$G$93</f>
        <v>500</v>
      </c>
      <c r="F21" s="18" t="n">
        <f aca="false">assumptions!$G$93</f>
        <v>500</v>
      </c>
      <c r="G21" s="18" t="n">
        <f aca="false">assumptions!$G$93</f>
        <v>500</v>
      </c>
      <c r="H21" s="18" t="n">
        <f aca="false">assumptions!$G$94</f>
        <v>800</v>
      </c>
      <c r="I21" s="18" t="n">
        <f aca="false">assumptions!$G$94</f>
        <v>800</v>
      </c>
      <c r="J21" s="18" t="n">
        <f aca="false">assumptions!$G$94</f>
        <v>800</v>
      </c>
      <c r="K21" s="18" t="n">
        <f aca="false">assumptions!$G$94</f>
        <v>800</v>
      </c>
      <c r="L21" s="18" t="n">
        <f aca="false">assumptions!$G$94</f>
        <v>800</v>
      </c>
      <c r="M21" s="18" t="n">
        <f aca="false">assumptions!$G$94</f>
        <v>800</v>
      </c>
      <c r="N21" s="18" t="n">
        <f aca="false">assumptions!$G$95</f>
        <v>1200</v>
      </c>
      <c r="O21" s="18" t="n">
        <f aca="false">assumptions!$G$95</f>
        <v>1200</v>
      </c>
      <c r="P21" s="18" t="n">
        <f aca="false">assumptions!$G$95</f>
        <v>1200</v>
      </c>
      <c r="Q21" s="18" t="n">
        <f aca="false">assumptions!$G$95</f>
        <v>1200</v>
      </c>
      <c r="R21" s="18" t="n">
        <f aca="false">assumptions!$G$95</f>
        <v>1200</v>
      </c>
      <c r="S21" s="18" t="n">
        <f aca="false">assumptions!$G$95</f>
        <v>1200</v>
      </c>
      <c r="T21" s="18" t="n">
        <f aca="false">assumptions!$G$95</f>
        <v>1200</v>
      </c>
      <c r="U21" s="18" t="n">
        <f aca="false">assumptions!$G$95</f>
        <v>1200</v>
      </c>
      <c r="V21" s="18" t="n">
        <f aca="false">assumptions!$G$95</f>
        <v>1200</v>
      </c>
      <c r="W21" s="18" t="n">
        <f aca="false">assumptions!$G$95</f>
        <v>1200</v>
      </c>
      <c r="X21" s="18" t="n">
        <f aca="false">assumptions!$G$95</f>
        <v>1200</v>
      </c>
      <c r="Y21" s="18" t="n">
        <f aca="false">assumptions!$G$95</f>
        <v>1200</v>
      </c>
      <c r="Z21" s="18" t="n">
        <f aca="false">assumptions!$G$96</f>
        <v>1800</v>
      </c>
      <c r="AA21" s="18" t="n">
        <f aca="false">assumptions!$G$96</f>
        <v>1800</v>
      </c>
      <c r="AB21" s="18" t="n">
        <f aca="false">assumptions!$G$96</f>
        <v>1800</v>
      </c>
      <c r="AC21" s="18" t="n">
        <f aca="false">assumptions!$G$96</f>
        <v>1800</v>
      </c>
      <c r="AD21" s="18" t="n">
        <f aca="false">assumptions!$G$96</f>
        <v>1800</v>
      </c>
      <c r="AE21" s="18" t="n">
        <f aca="false">assumptions!$G$96</f>
        <v>1800</v>
      </c>
      <c r="AF21" s="18" t="n">
        <f aca="false">assumptions!$G$96</f>
        <v>1800</v>
      </c>
      <c r="AG21" s="18" t="n">
        <f aca="false">assumptions!$G$96</f>
        <v>1800</v>
      </c>
      <c r="AH21" s="18" t="n">
        <f aca="false">assumptions!$G$96</f>
        <v>1800</v>
      </c>
      <c r="AI21" s="18" t="n">
        <f aca="false">assumptions!$G$96</f>
        <v>1800</v>
      </c>
      <c r="AJ21" s="18" t="n">
        <f aca="false">assumptions!$G$96</f>
        <v>1800</v>
      </c>
      <c r="AK21" s="18" t="n">
        <f aca="false">assumptions!$G$96</f>
        <v>1800</v>
      </c>
      <c r="AL21" s="18" t="n">
        <f aca="false">assumptions!$G$97</f>
        <v>2500</v>
      </c>
      <c r="AM21" s="18" t="n">
        <f aca="false">assumptions!$G$97</f>
        <v>2500</v>
      </c>
      <c r="AN21" s="18" t="n">
        <f aca="false">assumptions!$G$97</f>
        <v>2500</v>
      </c>
      <c r="AO21" s="18" t="n">
        <f aca="false">assumptions!$G$97</f>
        <v>2500</v>
      </c>
      <c r="AP21" s="18" t="n">
        <f aca="false">assumptions!$G$97</f>
        <v>2500</v>
      </c>
      <c r="AQ21" s="18" t="n">
        <f aca="false">assumptions!$G$97</f>
        <v>2500</v>
      </c>
      <c r="AR21" s="18" t="n">
        <f aca="false">assumptions!$G$97</f>
        <v>2500</v>
      </c>
      <c r="AS21" s="18" t="n">
        <f aca="false">assumptions!$G$97</f>
        <v>2500</v>
      </c>
      <c r="AT21" s="18" t="n">
        <f aca="false">assumptions!$G$97</f>
        <v>2500</v>
      </c>
      <c r="AU21" s="18" t="n">
        <f aca="false">assumptions!$G$97</f>
        <v>2500</v>
      </c>
      <c r="AV21" s="18" t="n">
        <f aca="false">assumptions!$G$97</f>
        <v>2500</v>
      </c>
      <c r="AW21" s="18" t="n">
        <f aca="false">assumptions!$G$97</f>
        <v>2500</v>
      </c>
      <c r="AX21" s="18" t="n">
        <f aca="false">assumptions!$G$97</f>
        <v>2500</v>
      </c>
      <c r="AY21" s="18" t="n">
        <f aca="false">assumptions!$G$97</f>
        <v>2500</v>
      </c>
      <c r="AZ21" s="18" t="n">
        <f aca="false">assumptions!$G$97</f>
        <v>2500</v>
      </c>
      <c r="BA21" s="18" t="n">
        <f aca="false">assumptions!$G$97</f>
        <v>2500</v>
      </c>
      <c r="BB21" s="18" t="n">
        <f aca="false">assumptions!$G$97</f>
        <v>2500</v>
      </c>
      <c r="BC21" s="18" t="n">
        <f aca="false">assumptions!$G$97</f>
        <v>2500</v>
      </c>
      <c r="BD21" s="18" t="n">
        <f aca="false">assumptions!$G$97</f>
        <v>2500</v>
      </c>
      <c r="BE21" s="18" t="n">
        <f aca="false">assumptions!$G$97</f>
        <v>2500</v>
      </c>
      <c r="BF21" s="18" t="n">
        <f aca="false">assumptions!$G$97</f>
        <v>2500</v>
      </c>
      <c r="BG21" s="18" t="n">
        <f aca="false">assumptions!$G$97</f>
        <v>2500</v>
      </c>
      <c r="BH21" s="18" t="n">
        <f aca="false">assumptions!$G$97</f>
        <v>2500</v>
      </c>
      <c r="BI21" s="18" t="n">
        <f aca="false">assumptions!$G$97</f>
        <v>2500</v>
      </c>
    </row>
    <row r="22" customFormat="false" ht="14.25" hidden="false" customHeight="false" outlineLevel="0" collapsed="false">
      <c r="A22" s="7" t="s">
        <v>440</v>
      </c>
      <c r="B22" s="18" t="n">
        <f aca="false">assumptions!$G$98</f>
        <v>800</v>
      </c>
      <c r="C22" s="18" t="n">
        <f aca="false">assumptions!$G$98</f>
        <v>800</v>
      </c>
      <c r="D22" s="18" t="n">
        <f aca="false">assumptions!$G$98</f>
        <v>800</v>
      </c>
      <c r="E22" s="18" t="n">
        <f aca="false">assumptions!$G$98</f>
        <v>800</v>
      </c>
      <c r="F22" s="18" t="n">
        <f aca="false">assumptions!$G$98</f>
        <v>800</v>
      </c>
      <c r="G22" s="18" t="n">
        <f aca="false">assumptions!$G$98</f>
        <v>800</v>
      </c>
      <c r="H22" s="18" t="n">
        <f aca="false">assumptions!$G$99</f>
        <v>1500</v>
      </c>
      <c r="I22" s="18" t="n">
        <f aca="false">assumptions!$G$99</f>
        <v>1500</v>
      </c>
      <c r="J22" s="18" t="n">
        <f aca="false">assumptions!$G$99</f>
        <v>1500</v>
      </c>
      <c r="K22" s="18" t="n">
        <f aca="false">assumptions!$G$99</f>
        <v>1500</v>
      </c>
      <c r="L22" s="18" t="n">
        <f aca="false">assumptions!$G$99</f>
        <v>1500</v>
      </c>
      <c r="M22" s="18" t="n">
        <f aca="false">assumptions!$G$99</f>
        <v>1500</v>
      </c>
      <c r="N22" s="18" t="n">
        <f aca="false">assumptions!$G$100</f>
        <v>2200</v>
      </c>
      <c r="O22" s="18" t="n">
        <f aca="false">assumptions!$G$100</f>
        <v>2200</v>
      </c>
      <c r="P22" s="18" t="n">
        <f aca="false">assumptions!$G$100</f>
        <v>2200</v>
      </c>
      <c r="Q22" s="18" t="n">
        <f aca="false">assumptions!$G$100</f>
        <v>2200</v>
      </c>
      <c r="R22" s="18" t="n">
        <f aca="false">assumptions!$G$100</f>
        <v>2200</v>
      </c>
      <c r="S22" s="18" t="n">
        <f aca="false">assumptions!$G$100</f>
        <v>2200</v>
      </c>
      <c r="T22" s="18" t="n">
        <f aca="false">assumptions!$G$100</f>
        <v>2200</v>
      </c>
      <c r="U22" s="18" t="n">
        <f aca="false">assumptions!$G$100</f>
        <v>2200</v>
      </c>
      <c r="V22" s="18" t="n">
        <f aca="false">assumptions!$G$100</f>
        <v>2200</v>
      </c>
      <c r="W22" s="18" t="n">
        <f aca="false">assumptions!$G$100</f>
        <v>2200</v>
      </c>
      <c r="X22" s="18" t="n">
        <f aca="false">assumptions!$G$100</f>
        <v>2200</v>
      </c>
      <c r="Y22" s="18" t="n">
        <f aca="false">assumptions!$G$100</f>
        <v>2200</v>
      </c>
      <c r="Z22" s="18" t="n">
        <f aca="false">assumptions!$G$101</f>
        <v>3500</v>
      </c>
      <c r="AA22" s="18" t="n">
        <f aca="false">assumptions!$G$101</f>
        <v>3500</v>
      </c>
      <c r="AB22" s="18" t="n">
        <f aca="false">assumptions!$G$101</f>
        <v>3500</v>
      </c>
      <c r="AC22" s="18" t="n">
        <f aca="false">assumptions!$G$101</f>
        <v>3500</v>
      </c>
      <c r="AD22" s="18" t="n">
        <f aca="false">assumptions!$G$101</f>
        <v>3500</v>
      </c>
      <c r="AE22" s="18" t="n">
        <f aca="false">assumptions!$G$101</f>
        <v>3500</v>
      </c>
      <c r="AF22" s="18" t="n">
        <f aca="false">assumptions!$G$101</f>
        <v>3500</v>
      </c>
      <c r="AG22" s="18" t="n">
        <f aca="false">assumptions!$G$101</f>
        <v>3500</v>
      </c>
      <c r="AH22" s="18" t="n">
        <f aca="false">assumptions!$G$101</f>
        <v>3500</v>
      </c>
      <c r="AI22" s="18" t="n">
        <f aca="false">assumptions!$G$101</f>
        <v>3500</v>
      </c>
      <c r="AJ22" s="18" t="n">
        <f aca="false">assumptions!$G$101</f>
        <v>3500</v>
      </c>
      <c r="AK22" s="18" t="n">
        <f aca="false">assumptions!$G$101</f>
        <v>3500</v>
      </c>
      <c r="AL22" s="18" t="n">
        <f aca="false">assumptions!$G$102</f>
        <v>5500</v>
      </c>
      <c r="AM22" s="18" t="n">
        <f aca="false">assumptions!$G$102</f>
        <v>5500</v>
      </c>
      <c r="AN22" s="18" t="n">
        <f aca="false">assumptions!$G$102</f>
        <v>5500</v>
      </c>
      <c r="AO22" s="18" t="n">
        <f aca="false">assumptions!$G$102</f>
        <v>5500</v>
      </c>
      <c r="AP22" s="18" t="n">
        <f aca="false">assumptions!$G$102</f>
        <v>5500</v>
      </c>
      <c r="AQ22" s="18" t="n">
        <f aca="false">assumptions!$G$102</f>
        <v>5500</v>
      </c>
      <c r="AR22" s="18" t="n">
        <f aca="false">assumptions!$G$102</f>
        <v>5500</v>
      </c>
      <c r="AS22" s="18" t="n">
        <f aca="false">assumptions!$G$102</f>
        <v>5500</v>
      </c>
      <c r="AT22" s="18" t="n">
        <f aca="false">assumptions!$G$102</f>
        <v>5500</v>
      </c>
      <c r="AU22" s="18" t="n">
        <f aca="false">assumptions!$G$102</f>
        <v>5500</v>
      </c>
      <c r="AV22" s="18" t="n">
        <f aca="false">assumptions!$G$102</f>
        <v>5500</v>
      </c>
      <c r="AW22" s="18" t="n">
        <f aca="false">assumptions!$G$102</f>
        <v>5500</v>
      </c>
      <c r="AX22" s="18" t="n">
        <f aca="false">assumptions!$G$102</f>
        <v>5500</v>
      </c>
      <c r="AY22" s="18" t="n">
        <f aca="false">assumptions!$G$102</f>
        <v>5500</v>
      </c>
      <c r="AZ22" s="18" t="n">
        <f aca="false">assumptions!$G$102</f>
        <v>5500</v>
      </c>
      <c r="BA22" s="18" t="n">
        <f aca="false">assumptions!$G$102</f>
        <v>5500</v>
      </c>
      <c r="BB22" s="18" t="n">
        <f aca="false">assumptions!$G$102</f>
        <v>5500</v>
      </c>
      <c r="BC22" s="18" t="n">
        <f aca="false">assumptions!$G$102</f>
        <v>5500</v>
      </c>
      <c r="BD22" s="18" t="n">
        <f aca="false">assumptions!$G$102</f>
        <v>5500</v>
      </c>
      <c r="BE22" s="18" t="n">
        <f aca="false">assumptions!$G$102</f>
        <v>5500</v>
      </c>
      <c r="BF22" s="18" t="n">
        <f aca="false">assumptions!$G$102</f>
        <v>5500</v>
      </c>
      <c r="BG22" s="18" t="n">
        <f aca="false">assumptions!$G$102</f>
        <v>5500</v>
      </c>
      <c r="BH22" s="18" t="n">
        <f aca="false">assumptions!$G$102</f>
        <v>5500</v>
      </c>
      <c r="BI22" s="18" t="n">
        <f aca="false">assumptions!$G$102</f>
        <v>5500</v>
      </c>
    </row>
    <row r="23" customFormat="false" ht="14.25" hidden="false" customHeight="false" outlineLevel="0" collapsed="false">
      <c r="A23" s="7" t="s">
        <v>441</v>
      </c>
      <c r="B23" s="18" t="n">
        <f aca="false">assumptions!$G$103</f>
        <v>2000</v>
      </c>
      <c r="C23" s="18" t="n">
        <f aca="false">assumptions!$G$103</f>
        <v>2000</v>
      </c>
      <c r="D23" s="18" t="n">
        <f aca="false">assumptions!$G$103</f>
        <v>2000</v>
      </c>
      <c r="E23" s="18" t="n">
        <f aca="false">assumptions!$G$103</f>
        <v>2000</v>
      </c>
      <c r="F23" s="18" t="n">
        <f aca="false">assumptions!$G$103</f>
        <v>2000</v>
      </c>
      <c r="G23" s="18" t="n">
        <f aca="false">assumptions!$G$103</f>
        <v>2000</v>
      </c>
      <c r="H23" s="18" t="n">
        <f aca="false">assumptions!$G$104</f>
        <v>8000</v>
      </c>
      <c r="I23" s="18" t="n">
        <f aca="false">assumptions!$G$104</f>
        <v>8000</v>
      </c>
      <c r="J23" s="18" t="n">
        <f aca="false">assumptions!$G$104</f>
        <v>8000</v>
      </c>
      <c r="K23" s="18" t="n">
        <f aca="false">assumptions!$G$104</f>
        <v>8000</v>
      </c>
      <c r="L23" s="18" t="n">
        <f aca="false">assumptions!$G$104</f>
        <v>8000</v>
      </c>
      <c r="M23" s="18" t="n">
        <f aca="false">assumptions!$G$104</f>
        <v>8000</v>
      </c>
      <c r="N23" s="18" t="n">
        <f aca="false">assumptions!$G$105</f>
        <v>15000</v>
      </c>
      <c r="O23" s="18" t="n">
        <f aca="false">assumptions!$G$105</f>
        <v>15000</v>
      </c>
      <c r="P23" s="18" t="n">
        <f aca="false">assumptions!$G$105</f>
        <v>15000</v>
      </c>
      <c r="Q23" s="18" t="n">
        <f aca="false">assumptions!$G$105</f>
        <v>15000</v>
      </c>
      <c r="R23" s="18" t="n">
        <f aca="false">assumptions!$G$105</f>
        <v>15000</v>
      </c>
      <c r="S23" s="18" t="n">
        <f aca="false">assumptions!$G$105</f>
        <v>15000</v>
      </c>
      <c r="T23" s="18" t="n">
        <f aca="false">assumptions!$G$105</f>
        <v>15000</v>
      </c>
      <c r="U23" s="18" t="n">
        <f aca="false">assumptions!$G$105</f>
        <v>15000</v>
      </c>
      <c r="V23" s="18" t="n">
        <f aca="false">assumptions!$G$105</f>
        <v>15000</v>
      </c>
      <c r="W23" s="18" t="n">
        <f aca="false">assumptions!$G$105</f>
        <v>15000</v>
      </c>
      <c r="X23" s="18" t="n">
        <f aca="false">assumptions!$G$105</f>
        <v>15000</v>
      </c>
      <c r="Y23" s="18" t="n">
        <f aca="false">assumptions!$G$105</f>
        <v>15000</v>
      </c>
      <c r="Z23" s="18" t="n">
        <f aca="false">assumptions!$G$106</f>
        <v>35000</v>
      </c>
      <c r="AA23" s="18" t="n">
        <f aca="false">assumptions!$G$106</f>
        <v>35000</v>
      </c>
      <c r="AB23" s="18" t="n">
        <f aca="false">assumptions!$G$106</f>
        <v>35000</v>
      </c>
      <c r="AC23" s="18" t="n">
        <f aca="false">assumptions!$G$106</f>
        <v>35000</v>
      </c>
      <c r="AD23" s="18" t="n">
        <f aca="false">assumptions!$G$106</f>
        <v>35000</v>
      </c>
      <c r="AE23" s="18" t="n">
        <f aca="false">assumptions!$G$106</f>
        <v>35000</v>
      </c>
      <c r="AF23" s="18" t="n">
        <f aca="false">assumptions!$G$106</f>
        <v>35000</v>
      </c>
      <c r="AG23" s="18" t="n">
        <f aca="false">assumptions!$G$106</f>
        <v>35000</v>
      </c>
      <c r="AH23" s="18" t="n">
        <f aca="false">assumptions!$G$106</f>
        <v>35000</v>
      </c>
      <c r="AI23" s="18" t="n">
        <f aca="false">assumptions!$G$106</f>
        <v>35000</v>
      </c>
      <c r="AJ23" s="18" t="n">
        <f aca="false">assumptions!$G$106</f>
        <v>35000</v>
      </c>
      <c r="AK23" s="18" t="n">
        <f aca="false">assumptions!$G$106</f>
        <v>35000</v>
      </c>
      <c r="AL23" s="18" t="n">
        <f aca="false">assumptions!$G$107</f>
        <v>70000</v>
      </c>
      <c r="AM23" s="18" t="n">
        <f aca="false">assumptions!$G$107</f>
        <v>70000</v>
      </c>
      <c r="AN23" s="18" t="n">
        <f aca="false">assumptions!$G$107</f>
        <v>70000</v>
      </c>
      <c r="AO23" s="18" t="n">
        <f aca="false">assumptions!$G$107</f>
        <v>70000</v>
      </c>
      <c r="AP23" s="18" t="n">
        <f aca="false">assumptions!$G$107</f>
        <v>70000</v>
      </c>
      <c r="AQ23" s="18" t="n">
        <f aca="false">assumptions!$G$107</f>
        <v>70000</v>
      </c>
      <c r="AR23" s="18" t="n">
        <f aca="false">assumptions!$G$107</f>
        <v>70000</v>
      </c>
      <c r="AS23" s="18" t="n">
        <f aca="false">assumptions!$G$107</f>
        <v>70000</v>
      </c>
      <c r="AT23" s="18" t="n">
        <f aca="false">assumptions!$G$107</f>
        <v>70000</v>
      </c>
      <c r="AU23" s="18" t="n">
        <f aca="false">assumptions!$G$107</f>
        <v>70000</v>
      </c>
      <c r="AV23" s="18" t="n">
        <f aca="false">assumptions!$G$107</f>
        <v>70000</v>
      </c>
      <c r="AW23" s="18" t="n">
        <f aca="false">assumptions!$G$107</f>
        <v>70000</v>
      </c>
      <c r="AX23" s="18" t="n">
        <f aca="false">assumptions!$G$107</f>
        <v>70000</v>
      </c>
      <c r="AY23" s="18" t="n">
        <f aca="false">assumptions!$G$107</f>
        <v>70000</v>
      </c>
      <c r="AZ23" s="18" t="n">
        <f aca="false">assumptions!$G$107</f>
        <v>70000</v>
      </c>
      <c r="BA23" s="18" t="n">
        <f aca="false">assumptions!$G$107</f>
        <v>70000</v>
      </c>
      <c r="BB23" s="18" t="n">
        <f aca="false">assumptions!$G$107</f>
        <v>70000</v>
      </c>
      <c r="BC23" s="18" t="n">
        <f aca="false">assumptions!$G$107</f>
        <v>70000</v>
      </c>
      <c r="BD23" s="18" t="n">
        <f aca="false">assumptions!$G$107</f>
        <v>70000</v>
      </c>
      <c r="BE23" s="18" t="n">
        <f aca="false">assumptions!$G$107</f>
        <v>70000</v>
      </c>
      <c r="BF23" s="18" t="n">
        <f aca="false">assumptions!$G$107</f>
        <v>70000</v>
      </c>
      <c r="BG23" s="18" t="n">
        <f aca="false">assumptions!$G$107</f>
        <v>70000</v>
      </c>
      <c r="BH23" s="18" t="n">
        <f aca="false">assumptions!$G$107</f>
        <v>70000</v>
      </c>
      <c r="BI23" s="18" t="n">
        <f aca="false">assumptions!$G$107</f>
        <v>70000</v>
      </c>
    </row>
    <row r="24" customFormat="false" ht="14.25" hidden="false" customHeight="false" outlineLevel="0" collapsed="false">
      <c r="A24" s="7" t="s">
        <v>442</v>
      </c>
      <c r="B24" s="18" t="n">
        <f aca="false">assumptions!$G$108</f>
        <v>2000</v>
      </c>
      <c r="C24" s="18" t="n">
        <f aca="false">assumptions!$G$108</f>
        <v>2000</v>
      </c>
      <c r="D24" s="18" t="n">
        <f aca="false">assumptions!$G$108</f>
        <v>2000</v>
      </c>
      <c r="E24" s="18" t="n">
        <f aca="false">assumptions!$G$108</f>
        <v>2000</v>
      </c>
      <c r="F24" s="18" t="n">
        <f aca="false">assumptions!$G$108</f>
        <v>2000</v>
      </c>
      <c r="G24" s="18" t="n">
        <f aca="false">assumptions!$G$108</f>
        <v>2000</v>
      </c>
      <c r="H24" s="18" t="n">
        <f aca="false">assumptions!$G$109</f>
        <v>4000</v>
      </c>
      <c r="I24" s="18" t="n">
        <f aca="false">assumptions!$G$109</f>
        <v>4000</v>
      </c>
      <c r="J24" s="18" t="n">
        <f aca="false">assumptions!$G$109</f>
        <v>4000</v>
      </c>
      <c r="K24" s="18" t="n">
        <f aca="false">assumptions!$G$109</f>
        <v>4000</v>
      </c>
      <c r="L24" s="18" t="n">
        <f aca="false">assumptions!$G$109</f>
        <v>4000</v>
      </c>
      <c r="M24" s="18" t="n">
        <f aca="false">assumptions!$G$109</f>
        <v>4000</v>
      </c>
      <c r="N24" s="18" t="n">
        <f aca="false">assumptions!$G$110</f>
        <v>6000</v>
      </c>
      <c r="O24" s="18" t="n">
        <f aca="false">assumptions!$G$110</f>
        <v>6000</v>
      </c>
      <c r="P24" s="18" t="n">
        <f aca="false">assumptions!$G$110</f>
        <v>6000</v>
      </c>
      <c r="Q24" s="18" t="n">
        <f aca="false">assumptions!$G$110</f>
        <v>6000</v>
      </c>
      <c r="R24" s="18" t="n">
        <f aca="false">assumptions!$G$110</f>
        <v>6000</v>
      </c>
      <c r="S24" s="18" t="n">
        <f aca="false">assumptions!$G$110</f>
        <v>6000</v>
      </c>
      <c r="T24" s="18" t="n">
        <f aca="false">assumptions!$G$110</f>
        <v>6000</v>
      </c>
      <c r="U24" s="18" t="n">
        <f aca="false">assumptions!$G$110</f>
        <v>6000</v>
      </c>
      <c r="V24" s="18" t="n">
        <f aca="false">assumptions!$G$110</f>
        <v>6000</v>
      </c>
      <c r="W24" s="18" t="n">
        <f aca="false">assumptions!$G$110</f>
        <v>6000</v>
      </c>
      <c r="X24" s="18" t="n">
        <f aca="false">assumptions!$G$110</f>
        <v>6000</v>
      </c>
      <c r="Y24" s="18" t="n">
        <f aca="false">assumptions!$G$110</f>
        <v>6000</v>
      </c>
      <c r="Z24" s="18" t="n">
        <f aca="false">assumptions!$G$111</f>
        <v>10000</v>
      </c>
      <c r="AA24" s="18" t="n">
        <f aca="false">assumptions!$G$111</f>
        <v>10000</v>
      </c>
      <c r="AB24" s="18" t="n">
        <f aca="false">assumptions!$G$111</f>
        <v>10000</v>
      </c>
      <c r="AC24" s="18" t="n">
        <f aca="false">assumptions!$G$111</f>
        <v>10000</v>
      </c>
      <c r="AD24" s="18" t="n">
        <f aca="false">assumptions!$G$111</f>
        <v>10000</v>
      </c>
      <c r="AE24" s="18" t="n">
        <f aca="false">assumptions!$G$111</f>
        <v>10000</v>
      </c>
      <c r="AF24" s="18" t="n">
        <f aca="false">assumptions!$G$111</f>
        <v>10000</v>
      </c>
      <c r="AG24" s="18" t="n">
        <f aca="false">assumptions!$G$111</f>
        <v>10000</v>
      </c>
      <c r="AH24" s="18" t="n">
        <f aca="false">assumptions!$G$111</f>
        <v>10000</v>
      </c>
      <c r="AI24" s="18" t="n">
        <f aca="false">assumptions!$G$111</f>
        <v>10000</v>
      </c>
      <c r="AJ24" s="18" t="n">
        <f aca="false">assumptions!$G$111</f>
        <v>10000</v>
      </c>
      <c r="AK24" s="18" t="n">
        <f aca="false">assumptions!$G$111</f>
        <v>10000</v>
      </c>
      <c r="AL24" s="18" t="n">
        <f aca="false">assumptions!$G$112</f>
        <v>18000</v>
      </c>
      <c r="AM24" s="18" t="n">
        <f aca="false">assumptions!$G$112</f>
        <v>18000</v>
      </c>
      <c r="AN24" s="18" t="n">
        <f aca="false">assumptions!$G$112</f>
        <v>18000</v>
      </c>
      <c r="AO24" s="18" t="n">
        <f aca="false">assumptions!$G$112</f>
        <v>18000</v>
      </c>
      <c r="AP24" s="18" t="n">
        <f aca="false">assumptions!$G$112</f>
        <v>18000</v>
      </c>
      <c r="AQ24" s="18" t="n">
        <f aca="false">assumptions!$G$112</f>
        <v>18000</v>
      </c>
      <c r="AR24" s="18" t="n">
        <f aca="false">assumptions!$G$112</f>
        <v>18000</v>
      </c>
      <c r="AS24" s="18" t="n">
        <f aca="false">assumptions!$G$112</f>
        <v>18000</v>
      </c>
      <c r="AT24" s="18" t="n">
        <f aca="false">assumptions!$G$112</f>
        <v>18000</v>
      </c>
      <c r="AU24" s="18" t="n">
        <f aca="false">assumptions!$G$112</f>
        <v>18000</v>
      </c>
      <c r="AV24" s="18" t="n">
        <f aca="false">assumptions!$G$112</f>
        <v>18000</v>
      </c>
      <c r="AW24" s="18" t="n">
        <f aca="false">assumptions!$G$112</f>
        <v>18000</v>
      </c>
      <c r="AX24" s="18" t="n">
        <f aca="false">assumptions!$G$112</f>
        <v>18000</v>
      </c>
      <c r="AY24" s="18" t="n">
        <f aca="false">assumptions!$G$112</f>
        <v>18000</v>
      </c>
      <c r="AZ24" s="18" t="n">
        <f aca="false">assumptions!$G$112</f>
        <v>18000</v>
      </c>
      <c r="BA24" s="18" t="n">
        <f aca="false">assumptions!$G$112</f>
        <v>18000</v>
      </c>
      <c r="BB24" s="18" t="n">
        <f aca="false">assumptions!$G$112</f>
        <v>18000</v>
      </c>
      <c r="BC24" s="18" t="n">
        <f aca="false">assumptions!$G$112</f>
        <v>18000</v>
      </c>
      <c r="BD24" s="18" t="n">
        <f aca="false">assumptions!$G$112</f>
        <v>18000</v>
      </c>
      <c r="BE24" s="18" t="n">
        <f aca="false">assumptions!$G$112</f>
        <v>18000</v>
      </c>
      <c r="BF24" s="18" t="n">
        <f aca="false">assumptions!$G$112</f>
        <v>18000</v>
      </c>
      <c r="BG24" s="18" t="n">
        <f aca="false">assumptions!$G$112</f>
        <v>18000</v>
      </c>
      <c r="BH24" s="18" t="n">
        <f aca="false">assumptions!$G$112</f>
        <v>18000</v>
      </c>
      <c r="BI24" s="18" t="n">
        <f aca="false">assumptions!$G$112</f>
        <v>18000</v>
      </c>
    </row>
    <row r="25" customFormat="false" ht="14.25" hidden="false" customHeight="false" outlineLevel="0" collapsed="false">
      <c r="A25" s="7" t="s">
        <v>443</v>
      </c>
      <c r="B25" s="18" t="n">
        <f aca="false">assumptions!$G$115</f>
        <v>8000</v>
      </c>
      <c r="C25" s="18" t="n">
        <f aca="false">assumptions!$G$115</f>
        <v>8000</v>
      </c>
      <c r="D25" s="18" t="n">
        <f aca="false">assumptions!$G$115</f>
        <v>8000</v>
      </c>
      <c r="E25" s="18" t="n">
        <f aca="false">assumptions!$G$115</f>
        <v>8000</v>
      </c>
      <c r="F25" s="18" t="n">
        <f aca="false">assumptions!$G$115</f>
        <v>8000</v>
      </c>
      <c r="G25" s="18" t="n">
        <f aca="false">assumptions!$G$115</f>
        <v>8000</v>
      </c>
      <c r="H25" s="18" t="n">
        <f aca="false">assumptions!$G$116</f>
        <v>20000</v>
      </c>
      <c r="I25" s="18" t="n">
        <f aca="false">assumptions!$G$116</f>
        <v>20000</v>
      </c>
      <c r="J25" s="18" t="n">
        <f aca="false">assumptions!$G$116</f>
        <v>20000</v>
      </c>
      <c r="K25" s="18" t="n">
        <f aca="false">assumptions!$G$116</f>
        <v>20000</v>
      </c>
      <c r="L25" s="18" t="n">
        <f aca="false">assumptions!$G$116</f>
        <v>20000</v>
      </c>
      <c r="M25" s="18" t="n">
        <f aca="false">assumptions!$G$116</f>
        <v>20000</v>
      </c>
      <c r="N25" s="18" t="n">
        <f aca="false">assumptions!$G$117</f>
        <v>35000</v>
      </c>
      <c r="O25" s="18" t="n">
        <f aca="false">assumptions!$G$117</f>
        <v>35000</v>
      </c>
      <c r="P25" s="18" t="n">
        <f aca="false">assumptions!$G$117</f>
        <v>35000</v>
      </c>
      <c r="Q25" s="18" t="n">
        <f aca="false">assumptions!$G$117</f>
        <v>35000</v>
      </c>
      <c r="R25" s="18" t="n">
        <f aca="false">assumptions!$G$117</f>
        <v>35000</v>
      </c>
      <c r="S25" s="18" t="n">
        <f aca="false">assumptions!$G$117</f>
        <v>35000</v>
      </c>
      <c r="T25" s="18" t="n">
        <f aca="false">assumptions!$G$117</f>
        <v>35000</v>
      </c>
      <c r="U25" s="18" t="n">
        <f aca="false">assumptions!$G$117</f>
        <v>35000</v>
      </c>
      <c r="V25" s="18" t="n">
        <f aca="false">assumptions!$G$117</f>
        <v>35000</v>
      </c>
      <c r="W25" s="18" t="n">
        <f aca="false">assumptions!$G$117</f>
        <v>35000</v>
      </c>
      <c r="X25" s="18" t="n">
        <f aca="false">assumptions!$G$117</f>
        <v>35000</v>
      </c>
      <c r="Y25" s="18" t="n">
        <f aca="false">assumptions!$G$117</f>
        <v>35000</v>
      </c>
      <c r="Z25" s="18" t="n">
        <f aca="false">assumptions!$G$118</f>
        <v>60000</v>
      </c>
      <c r="AA25" s="18" t="n">
        <f aca="false">assumptions!$G$118</f>
        <v>60000</v>
      </c>
      <c r="AB25" s="18" t="n">
        <f aca="false">assumptions!$G$118</f>
        <v>60000</v>
      </c>
      <c r="AC25" s="18" t="n">
        <f aca="false">assumptions!$G$118</f>
        <v>60000</v>
      </c>
      <c r="AD25" s="18" t="n">
        <f aca="false">assumptions!$G$118</f>
        <v>60000</v>
      </c>
      <c r="AE25" s="18" t="n">
        <f aca="false">assumptions!$G$118</f>
        <v>60000</v>
      </c>
      <c r="AF25" s="18" t="n">
        <f aca="false">assumptions!$G$118</f>
        <v>60000</v>
      </c>
      <c r="AG25" s="18" t="n">
        <f aca="false">assumptions!$G$118</f>
        <v>60000</v>
      </c>
      <c r="AH25" s="18" t="n">
        <f aca="false">assumptions!$G$118</f>
        <v>60000</v>
      </c>
      <c r="AI25" s="18" t="n">
        <f aca="false">assumptions!$G$118</f>
        <v>60000</v>
      </c>
      <c r="AJ25" s="18" t="n">
        <f aca="false">assumptions!$G$118</f>
        <v>60000</v>
      </c>
      <c r="AK25" s="18" t="n">
        <f aca="false">assumptions!$G$118</f>
        <v>60000</v>
      </c>
      <c r="AL25" s="18" t="n">
        <f aca="false">assumptions!$G$119</f>
        <v>90000</v>
      </c>
      <c r="AM25" s="18" t="n">
        <f aca="false">assumptions!$G$119</f>
        <v>90000</v>
      </c>
      <c r="AN25" s="18" t="n">
        <f aca="false">assumptions!$G$119</f>
        <v>90000</v>
      </c>
      <c r="AO25" s="18" t="n">
        <f aca="false">assumptions!$G$119</f>
        <v>90000</v>
      </c>
      <c r="AP25" s="18" t="n">
        <f aca="false">assumptions!$G$119</f>
        <v>90000</v>
      </c>
      <c r="AQ25" s="18" t="n">
        <f aca="false">assumptions!$G$119</f>
        <v>90000</v>
      </c>
      <c r="AR25" s="18" t="n">
        <f aca="false">assumptions!$G$119</f>
        <v>90000</v>
      </c>
      <c r="AS25" s="18" t="n">
        <f aca="false">assumptions!$G$119</f>
        <v>90000</v>
      </c>
      <c r="AT25" s="18" t="n">
        <f aca="false">assumptions!$G$119</f>
        <v>90000</v>
      </c>
      <c r="AU25" s="18" t="n">
        <f aca="false">assumptions!$G$119</f>
        <v>90000</v>
      </c>
      <c r="AV25" s="18" t="n">
        <f aca="false">assumptions!$G$119</f>
        <v>90000</v>
      </c>
      <c r="AW25" s="18" t="n">
        <f aca="false">assumptions!$G$119</f>
        <v>90000</v>
      </c>
      <c r="AX25" s="18" t="n">
        <f aca="false">assumptions!$G$119</f>
        <v>90000</v>
      </c>
      <c r="AY25" s="18" t="n">
        <f aca="false">assumptions!$G$119</f>
        <v>90000</v>
      </c>
      <c r="AZ25" s="18" t="n">
        <f aca="false">assumptions!$G$119</f>
        <v>90000</v>
      </c>
      <c r="BA25" s="18" t="n">
        <f aca="false">assumptions!$G$119</f>
        <v>90000</v>
      </c>
      <c r="BB25" s="18" t="n">
        <f aca="false">assumptions!$G$119</f>
        <v>90000</v>
      </c>
      <c r="BC25" s="18" t="n">
        <f aca="false">assumptions!$G$119</f>
        <v>90000</v>
      </c>
      <c r="BD25" s="18" t="n">
        <f aca="false">assumptions!$G$119</f>
        <v>90000</v>
      </c>
      <c r="BE25" s="18" t="n">
        <f aca="false">assumptions!$G$119</f>
        <v>90000</v>
      </c>
      <c r="BF25" s="18" t="n">
        <f aca="false">assumptions!$G$119</f>
        <v>90000</v>
      </c>
      <c r="BG25" s="18" t="n">
        <f aca="false">assumptions!$G$119</f>
        <v>90000</v>
      </c>
      <c r="BH25" s="18" t="n">
        <f aca="false">assumptions!$G$119</f>
        <v>90000</v>
      </c>
      <c r="BI25" s="18" t="n">
        <f aca="false">assumptions!$G$119</f>
        <v>90000</v>
      </c>
    </row>
    <row r="26" customFormat="false" ht="14.25" hidden="false" customHeight="false" outlineLevel="0" collapsed="false">
      <c r="A26" s="7" t="s">
        <v>444</v>
      </c>
      <c r="B26" s="18" t="n">
        <f aca="false">assumptions!$G$120</f>
        <v>5000</v>
      </c>
      <c r="C26" s="18" t="n">
        <f aca="false">assumptions!$G$120</f>
        <v>5000</v>
      </c>
      <c r="D26" s="18" t="n">
        <f aca="false">assumptions!$G$120</f>
        <v>5000</v>
      </c>
      <c r="E26" s="18" t="n">
        <f aca="false">assumptions!$G$120</f>
        <v>5000</v>
      </c>
      <c r="F26" s="18" t="n">
        <f aca="false">assumptions!$G$120</f>
        <v>5000</v>
      </c>
      <c r="G26" s="18" t="n">
        <f aca="false">assumptions!$G$120</f>
        <v>5000</v>
      </c>
      <c r="H26" s="18" t="n">
        <f aca="false">assumptions!$G$120</f>
        <v>5000</v>
      </c>
      <c r="I26" s="18" t="n">
        <f aca="false">assumptions!$G$120</f>
        <v>5000</v>
      </c>
      <c r="J26" s="18" t="n">
        <f aca="false">assumptions!$G$120</f>
        <v>5000</v>
      </c>
      <c r="K26" s="18" t="n">
        <f aca="false">assumptions!$G$120</f>
        <v>5000</v>
      </c>
      <c r="L26" s="18" t="n">
        <f aca="false">assumptions!$G$120</f>
        <v>5000</v>
      </c>
      <c r="M26" s="18" t="n">
        <f aca="false">assumptions!$G$120</f>
        <v>5000</v>
      </c>
      <c r="N26" s="18" t="n">
        <f aca="false">assumptions!$G$120</f>
        <v>5000</v>
      </c>
      <c r="O26" s="18" t="n">
        <f aca="false">assumptions!$G$120</f>
        <v>5000</v>
      </c>
      <c r="P26" s="18" t="n">
        <f aca="false">assumptions!$G$120</f>
        <v>5000</v>
      </c>
      <c r="Q26" s="18" t="n">
        <f aca="false">assumptions!$G$120</f>
        <v>5000</v>
      </c>
      <c r="R26" s="18" t="n">
        <f aca="false">assumptions!$G$120</f>
        <v>5000</v>
      </c>
      <c r="S26" s="18" t="n">
        <f aca="false">assumptions!$G$120</f>
        <v>5000</v>
      </c>
      <c r="T26" s="18" t="n">
        <f aca="false">assumptions!$G$120</f>
        <v>5000</v>
      </c>
      <c r="U26" s="18" t="n">
        <f aca="false">assumptions!$G$120</f>
        <v>5000</v>
      </c>
      <c r="V26" s="18" t="n">
        <f aca="false">assumptions!$G$120</f>
        <v>5000</v>
      </c>
      <c r="W26" s="18" t="n">
        <f aca="false">assumptions!$G$120</f>
        <v>5000</v>
      </c>
      <c r="X26" s="18" t="n">
        <f aca="false">assumptions!$G$120</f>
        <v>5000</v>
      </c>
      <c r="Y26" s="18" t="n">
        <f aca="false">assumptions!$G$120</f>
        <v>5000</v>
      </c>
      <c r="Z26" s="18" t="n">
        <f aca="false">assumptions!$G$120</f>
        <v>5000</v>
      </c>
      <c r="AA26" s="18" t="n">
        <f aca="false">assumptions!$G$120</f>
        <v>5000</v>
      </c>
      <c r="AB26" s="18" t="n">
        <f aca="false">assumptions!$G$120</f>
        <v>5000</v>
      </c>
      <c r="AC26" s="18" t="n">
        <f aca="false">assumptions!$G$120</f>
        <v>5000</v>
      </c>
      <c r="AD26" s="18" t="n">
        <f aca="false">assumptions!$G$120</f>
        <v>5000</v>
      </c>
      <c r="AE26" s="18" t="n">
        <f aca="false">assumptions!$G$120</f>
        <v>5000</v>
      </c>
      <c r="AF26" s="18" t="n">
        <f aca="false">assumptions!$G$120</f>
        <v>5000</v>
      </c>
      <c r="AG26" s="18" t="n">
        <f aca="false">assumptions!$G$120</f>
        <v>5000</v>
      </c>
      <c r="AH26" s="18" t="n">
        <f aca="false">assumptions!$G$120</f>
        <v>5000</v>
      </c>
      <c r="AI26" s="18" t="n">
        <f aca="false">assumptions!$G$120</f>
        <v>5000</v>
      </c>
      <c r="AJ26" s="18" t="n">
        <f aca="false">assumptions!$G$120</f>
        <v>5000</v>
      </c>
      <c r="AK26" s="18" t="n">
        <f aca="false">assumptions!$G$120</f>
        <v>5000</v>
      </c>
      <c r="AL26" s="18" t="n">
        <f aca="false">assumptions!$G$120</f>
        <v>5000</v>
      </c>
      <c r="AM26" s="18" t="n">
        <f aca="false">assumptions!$G$120</f>
        <v>5000</v>
      </c>
      <c r="AN26" s="18" t="n">
        <f aca="false">assumptions!$G$120</f>
        <v>5000</v>
      </c>
      <c r="AO26" s="18" t="n">
        <f aca="false">assumptions!$G$120</f>
        <v>5000</v>
      </c>
      <c r="AP26" s="18" t="n">
        <f aca="false">assumptions!$G$120</f>
        <v>5000</v>
      </c>
      <c r="AQ26" s="18" t="n">
        <f aca="false">assumptions!$G$120</f>
        <v>5000</v>
      </c>
      <c r="AR26" s="18" t="n">
        <f aca="false">assumptions!$G$120</f>
        <v>5000</v>
      </c>
      <c r="AS26" s="18" t="n">
        <f aca="false">assumptions!$G$120</f>
        <v>5000</v>
      </c>
      <c r="AT26" s="18" t="n">
        <f aca="false">assumptions!$G$120</f>
        <v>5000</v>
      </c>
      <c r="AU26" s="18" t="n">
        <f aca="false">assumptions!$G$120</f>
        <v>5000</v>
      </c>
      <c r="AV26" s="18" t="n">
        <f aca="false">assumptions!$G$120</f>
        <v>5000</v>
      </c>
      <c r="AW26" s="18" t="n">
        <f aca="false">assumptions!$G$120</f>
        <v>5000</v>
      </c>
      <c r="AX26" s="18" t="n">
        <f aca="false">assumptions!$G$120</f>
        <v>5000</v>
      </c>
      <c r="AY26" s="18" t="n">
        <f aca="false">assumptions!$G$120</f>
        <v>5000</v>
      </c>
      <c r="AZ26" s="18" t="n">
        <f aca="false">assumptions!$G$120</f>
        <v>5000</v>
      </c>
      <c r="BA26" s="18" t="n">
        <f aca="false">assumptions!$G$120</f>
        <v>5000</v>
      </c>
      <c r="BB26" s="18" t="n">
        <f aca="false">assumptions!$G$120</f>
        <v>5000</v>
      </c>
      <c r="BC26" s="18" t="n">
        <f aca="false">assumptions!$G$120</f>
        <v>5000</v>
      </c>
      <c r="BD26" s="18" t="n">
        <f aca="false">assumptions!$G$120</f>
        <v>5000</v>
      </c>
      <c r="BE26" s="18" t="n">
        <f aca="false">assumptions!$G$120</f>
        <v>5000</v>
      </c>
      <c r="BF26" s="18" t="n">
        <f aca="false">assumptions!$G$120</f>
        <v>5000</v>
      </c>
      <c r="BG26" s="18" t="n">
        <f aca="false">assumptions!$G$120</f>
        <v>5000</v>
      </c>
      <c r="BH26" s="18" t="n">
        <f aca="false">assumptions!$G$120</f>
        <v>5000</v>
      </c>
      <c r="BI26" s="18" t="n">
        <f aca="false">assumptions!$G$120</f>
        <v>5000</v>
      </c>
    </row>
    <row r="27" customFormat="false" ht="14.25" hidden="false" customHeight="false" outlineLevel="0" collapsed="false">
      <c r="A27" s="7" t="s">
        <v>445</v>
      </c>
      <c r="B27" s="19" t="n">
        <f aca="false">(B18+B19+B20+B21+B22+B23+B24+B25+B26)*assumptions!$G$113</f>
        <v>2280</v>
      </c>
      <c r="C27" s="19" t="n">
        <f aca="false">(C18+C19+C20+C21+C22+C23+C24+C25+C26)*assumptions!$G$113</f>
        <v>2280</v>
      </c>
      <c r="D27" s="19" t="n">
        <f aca="false">(D18+D19+D20+D21+D22+D23+D24+D25+D26)*assumptions!$G$113</f>
        <v>2280</v>
      </c>
      <c r="E27" s="19" t="n">
        <f aca="false">(E18+E19+E20+E21+E22+E23+E24+E25+E26)*assumptions!$G$113</f>
        <v>2280</v>
      </c>
      <c r="F27" s="19" t="n">
        <f aca="false">(F18+F19+F20+F21+F22+F23+F24+F25+F26)*assumptions!$G$113</f>
        <v>2280</v>
      </c>
      <c r="G27" s="19" t="n">
        <f aca="false">(G18+G19+G20+G21+G22+G23+G24+G25+G26)*assumptions!$G$113</f>
        <v>2280</v>
      </c>
      <c r="H27" s="19" t="n">
        <f aca="false">(H18+H19+H20+H21+H22+H23+H24+H25+H26)*assumptions!$G$113</f>
        <v>4630</v>
      </c>
      <c r="I27" s="19" t="n">
        <f aca="false">(I18+I19+I20+I21+I22+I23+I24+I25+I26)*assumptions!$G$113</f>
        <v>4630</v>
      </c>
      <c r="J27" s="19" t="n">
        <f aca="false">(J18+J19+J20+J21+J22+J23+J24+J25+J26)*assumptions!$G$113</f>
        <v>4630</v>
      </c>
      <c r="K27" s="19" t="n">
        <f aca="false">(K18+K19+K20+K21+K22+K23+K24+K25+K26)*assumptions!$G$113</f>
        <v>4630</v>
      </c>
      <c r="L27" s="19" t="n">
        <f aca="false">(L18+L19+L20+L21+L22+L23+L24+L25+L26)*assumptions!$G$113</f>
        <v>4630</v>
      </c>
      <c r="M27" s="19" t="n">
        <f aca="false">(M18+M19+M20+M21+M22+M23+M24+M25+M26)*assumptions!$G$113</f>
        <v>4630</v>
      </c>
      <c r="N27" s="19" t="n">
        <f aca="false">(N18+N19+N20+N21+N22+N23+N24+N25+N26)*assumptions!$G$113</f>
        <v>7440</v>
      </c>
      <c r="O27" s="19" t="n">
        <f aca="false">(O18+O19+O20+O21+O22+O23+O24+O25+O26)*assumptions!$G$113</f>
        <v>7440</v>
      </c>
      <c r="P27" s="19" t="n">
        <f aca="false">(P18+P19+P20+P21+P22+P23+P24+P25+P26)*assumptions!$G$113</f>
        <v>7440</v>
      </c>
      <c r="Q27" s="19" t="n">
        <f aca="false">(Q18+Q19+Q20+Q21+Q22+Q23+Q24+Q25+Q26)*assumptions!$G$113</f>
        <v>7440</v>
      </c>
      <c r="R27" s="19" t="n">
        <f aca="false">(R18+R19+R20+R21+R22+R23+R24+R25+R26)*assumptions!$G$113</f>
        <v>7440</v>
      </c>
      <c r="S27" s="19" t="n">
        <f aca="false">(S18+S19+S20+S21+S22+S23+S24+S25+S26)*assumptions!$G$113</f>
        <v>7440</v>
      </c>
      <c r="T27" s="19" t="n">
        <f aca="false">(T18+T19+T20+T21+T22+T23+T24+T25+T26)*assumptions!$G$113</f>
        <v>7440</v>
      </c>
      <c r="U27" s="19" t="n">
        <f aca="false">(U18+U19+U20+U21+U22+U23+U24+U25+U26)*assumptions!$G$113</f>
        <v>7440</v>
      </c>
      <c r="V27" s="19" t="n">
        <f aca="false">(V18+V19+V20+V21+V22+V23+V24+V25+V26)*assumptions!$G$113</f>
        <v>7440</v>
      </c>
      <c r="W27" s="19" t="n">
        <f aca="false">(W18+W19+W20+W21+W22+W23+W24+W25+W26)*assumptions!$G$113</f>
        <v>7440</v>
      </c>
      <c r="X27" s="19" t="n">
        <f aca="false">(X18+X19+X20+X21+X22+X23+X24+X25+X26)*assumptions!$G$113</f>
        <v>7440</v>
      </c>
      <c r="Y27" s="19" t="n">
        <f aca="false">(Y18+Y19+Y20+Y21+Y22+Y23+Y24+Y25+Y26)*assumptions!$G$113</f>
        <v>7440</v>
      </c>
      <c r="Z27" s="19" t="n">
        <f aca="false">(Z18+Z19+Z20+Z21+Z22+Z23+Z24+Z25+Z26)*assumptions!$G$113</f>
        <v>13130</v>
      </c>
      <c r="AA27" s="19" t="n">
        <f aca="false">(AA18+AA19+AA20+AA21+AA22+AA23+AA24+AA25+AA26)*assumptions!$G$113</f>
        <v>13130</v>
      </c>
      <c r="AB27" s="19" t="n">
        <f aca="false">(AB18+AB19+AB20+AB21+AB22+AB23+AB24+AB25+AB26)*assumptions!$G$113</f>
        <v>13130</v>
      </c>
      <c r="AC27" s="19" t="n">
        <f aca="false">(AC18+AC19+AC20+AC21+AC22+AC23+AC24+AC25+AC26)*assumptions!$G$113</f>
        <v>13130</v>
      </c>
      <c r="AD27" s="19" t="n">
        <f aca="false">(AD18+AD19+AD20+AD21+AD22+AD23+AD24+AD25+AD26)*assumptions!$G$113</f>
        <v>13130</v>
      </c>
      <c r="AE27" s="19" t="n">
        <f aca="false">(AE18+AE19+AE20+AE21+AE22+AE23+AE24+AE25+AE26)*assumptions!$G$113</f>
        <v>13130</v>
      </c>
      <c r="AF27" s="19" t="n">
        <f aca="false">(AF18+AF19+AF20+AF21+AF22+AF23+AF24+AF25+AF26)*assumptions!$G$113</f>
        <v>13130</v>
      </c>
      <c r="AG27" s="19" t="n">
        <f aca="false">(AG18+AG19+AG20+AG21+AG22+AG23+AG24+AG25+AG26)*assumptions!$G$113</f>
        <v>13130</v>
      </c>
      <c r="AH27" s="19" t="n">
        <f aca="false">(AH18+AH19+AH20+AH21+AH22+AH23+AH24+AH25+AH26)*assumptions!$G$113</f>
        <v>13130</v>
      </c>
      <c r="AI27" s="19" t="n">
        <f aca="false">(AI18+AI19+AI20+AI21+AI22+AI23+AI24+AI25+AI26)*assumptions!$G$113</f>
        <v>13130</v>
      </c>
      <c r="AJ27" s="19" t="n">
        <f aca="false">(AJ18+AJ19+AJ20+AJ21+AJ22+AJ23+AJ24+AJ25+AJ26)*assumptions!$G$113</f>
        <v>13130</v>
      </c>
      <c r="AK27" s="19" t="n">
        <f aca="false">(AK18+AK19+AK20+AK21+AK22+AK23+AK24+AK25+AK26)*assumptions!$G$113</f>
        <v>13130</v>
      </c>
      <c r="AL27" s="19" t="n">
        <f aca="false">(AL18+AL19+AL20+AL21+AL22+AL23+AL24+AL25+AL26)*assumptions!$G$113</f>
        <v>21750</v>
      </c>
      <c r="AM27" s="19" t="n">
        <f aca="false">(AM18+AM19+AM20+AM21+AM22+AM23+AM24+AM25+AM26)*assumptions!$G$113</f>
        <v>21750</v>
      </c>
      <c r="AN27" s="19" t="n">
        <f aca="false">(AN18+AN19+AN20+AN21+AN22+AN23+AN24+AN25+AN26)*assumptions!$G$113</f>
        <v>21750</v>
      </c>
      <c r="AO27" s="19" t="n">
        <f aca="false">(AO18+AO19+AO20+AO21+AO22+AO23+AO24+AO25+AO26)*assumptions!$G$113</f>
        <v>21750</v>
      </c>
      <c r="AP27" s="19" t="n">
        <f aca="false">(AP18+AP19+AP20+AP21+AP22+AP23+AP24+AP25+AP26)*assumptions!$G$113</f>
        <v>21750</v>
      </c>
      <c r="AQ27" s="19" t="n">
        <f aca="false">(AQ18+AQ19+AQ20+AQ21+AQ22+AQ23+AQ24+AQ25+AQ26)*assumptions!$G$113</f>
        <v>21750</v>
      </c>
      <c r="AR27" s="19" t="n">
        <f aca="false">(AR18+AR19+AR20+AR21+AR22+AR23+AR24+AR25+AR26)*assumptions!$G$113</f>
        <v>21750</v>
      </c>
      <c r="AS27" s="19" t="n">
        <f aca="false">(AS18+AS19+AS20+AS21+AS22+AS23+AS24+AS25+AS26)*assumptions!$G$113</f>
        <v>21750</v>
      </c>
      <c r="AT27" s="19" t="n">
        <f aca="false">(AT18+AT19+AT20+AT21+AT22+AT23+AT24+AT25+AT26)*assumptions!$G$113</f>
        <v>21750</v>
      </c>
      <c r="AU27" s="19" t="n">
        <f aca="false">(AU18+AU19+AU20+AU21+AU22+AU23+AU24+AU25+AU26)*assumptions!$G$113</f>
        <v>21750</v>
      </c>
      <c r="AV27" s="19" t="n">
        <f aca="false">(AV18+AV19+AV20+AV21+AV22+AV23+AV24+AV25+AV26)*assumptions!$G$113</f>
        <v>21750</v>
      </c>
      <c r="AW27" s="19" t="n">
        <f aca="false">(AW18+AW19+AW20+AW21+AW22+AW23+AW24+AW25+AW26)*assumptions!$G$113</f>
        <v>21750</v>
      </c>
      <c r="AX27" s="19" t="n">
        <f aca="false">(AX18+AX19+AX20+AX21+AX22+AX23+AX24+AX25+AX26)*assumptions!$G$113</f>
        <v>21750</v>
      </c>
      <c r="AY27" s="19" t="n">
        <f aca="false">(AY18+AY19+AY20+AY21+AY22+AY23+AY24+AY25+AY26)*assumptions!$G$113</f>
        <v>21750</v>
      </c>
      <c r="AZ27" s="19" t="n">
        <f aca="false">(AZ18+AZ19+AZ20+AZ21+AZ22+AZ23+AZ24+AZ25+AZ26)*assumptions!$G$113</f>
        <v>21750</v>
      </c>
      <c r="BA27" s="19" t="n">
        <f aca="false">(BA18+BA19+BA20+BA21+BA22+BA23+BA24+BA25+BA26)*assumptions!$G$113</f>
        <v>21750</v>
      </c>
      <c r="BB27" s="19" t="n">
        <f aca="false">(BB18+BB19+BB20+BB21+BB22+BB23+BB24+BB25+BB26)*assumptions!$G$113</f>
        <v>21750</v>
      </c>
      <c r="BC27" s="19" t="n">
        <f aca="false">(BC18+BC19+BC20+BC21+BC22+BC23+BC24+BC25+BC26)*assumptions!$G$113</f>
        <v>21750</v>
      </c>
      <c r="BD27" s="19" t="n">
        <f aca="false">(BD18+BD19+BD20+BD21+BD22+BD23+BD24+BD25+BD26)*assumptions!$G$113</f>
        <v>21750</v>
      </c>
      <c r="BE27" s="19" t="n">
        <f aca="false">(BE18+BE19+BE20+BE21+BE22+BE23+BE24+BE25+BE26)*assumptions!$G$113</f>
        <v>21750</v>
      </c>
      <c r="BF27" s="19" t="n">
        <f aca="false">(BF18+BF19+BF20+BF21+BF22+BF23+BF24+BF25+BF26)*assumptions!$G$113</f>
        <v>21750</v>
      </c>
      <c r="BG27" s="19" t="n">
        <f aca="false">(BG18+BG19+BG20+BG21+BG22+BG23+BG24+BG25+BG26)*assumptions!$G$113</f>
        <v>21750</v>
      </c>
      <c r="BH27" s="19" t="n">
        <f aca="false">(BH18+BH19+BH20+BH21+BH22+BH23+BH24+BH25+BH26)*assumptions!$G$113</f>
        <v>21750</v>
      </c>
      <c r="BI27" s="19" t="n">
        <f aca="false">(BI18+BI19+BI20+BI21+BI22+BI23+BI24+BI25+BI26)*assumptions!$G$113</f>
        <v>21750</v>
      </c>
    </row>
    <row r="28" customFormat="false" ht="14.25" hidden="false" customHeight="false" outlineLevel="0" collapsed="false">
      <c r="A28" s="2" t="s">
        <v>446</v>
      </c>
      <c r="B28" s="55" t="n">
        <f aca="false">SUM(B17:B27)</f>
        <v>106663.333333333</v>
      </c>
      <c r="C28" s="55" t="n">
        <f aca="false">SUM(C17:C27)</f>
        <v>99323.3333333333</v>
      </c>
      <c r="D28" s="55" t="n">
        <f aca="false">SUM(D17:D27)</f>
        <v>74573.3333333333</v>
      </c>
      <c r="E28" s="55" t="n">
        <f aca="false">SUM(E17:E27)</f>
        <v>112273.333333333</v>
      </c>
      <c r="F28" s="55" t="n">
        <f aca="false">SUM(F17:F27)</f>
        <v>89773.3333333333</v>
      </c>
      <c r="G28" s="55" t="n">
        <f aca="false">SUM(G17:G27)</f>
        <v>132420</v>
      </c>
      <c r="H28" s="55" t="n">
        <f aca="false">SUM(H17:H27)</f>
        <v>132770</v>
      </c>
      <c r="I28" s="55" t="n">
        <f aca="false">SUM(I17:I27)</f>
        <v>132770</v>
      </c>
      <c r="J28" s="55" t="n">
        <f aca="false">SUM(J17:J27)</f>
        <v>184373.333333333</v>
      </c>
      <c r="K28" s="55" t="n">
        <f aca="false">SUM(K17:K27)</f>
        <v>153623.333333333</v>
      </c>
      <c r="L28" s="55" t="n">
        <f aca="false">SUM(L17:L27)</f>
        <v>153623.333333333</v>
      </c>
      <c r="M28" s="55" t="n">
        <f aca="false">SUM(M17:M27)</f>
        <v>200280</v>
      </c>
      <c r="N28" s="55" t="n">
        <f aca="false">SUM(N17:N27)</f>
        <v>208112</v>
      </c>
      <c r="O28" s="55" t="n">
        <f aca="false">SUM(O17:O27)</f>
        <v>208112</v>
      </c>
      <c r="P28" s="55" t="n">
        <f aca="false">SUM(P17:P27)</f>
        <v>245139.866666667</v>
      </c>
      <c r="Q28" s="55" t="n">
        <f aca="false">SUM(Q17:Q27)</f>
        <v>223389.866666667</v>
      </c>
      <c r="R28" s="55" t="n">
        <f aca="false">SUM(R17:R27)</f>
        <v>223389.866666667</v>
      </c>
      <c r="S28" s="55" t="n">
        <f aca="false">SUM(S17:S27)</f>
        <v>223389.866666667</v>
      </c>
      <c r="T28" s="55" t="n">
        <f aca="false">SUM(T17:T27)</f>
        <v>223389.866666667</v>
      </c>
      <c r="U28" s="55" t="n">
        <f aca="false">SUM(U17:U27)</f>
        <v>247556.4</v>
      </c>
      <c r="V28" s="55" t="n">
        <f aca="false">SUM(V17:V27)</f>
        <v>233306.4</v>
      </c>
      <c r="W28" s="55" t="n">
        <f aca="false">SUM(W17:W27)</f>
        <v>252448.4</v>
      </c>
      <c r="X28" s="55" t="n">
        <f aca="false">SUM(X17:X27)</f>
        <v>241198.4</v>
      </c>
      <c r="Y28" s="55" t="n">
        <f aca="false">SUM(Y17:Y27)</f>
        <v>266062.6</v>
      </c>
      <c r="Z28" s="55" t="n">
        <f aca="false">SUM(Z17:Z27)</f>
        <v>320949.504</v>
      </c>
      <c r="AA28" s="55" t="n">
        <f aca="false">SUM(AA17:AA27)</f>
        <v>349379.408</v>
      </c>
      <c r="AB28" s="55" t="n">
        <f aca="false">SUM(AB17:AB27)</f>
        <v>332879.408</v>
      </c>
      <c r="AC28" s="55" t="n">
        <f aca="false">SUM(AC17:AC27)</f>
        <v>349801.624</v>
      </c>
      <c r="AD28" s="55" t="n">
        <f aca="false">SUM(AD17:AD27)</f>
        <v>340051.624</v>
      </c>
      <c r="AE28" s="55" t="n">
        <f aca="false">SUM(AE17:AE27)</f>
        <v>356973.84</v>
      </c>
      <c r="AF28" s="55" t="n">
        <f aca="false">SUM(AF17:AF27)</f>
        <v>347223.84</v>
      </c>
      <c r="AG28" s="55" t="n">
        <f aca="false">SUM(AG17:AG27)</f>
        <v>365424.688</v>
      </c>
      <c r="AH28" s="55" t="n">
        <f aca="false">SUM(AH17:AH27)</f>
        <v>354924.688</v>
      </c>
      <c r="AI28" s="55" t="n">
        <f aca="false">SUM(AI17:AI27)</f>
        <v>378240.064</v>
      </c>
      <c r="AJ28" s="55" t="n">
        <f aca="false">SUM(AJ17:AJ27)</f>
        <v>364740.064</v>
      </c>
      <c r="AK28" s="55" t="n">
        <f aca="false">SUM(AK17:AK27)</f>
        <v>388055.44</v>
      </c>
      <c r="AL28" s="55" t="n">
        <f aca="false">SUM(AL17:AL27)</f>
        <v>478256.4576</v>
      </c>
      <c r="AM28" s="55" t="n">
        <f aca="false">SUM(AM17:AM27)</f>
        <v>500652.67136</v>
      </c>
      <c r="AN28" s="55" t="n">
        <f aca="false">SUM(AN17:AN27)</f>
        <v>487902.67136</v>
      </c>
      <c r="AO28" s="55" t="n">
        <f aca="false">SUM(AO17:AO27)</f>
        <v>515497.99424</v>
      </c>
      <c r="AP28" s="55" t="n">
        <f aca="false">SUM(AP17:AP27)</f>
        <v>499747.99424</v>
      </c>
      <c r="AQ28" s="55" t="n">
        <f aca="false">SUM(AQ17:AQ27)</f>
        <v>536441.75808</v>
      </c>
      <c r="AR28" s="55" t="n">
        <f aca="false">SUM(AR17:AR27)</f>
        <v>515441.75808</v>
      </c>
      <c r="AS28" s="55" t="n">
        <f aca="false">SUM(AS17:AS27)</f>
        <v>546936.4128</v>
      </c>
      <c r="AT28" s="55" t="n">
        <f aca="false">SUM(AT17:AT27)</f>
        <v>528936.4128</v>
      </c>
      <c r="AU28" s="55" t="n">
        <f aca="false">SUM(AU17:AU27)</f>
        <v>552632.40384</v>
      </c>
      <c r="AV28" s="55" t="n">
        <f aca="false">SUM(AV17:AV27)</f>
        <v>539132.40384</v>
      </c>
      <c r="AW28" s="55" t="n">
        <f aca="false">SUM(AW17:AW27)</f>
        <v>553729.95392</v>
      </c>
      <c r="AX28" s="55" t="n">
        <f aca="false">SUM(AX17:AX27)</f>
        <v>557333.1520768</v>
      </c>
      <c r="AY28" s="55" t="n">
        <f aca="false">SUM(AY17:AY27)</f>
        <v>582746.7511296</v>
      </c>
      <c r="AZ28" s="55" t="n">
        <f aca="false">SUM(AZ17:AZ27)</f>
        <v>568496.7511296</v>
      </c>
      <c r="BA28" s="55" t="n">
        <f aca="false">SUM(BA17:BA27)</f>
        <v>588623.2766976</v>
      </c>
      <c r="BB28" s="55" t="n">
        <f aca="false">SUM(BB17:BB27)</f>
        <v>577373.2766976</v>
      </c>
      <c r="BC28" s="55" t="n">
        <f aca="false">SUM(BC17:BC27)</f>
        <v>602786.8757504</v>
      </c>
      <c r="BD28" s="55" t="n">
        <f aca="false">SUM(BD17:BD27)</f>
        <v>588536.8757504</v>
      </c>
      <c r="BE28" s="55" t="n">
        <f aca="false">SUM(BE17:BE27)</f>
        <v>607341.6329472</v>
      </c>
      <c r="BF28" s="55" t="n">
        <f aca="false">SUM(BF17:BF27)</f>
        <v>596841.6329472</v>
      </c>
      <c r="BG28" s="55" t="n">
        <f aca="false">SUM(BG17:BG27)</f>
        <v>620933.4636288</v>
      </c>
      <c r="BH28" s="55" t="n">
        <f aca="false">SUM(BH17:BH27)</f>
        <v>607433.4636288</v>
      </c>
      <c r="BI28" s="55" t="n">
        <f aca="false">SUM(BI17:BI27)</f>
        <v>636812.3677952</v>
      </c>
    </row>
    <row r="30" customFormat="false" ht="14.25" hidden="false" customHeight="false" outlineLevel="0" collapsed="false">
      <c r="A30" s="51" t="s">
        <v>447</v>
      </c>
    </row>
    <row r="31" customFormat="false" ht="14.25" hidden="false" customHeight="false" outlineLevel="0" collapsed="false">
      <c r="A31" s="2" t="s">
        <v>448</v>
      </c>
      <c r="B31" s="57" t="n">
        <f aca="false">B13-B28</f>
        <v>-107707.883333333</v>
      </c>
      <c r="C31" s="57" t="n">
        <f aca="false">C13-C28</f>
        <v>-100254.578787879</v>
      </c>
      <c r="D31" s="57" t="n">
        <f aca="false">D13-D28</f>
        <v>-75288.7689393939</v>
      </c>
      <c r="E31" s="57" t="n">
        <f aca="false">E13-E28</f>
        <v>-112650.407954545</v>
      </c>
      <c r="F31" s="57" t="n">
        <f aca="false">F13-F28</f>
        <v>-89733.9228219697</v>
      </c>
      <c r="G31" s="57" t="n">
        <f aca="false">G13-G28</f>
        <v>-131858.443811553</v>
      </c>
      <c r="H31" s="57" t="n">
        <f aca="false">H13-H28</f>
        <v>-131593.953880919</v>
      </c>
      <c r="I31" s="57" t="n">
        <f aca="false">I13-I28</f>
        <v>-130904.909302237</v>
      </c>
      <c r="J31" s="57" t="n">
        <f aca="false">J13-J28</f>
        <v>-181710.413327955</v>
      </c>
      <c r="K31" s="57" t="n">
        <f aca="false">K13-K28</f>
        <v>-150070.479259504</v>
      </c>
      <c r="L31" s="57" t="n">
        <f aca="false">L13-L28</f>
        <v>-149109.594283086</v>
      </c>
      <c r="M31" s="57" t="n">
        <f aca="false">M13-M28</f>
        <v>-194693.503012391</v>
      </c>
      <c r="N31" s="57" t="n">
        <f aca="false">N13-N28</f>
        <v>-199026.800940789</v>
      </c>
      <c r="O31" s="57" t="n">
        <f aca="false">O13-O28</f>
        <v>-195342.708460051</v>
      </c>
      <c r="P31" s="57" t="n">
        <f aca="false">P13-P28</f>
        <v>-228545.519966386</v>
      </c>
      <c r="Q31" s="57" t="n">
        <f aca="false">Q13-Q28</f>
        <v>-202805.339645261</v>
      </c>
      <c r="R31" s="57" t="n">
        <f aca="false">R13-R28</f>
        <v>-198623.798405302</v>
      </c>
      <c r="S31" s="57" t="n">
        <f aca="false">S13-S28</f>
        <v>-194298.459158901</v>
      </c>
      <c r="T31" s="57" t="n">
        <f aca="false">T13-T28</f>
        <v>-189803.622950179</v>
      </c>
      <c r="U31" s="57" t="n">
        <f aca="false">U13-U28</f>
        <v>-209278.011764354</v>
      </c>
      <c r="V31" s="57" t="n">
        <f aca="false">V13-V28</f>
        <v>-190189.319685906</v>
      </c>
      <c r="W31" s="57" t="n">
        <f aca="false">W13-W28</f>
        <v>-204318.817406312</v>
      </c>
      <c r="X31" s="57" t="n">
        <f aca="false">X13-X28</f>
        <v>-187823.090915516</v>
      </c>
      <c r="Y31" s="57" t="n">
        <f aca="false">Y13-Y28</f>
        <v>-207292.361877959</v>
      </c>
      <c r="Z31" s="57" t="n">
        <f aca="false">Z13-Z28</f>
        <v>-250377.262513524</v>
      </c>
      <c r="AA31" s="57" t="n">
        <f aca="false">AA13-AA28</f>
        <v>-266576.25422045</v>
      </c>
      <c r="AB31" s="57" t="n">
        <f aca="false">AB13-AB28</f>
        <v>-237351.306843972</v>
      </c>
      <c r="AC31" s="57" t="n">
        <f aca="false">AC13-AC28</f>
        <v>-241077.464661171</v>
      </c>
      <c r="AD31" s="57" t="n">
        <f aca="false">AD13-AD28</f>
        <v>-217685.709194229</v>
      </c>
      <c r="AE31" s="57" t="n">
        <f aca="false">AE13-AE28</f>
        <v>-220451.657797691</v>
      </c>
      <c r="AF31" s="57" t="n">
        <f aca="false">AF13-AF28</f>
        <v>-196055.685145909</v>
      </c>
      <c r="AG31" s="57" t="n">
        <f aca="false">AG13-AG28</f>
        <v>-199148.222746954</v>
      </c>
      <c r="AH31" s="57" t="n">
        <f aca="false">AH13-AH28</f>
        <v>-173004.971234302</v>
      </c>
      <c r="AI31" s="57" t="n">
        <f aca="false">AI13-AI28</f>
        <v>-180138.901187684</v>
      </c>
      <c r="AJ31" s="57" t="n">
        <f aca="false">AJ13-AJ28</f>
        <v>-149978.639859568</v>
      </c>
      <c r="AK31" s="57" t="n">
        <f aca="false">AK13-AK28</f>
        <v>-156078.447683796</v>
      </c>
      <c r="AL31" s="57" t="n">
        <f aca="false">AL13-AL28</f>
        <v>-221506.949001319</v>
      </c>
      <c r="AM31" s="57" t="n">
        <f aca="false">AM13-AM28</f>
        <v>-218557.81927583</v>
      </c>
      <c r="AN31" s="57" t="n">
        <f aca="false">AN13-AN28</f>
        <v>-179884.993338288</v>
      </c>
      <c r="AO31" s="57" t="n">
        <f aca="false">AO13-AO28</f>
        <v>-180975.369817202</v>
      </c>
      <c r="AP31" s="57" t="n">
        <f aca="false">AP13-AP28</f>
        <v>-138133.683040507</v>
      </c>
      <c r="AQ31" s="57" t="n">
        <f aca="false">AQ13-AQ28</f>
        <v>-147144.418820532</v>
      </c>
      <c r="AR31" s="57" t="n">
        <f aca="false">AR13-AR28</f>
        <v>-97865.4685242254</v>
      </c>
      <c r="AS31" s="57" t="n">
        <f aca="false">AS13-AS28</f>
        <v>-100480.690710881</v>
      </c>
      <c r="AT31" s="57" t="n">
        <f aca="false">AT13-AT28</f>
        <v>-52996.2379397585</v>
      </c>
      <c r="AU31" s="57" t="n">
        <f aca="false">AU13-AU28</f>
        <v>-46568.2410700799</v>
      </c>
      <c r="AV31" s="57" t="n">
        <f aca="false">AV13-AV28</f>
        <v>-2330.22737602796</v>
      </c>
      <c r="AW31" s="57" t="n">
        <f aca="false">AW13-AW28</f>
        <v>14428.7272005037</v>
      </c>
      <c r="AX31" s="57" t="n">
        <f aca="false">AX13-AX28</f>
        <v>49719.969524729</v>
      </c>
      <c r="AY31" s="57" t="n">
        <f aca="false">AY13-AY28</f>
        <v>63737.3905224223</v>
      </c>
      <c r="AZ31" s="57" t="n">
        <f aca="false">AZ13-AZ28</f>
        <v>117871.336477523</v>
      </c>
      <c r="BA31" s="57" t="n">
        <f aca="false">BA13-BA28</f>
        <v>138125.025214879</v>
      </c>
      <c r="BB31" s="57" t="n">
        <f aca="false">BB13-BB28</f>
        <v>190296.014378837</v>
      </c>
      <c r="BC31" s="57" t="n">
        <f aca="false">BC13-BC28</f>
        <v>206258.633244442</v>
      </c>
      <c r="BD31" s="57" t="n">
        <f aca="false">BD13-BD28</f>
        <v>262384.216269184</v>
      </c>
      <c r="BE31" s="57" t="n">
        <f aca="false">BE13-BE28</f>
        <v>285999.710894613</v>
      </c>
      <c r="BF31" s="57" t="n">
        <f aca="false">BF13-BF28</f>
        <v>339377.16498837</v>
      </c>
      <c r="BG31" s="57" t="n">
        <f aca="false">BG13-BG28</f>
        <v>358664.911078549</v>
      </c>
      <c r="BH31" s="57" t="n">
        <f aca="false">BH13-BH28</f>
        <v>416092.700743083</v>
      </c>
      <c r="BI31" s="57" t="n">
        <f aca="false">BI13-BI28</f>
        <v>431100.381779027</v>
      </c>
    </row>
    <row r="32" customFormat="false" ht="14.25" hidden="false" customHeight="false" outlineLevel="0" collapsed="false">
      <c r="A32" s="7" t="s">
        <v>449</v>
      </c>
      <c r="B32" s="56" t="n">
        <f aca="false">IFERROR(B31/B5,0)</f>
        <v>-128.223670634921</v>
      </c>
      <c r="C32" s="56" t="n">
        <f aca="false">IFERROR(C31/C5,0)</f>
        <v>-55.3614641900937</v>
      </c>
      <c r="D32" s="56" t="n">
        <f aca="false">IFERROR(D31/D5,0)</f>
        <v>-25.4823525641026</v>
      </c>
      <c r="E32" s="56" t="n">
        <f aca="false">IFERROR(E31/E5,0)</f>
        <v>-26.500309826775</v>
      </c>
      <c r="F32" s="56" t="n">
        <f aca="false">IFERROR(F31/F5,0)</f>
        <v>-15.8184799846421</v>
      </c>
      <c r="G32" s="56" t="n">
        <f aca="false">IFERROR(G31/G5,0)</f>
        <v>-18.1305360240885</v>
      </c>
      <c r="H32" s="56" t="n">
        <f aca="false">IFERROR(H31/H5,0)</f>
        <v>-14.5803131818101</v>
      </c>
      <c r="I32" s="56" t="n">
        <f aca="false">IFERROR(I31/I5,0)</f>
        <v>-12.0116283143528</v>
      </c>
      <c r="J32" s="56" t="n">
        <f aca="false">IFERROR(J31/J5,0)</f>
        <v>-14.0267687481229</v>
      </c>
      <c r="K32" s="56" t="n">
        <f aca="false">IFERROR(K31/K5,0)</f>
        <v>-9.8967342437323</v>
      </c>
      <c r="L32" s="56" t="n">
        <f aca="false">IFERROR(L31/L5,0)</f>
        <v>-8.52674951712384</v>
      </c>
      <c r="M32" s="56" t="n">
        <f aca="false">IFERROR(M31/M5,0)</f>
        <v>-9.73467515061957</v>
      </c>
      <c r="N32" s="56" t="n">
        <f aca="false">IFERROR(N31/N5,0)</f>
        <v>-7.41929623127351</v>
      </c>
      <c r="O32" s="56" t="n">
        <f aca="false">IFERROR(O31/O5,0)</f>
        <v>-5.75583924830532</v>
      </c>
      <c r="P32" s="56" t="n">
        <f aca="false">IFERROR(P31/P5,0)</f>
        <v>-5.53954062398644</v>
      </c>
      <c r="Q32" s="56" t="n">
        <f aca="false">IFERROR(Q31/Q5,0)</f>
        <v>-4.15374074605735</v>
      </c>
      <c r="R32" s="56" t="n">
        <f aca="false">IFERROR(R31/R5,0)</f>
        <v>-3.50389948938993</v>
      </c>
      <c r="S32" s="56" t="n">
        <f aca="false">IFERROR(S31/S5,0)</f>
        <v>-3.00042403383264</v>
      </c>
      <c r="T32" s="56" t="n">
        <f aca="false">IFERROR(T31/T5,0)</f>
        <v>-2.59717068354064</v>
      </c>
      <c r="U32" s="56" t="n">
        <f aca="false">IFERROR(U31/U5,0)</f>
        <v>-2.56135175943277</v>
      </c>
      <c r="V32" s="56" t="n">
        <f aca="false">IFERROR(V31/V5,0)</f>
        <v>-2.1005558964618</v>
      </c>
      <c r="W32" s="56" t="n">
        <f aca="false">IFERROR(W31/W5,0)</f>
        <v>-2.05063539828456</v>
      </c>
      <c r="X32" s="56" t="n">
        <f aca="false">IFERROR(X31/X5,0)</f>
        <v>-1.72252072035358</v>
      </c>
      <c r="Y32" s="56" t="n">
        <f aca="false">IFERROR(Y31/Y5,0)</f>
        <v>-1.74700278012034</v>
      </c>
      <c r="Z32" s="56" t="n">
        <f aca="false">IFERROR(Z31/Z5,0)</f>
        <v>-1.80116751838217</v>
      </c>
      <c r="AA32" s="56" t="n">
        <f aca="false">IFERROR(AA31/AA5,0)</f>
        <v>-1.66700237792317</v>
      </c>
      <c r="AB32" s="56" t="n">
        <f aca="false">IFERROR(AB31/AB5,0)</f>
        <v>-1.30786932037854</v>
      </c>
      <c r="AC32" s="56" t="n">
        <f aca="false">IFERROR(AC31/AC5,0)</f>
        <v>-1.18371352859724</v>
      </c>
      <c r="AD32" s="56" t="n">
        <f aca="false">IFERROR(AD31/AD5,0)</f>
        <v>-0.96144837106137</v>
      </c>
      <c r="AE32" s="56" t="n">
        <f aca="false">IFERROR(AE31/AE5,0)</f>
        <v>-0.882339564287593</v>
      </c>
      <c r="AF32" s="56" t="n">
        <f aca="false">IFERROR(AF31/AF5,0)</f>
        <v>-0.715741451435514</v>
      </c>
      <c r="AG32" s="56" t="n">
        <f aca="false">IFERROR(AG31/AG5,0)</f>
        <v>-0.666991408891858</v>
      </c>
      <c r="AH32" s="56" t="n">
        <f aca="false">IFERROR(AH31/AH5,0)</f>
        <v>-0.53406795274345</v>
      </c>
      <c r="AI32" s="56" t="n">
        <f aca="false">IFERROR(AI31/AI5,0)</f>
        <v>-0.514749239750874</v>
      </c>
      <c r="AJ32" s="56" t="n">
        <f aca="false">IFERROR(AJ31/AJ5,0)</f>
        <v>-0.398270919966627</v>
      </c>
      <c r="AK32" s="56" t="n">
        <f aca="false">IFERROR(AK31/AK5,0)</f>
        <v>-0.386409307991177</v>
      </c>
      <c r="AL32" s="56" t="n">
        <f aca="false">IFERROR(AL31/AL5,0)</f>
        <v>-0.498947273304749</v>
      </c>
      <c r="AM32" s="56" t="n">
        <f aca="false">IFERROR(AM31/AM5,0)</f>
        <v>-0.450903258179549</v>
      </c>
      <c r="AN32" s="56" t="n">
        <f aca="false">IFERROR(AN31/AN5,0)</f>
        <v>-0.341848575125615</v>
      </c>
      <c r="AO32" s="56" t="n">
        <f aca="false">IFERROR(AO31/AO5,0)</f>
        <v>-0.318362025979613</v>
      </c>
      <c r="AP32" s="56" t="n">
        <f aca="false">IFERROR(AP31/AP5,0)</f>
        <v>-0.22591093919247</v>
      </c>
      <c r="AQ32" s="56" t="n">
        <f aca="false">IFERROR(AQ31/AQ5,0)</f>
        <v>-0.224579393804231</v>
      </c>
      <c r="AR32" s="56" t="n">
        <f aca="false">IFERROR(AR31/AR5,0)</f>
        <v>-0.139866367343158</v>
      </c>
      <c r="AS32" s="56" t="n">
        <f aca="false">IFERROR(AS31/AS5,0)</f>
        <v>-0.134877433539842</v>
      </c>
      <c r="AT32" s="56" t="n">
        <f aca="false">IFERROR(AT31/AT5,0)</f>
        <v>-0.0669975543395165</v>
      </c>
      <c r="AU32" s="56" t="n">
        <f aca="false">IFERROR(AU31/AU5,0)</f>
        <v>-0.0555818952680358</v>
      </c>
      <c r="AV32" s="56" t="n">
        <f aca="false">IFERROR(AV31/AV5,0)</f>
        <v>-0.0026317655716271</v>
      </c>
      <c r="AW32" s="56" t="n">
        <f aca="false">IFERROR(AW31/AW5,0)</f>
        <v>0.0154516247595885</v>
      </c>
      <c r="AX32" s="56" t="n">
        <f aca="false">IFERROR(AX31/AX5,0)</f>
        <v>0.049945354117587</v>
      </c>
      <c r="AY32" s="56" t="n">
        <f aca="false">IFERROR(AY31/AY5,0)</f>
        <v>0.0602466210996245</v>
      </c>
      <c r="AZ32" s="56" t="n">
        <f aca="false">IFERROR(AZ31/AZ5,0)</f>
        <v>0.105145664479835</v>
      </c>
      <c r="BA32" s="56" t="n">
        <f aca="false">IFERROR(BA31/BA5,0)</f>
        <v>0.116578992555746</v>
      </c>
      <c r="BB32" s="56" t="n">
        <f aca="false">IFERROR(BB31/BB5,0)</f>
        <v>0.152312061226147</v>
      </c>
      <c r="BC32" s="56" t="n">
        <f aca="false">IFERROR(BC31/BC5,0)</f>
        <v>0.156900378663265</v>
      </c>
      <c r="BD32" s="56" t="n">
        <f aca="false">IFERROR(BD31/BD5,0)</f>
        <v>0.190065705189196</v>
      </c>
      <c r="BE32" s="56" t="n">
        <f aca="false">IFERROR(BE31/BE5,0)</f>
        <v>0.197625459662436</v>
      </c>
      <c r="BF32" s="56" t="n">
        <f aca="false">IFERROR(BF31/BF5,0)</f>
        <v>0.224083728297874</v>
      </c>
      <c r="BG32" s="56" t="n">
        <f aca="false">IFERROR(BG31/BG5,0)</f>
        <v>0.226636817041028</v>
      </c>
      <c r="BH32" s="56" t="n">
        <f aca="false">IFERROR(BH31/BH5,0)</f>
        <v>0.251966237858513</v>
      </c>
      <c r="BI32" s="56" t="n">
        <f aca="false">IFERROR(BI31/BI5,0)</f>
        <v>0.250514848979385</v>
      </c>
    </row>
    <row r="33" customFormat="false" ht="14.25" hidden="false" customHeight="false" outlineLevel="0" collapsed="false">
      <c r="A33" s="7" t="s">
        <v>450</v>
      </c>
      <c r="B33" s="19" t="n">
        <f aca="false">B31</f>
        <v>-107707.883333333</v>
      </c>
      <c r="C33" s="19" t="n">
        <f aca="false">B33+C31</f>
        <v>-207962.462121212</v>
      </c>
      <c r="D33" s="19" t="n">
        <f aca="false">C33+D31</f>
        <v>-283251.231060606</v>
      </c>
      <c r="E33" s="19" t="n">
        <f aca="false">D33+E31</f>
        <v>-395901.639015152</v>
      </c>
      <c r="F33" s="19" t="n">
        <f aca="false">E33+F31</f>
        <v>-485635.561837121</v>
      </c>
      <c r="G33" s="19" t="n">
        <f aca="false">F33+G31</f>
        <v>-617494.005648674</v>
      </c>
      <c r="H33" s="19" t="n">
        <f aca="false">G33+H31</f>
        <v>-749087.959529593</v>
      </c>
      <c r="I33" s="19" t="n">
        <f aca="false">H33+I31</f>
        <v>-879992.86883183</v>
      </c>
      <c r="J33" s="19" t="n">
        <f aca="false">I33+J31</f>
        <v>-1061703.28215979</v>
      </c>
      <c r="K33" s="19" t="n">
        <f aca="false">J33+K31</f>
        <v>-1211773.76141929</v>
      </c>
      <c r="L33" s="19" t="n">
        <f aca="false">K33+L31</f>
        <v>-1360883.35570238</v>
      </c>
      <c r="M33" s="19" t="n">
        <f aca="false">L33+M31</f>
        <v>-1555576.85871477</v>
      </c>
      <c r="N33" s="19" t="n">
        <f aca="false">M33+N31</f>
        <v>-1754603.65965556</v>
      </c>
      <c r="O33" s="19" t="n">
        <f aca="false">N33+O31</f>
        <v>-1949946.36811561</v>
      </c>
      <c r="P33" s="19" t="n">
        <f aca="false">O33+P31</f>
        <v>-2178491.88808199</v>
      </c>
      <c r="Q33" s="19" t="n">
        <f aca="false">P33+Q31</f>
        <v>-2381297.22772725</v>
      </c>
      <c r="R33" s="19" t="n">
        <f aca="false">Q33+R31</f>
        <v>-2579921.02613256</v>
      </c>
      <c r="S33" s="19" t="n">
        <f aca="false">R33+S31</f>
        <v>-2774219.48529146</v>
      </c>
      <c r="T33" s="19" t="n">
        <f aca="false">S33+T31</f>
        <v>-2964023.10824164</v>
      </c>
      <c r="U33" s="19" t="n">
        <f aca="false">T33+U31</f>
        <v>-3173301.12000599</v>
      </c>
      <c r="V33" s="19" t="n">
        <f aca="false">U33+V31</f>
        <v>-3363490.4396919</v>
      </c>
      <c r="W33" s="19" t="n">
        <f aca="false">V33+W31</f>
        <v>-3567809.25709821</v>
      </c>
      <c r="X33" s="19" t="n">
        <f aca="false">W33+X31</f>
        <v>-3755632.34801372</v>
      </c>
      <c r="Y33" s="19" t="n">
        <f aca="false">X33+Y31</f>
        <v>-3962924.70989168</v>
      </c>
      <c r="Z33" s="19" t="n">
        <f aca="false">Y33+Z31</f>
        <v>-4213301.97240521</v>
      </c>
      <c r="AA33" s="19" t="n">
        <f aca="false">Z33+AA31</f>
        <v>-4479878.22662566</v>
      </c>
      <c r="AB33" s="19" t="n">
        <f aca="false">AA33+AB31</f>
        <v>-4717229.53346963</v>
      </c>
      <c r="AC33" s="19" t="n">
        <f aca="false">AB33+AC31</f>
        <v>-4958306.9981308</v>
      </c>
      <c r="AD33" s="19" t="n">
        <f aca="false">AC33+AD31</f>
        <v>-5175992.70732503</v>
      </c>
      <c r="AE33" s="19" t="n">
        <f aca="false">AD33+AE31</f>
        <v>-5396444.36512272</v>
      </c>
      <c r="AF33" s="19" t="n">
        <f aca="false">AE33+AF31</f>
        <v>-5592500.05026863</v>
      </c>
      <c r="AG33" s="19" t="n">
        <f aca="false">AF33+AG31</f>
        <v>-5791648.27301558</v>
      </c>
      <c r="AH33" s="19" t="n">
        <f aca="false">AG33+AH31</f>
        <v>-5964653.24424988</v>
      </c>
      <c r="AI33" s="19" t="n">
        <f aca="false">AH33+AI31</f>
        <v>-6144792.14543757</v>
      </c>
      <c r="AJ33" s="19" t="n">
        <f aca="false">AI33+AJ31</f>
        <v>-6294770.78529713</v>
      </c>
      <c r="AK33" s="19" t="n">
        <f aca="false">AJ33+AK31</f>
        <v>-6450849.23298093</v>
      </c>
      <c r="AL33" s="19" t="n">
        <f aca="false">AK33+AL31</f>
        <v>-6672356.18198225</v>
      </c>
      <c r="AM33" s="19" t="n">
        <f aca="false">AL33+AM31</f>
        <v>-6890914.00125808</v>
      </c>
      <c r="AN33" s="19" t="n">
        <f aca="false">AM33+AN31</f>
        <v>-7070798.99459637</v>
      </c>
      <c r="AO33" s="19" t="n">
        <f aca="false">AN33+AO31</f>
        <v>-7251774.36441357</v>
      </c>
      <c r="AP33" s="19" t="n">
        <f aca="false">AO33+AP31</f>
        <v>-7389908.04745408</v>
      </c>
      <c r="AQ33" s="19" t="n">
        <f aca="false">AP33+AQ31</f>
        <v>-7537052.46627461</v>
      </c>
      <c r="AR33" s="19" t="n">
        <f aca="false">AQ33+AR31</f>
        <v>-7634917.93479883</v>
      </c>
      <c r="AS33" s="19" t="n">
        <f aca="false">AR33+AS31</f>
        <v>-7735398.62550971</v>
      </c>
      <c r="AT33" s="19" t="n">
        <f aca="false">AS33+AT31</f>
        <v>-7788394.86344947</v>
      </c>
      <c r="AU33" s="19" t="n">
        <f aca="false">AT33+AU31</f>
        <v>-7834963.10451955</v>
      </c>
      <c r="AV33" s="19" t="n">
        <f aca="false">AU33+AV31</f>
        <v>-7837293.33189558</v>
      </c>
      <c r="AW33" s="19" t="n">
        <f aca="false">AV33+AW31</f>
        <v>-7822864.60469508</v>
      </c>
      <c r="AX33" s="19" t="n">
        <f aca="false">AW33+AX31</f>
        <v>-7773144.63517035</v>
      </c>
      <c r="AY33" s="19" t="n">
        <f aca="false">AX33+AY31</f>
        <v>-7709407.24464793</v>
      </c>
      <c r="AZ33" s="19" t="n">
        <f aca="false">AY33+AZ31</f>
        <v>-7591535.9081704</v>
      </c>
      <c r="BA33" s="19" t="n">
        <f aca="false">AZ33+BA31</f>
        <v>-7453410.88295552</v>
      </c>
      <c r="BB33" s="19" t="n">
        <f aca="false">BA33+BB31</f>
        <v>-7263114.86857669</v>
      </c>
      <c r="BC33" s="19" t="n">
        <f aca="false">BB33+BC31</f>
        <v>-7056856.23533225</v>
      </c>
      <c r="BD33" s="19" t="n">
        <f aca="false">BC33+BD31</f>
        <v>-6794472.01906306</v>
      </c>
      <c r="BE33" s="19" t="n">
        <f aca="false">BD33+BE31</f>
        <v>-6508472.30816845</v>
      </c>
      <c r="BF33" s="19" t="n">
        <f aca="false">BE33+BF31</f>
        <v>-6169095.14318008</v>
      </c>
      <c r="BG33" s="19" t="n">
        <f aca="false">BF33+BG31</f>
        <v>-5810430.23210153</v>
      </c>
      <c r="BH33" s="19" t="n">
        <f aca="false">BG33+BH31</f>
        <v>-5394337.53135845</v>
      </c>
      <c r="BI33" s="19" t="n">
        <f aca="false">BH33+BI31</f>
        <v>-4963237.14957942</v>
      </c>
    </row>
    <row r="35" customFormat="false" ht="14.25" hidden="false" customHeight="false" outlineLevel="0" collapsed="false">
      <c r="A35" s="51" t="s">
        <v>451</v>
      </c>
    </row>
    <row r="36" customFormat="false" ht="14.25" hidden="false" customHeight="false" outlineLevel="0" collapsed="false">
      <c r="A36" s="7" t="s">
        <v>452</v>
      </c>
      <c r="B36" s="19" t="n">
        <f aca="false">IF(1=assumptions!$G$124,assumptions!$G$123,0)+IF(1=assumptions!$G$126,assumptions!$G$125,0)+IF(1=assumptions!$G$128,assumptions!$G$127,0)</f>
        <v>2500000</v>
      </c>
      <c r="C36" s="19" t="n">
        <f aca="false">IF(2=assumptions!$G$124,assumptions!$G$123,0)+IF(2=assumptions!$G$126,assumptions!$G$125,0)+IF(2=assumptions!$G$128,assumptions!$G$127,0)</f>
        <v>0</v>
      </c>
      <c r="D36" s="19" t="n">
        <f aca="false">IF(3=assumptions!$G$124,assumptions!$G$123,0)+IF(3=assumptions!$G$126,assumptions!$G$125,0)+IF(3=assumptions!$G$128,assumptions!$G$127,0)</f>
        <v>0</v>
      </c>
      <c r="E36" s="19" t="n">
        <f aca="false">IF(4=assumptions!$G$124,assumptions!$G$123,0)+IF(4=assumptions!$G$126,assumptions!$G$125,0)+IF(4=assumptions!$G$128,assumptions!$G$127,0)</f>
        <v>0</v>
      </c>
      <c r="F36" s="19" t="n">
        <f aca="false">IF(5=assumptions!$G$124,assumptions!$G$123,0)+IF(5=assumptions!$G$126,assumptions!$G$125,0)+IF(5=assumptions!$G$128,assumptions!$G$127,0)</f>
        <v>0</v>
      </c>
      <c r="G36" s="19" t="n">
        <f aca="false">IF(6=assumptions!$G$124,assumptions!$G$123,0)+IF(6=assumptions!$G$126,assumptions!$G$125,0)+IF(6=assumptions!$G$128,assumptions!$G$127,0)</f>
        <v>0</v>
      </c>
      <c r="H36" s="19" t="n">
        <f aca="false">IF(7=assumptions!$G$124,assumptions!$G$123,0)+IF(7=assumptions!$G$126,assumptions!$G$125,0)+IF(7=assumptions!$G$128,assumptions!$G$127,0)</f>
        <v>0</v>
      </c>
      <c r="I36" s="19" t="n">
        <f aca="false">IF(8=assumptions!$G$124,assumptions!$G$123,0)+IF(8=assumptions!$G$126,assumptions!$G$125,0)+IF(8=assumptions!$G$128,assumptions!$G$127,0)</f>
        <v>0</v>
      </c>
      <c r="J36" s="19" t="n">
        <f aca="false">IF(9=assumptions!$G$124,assumptions!$G$123,0)+IF(9=assumptions!$G$126,assumptions!$G$125,0)+IF(9=assumptions!$G$128,assumptions!$G$127,0)</f>
        <v>0</v>
      </c>
      <c r="K36" s="19" t="n">
        <f aca="false">IF(10=assumptions!$G$124,assumptions!$G$123,0)+IF(10=assumptions!$G$126,assumptions!$G$125,0)+IF(10=assumptions!$G$128,assumptions!$G$127,0)</f>
        <v>0</v>
      </c>
      <c r="L36" s="19" t="n">
        <f aca="false">IF(11=assumptions!$G$124,assumptions!$G$123,0)+IF(11=assumptions!$G$126,assumptions!$G$125,0)+IF(11=assumptions!$G$128,assumptions!$G$127,0)</f>
        <v>0</v>
      </c>
      <c r="M36" s="19" t="n">
        <f aca="false">IF(12=assumptions!$G$124,assumptions!$G$123,0)+IF(12=assumptions!$G$126,assumptions!$G$125,0)+IF(12=assumptions!$G$128,assumptions!$G$127,0)</f>
        <v>0</v>
      </c>
      <c r="N36" s="19" t="n">
        <f aca="false">IF(13=assumptions!$G$124,assumptions!$G$123,0)+IF(13=assumptions!$G$126,assumptions!$G$125,0)+IF(13=assumptions!$G$128,assumptions!$G$127,0)</f>
        <v>0</v>
      </c>
      <c r="O36" s="19" t="n">
        <f aca="false">IF(14=assumptions!$G$124,assumptions!$G$123,0)+IF(14=assumptions!$G$126,assumptions!$G$125,0)+IF(14=assumptions!$G$128,assumptions!$G$127,0)</f>
        <v>0</v>
      </c>
      <c r="P36" s="19" t="n">
        <f aca="false">IF(15=assumptions!$G$124,assumptions!$G$123,0)+IF(15=assumptions!$G$126,assumptions!$G$125,0)+IF(15=assumptions!$G$128,assumptions!$G$127,0)</f>
        <v>0</v>
      </c>
      <c r="Q36" s="19" t="n">
        <f aca="false">IF(16=assumptions!$G$124,assumptions!$G$123,0)+IF(16=assumptions!$G$126,assumptions!$G$125,0)+IF(16=assumptions!$G$128,assumptions!$G$127,0)</f>
        <v>0</v>
      </c>
      <c r="R36" s="19" t="n">
        <f aca="false">IF(17=assumptions!$G$124,assumptions!$G$123,0)+IF(17=assumptions!$G$126,assumptions!$G$125,0)+IF(17=assumptions!$G$128,assumptions!$G$127,0)</f>
        <v>0</v>
      </c>
      <c r="S36" s="19" t="n">
        <f aca="false">IF(18=assumptions!$G$124,assumptions!$G$123,0)+IF(18=assumptions!$G$126,assumptions!$G$125,0)+IF(18=assumptions!$G$128,assumptions!$G$127,0)</f>
        <v>0</v>
      </c>
      <c r="T36" s="19" t="n">
        <f aca="false">IF(19=assumptions!$G$124,assumptions!$G$123,0)+IF(19=assumptions!$G$126,assumptions!$G$125,0)+IF(19=assumptions!$G$128,assumptions!$G$127,0)</f>
        <v>0</v>
      </c>
      <c r="U36" s="19" t="n">
        <f aca="false">IF(20=assumptions!$G$124,assumptions!$G$123,0)+IF(20=assumptions!$G$126,assumptions!$G$125,0)+IF(20=assumptions!$G$128,assumptions!$G$127,0)</f>
        <v>0</v>
      </c>
      <c r="V36" s="19" t="n">
        <f aca="false">IF(21=assumptions!$G$124,assumptions!$G$123,0)+IF(21=assumptions!$G$126,assumptions!$G$125,0)+IF(21=assumptions!$G$128,assumptions!$G$127,0)</f>
        <v>0</v>
      </c>
      <c r="W36" s="19" t="n">
        <f aca="false">IF(22=assumptions!$G$124,assumptions!$G$123,0)+IF(22=assumptions!$G$126,assumptions!$G$125,0)+IF(22=assumptions!$G$128,assumptions!$G$127,0)</f>
        <v>8000000</v>
      </c>
      <c r="X36" s="19" t="n">
        <f aca="false">IF(23=assumptions!$G$124,assumptions!$G$123,0)+IF(23=assumptions!$G$126,assumptions!$G$125,0)+IF(23=assumptions!$G$128,assumptions!$G$127,0)</f>
        <v>0</v>
      </c>
      <c r="Y36" s="19" t="n">
        <f aca="false">IF(24=assumptions!$G$124,assumptions!$G$123,0)+IF(24=assumptions!$G$126,assumptions!$G$125,0)+IF(24=assumptions!$G$128,assumptions!$G$127,0)</f>
        <v>0</v>
      </c>
      <c r="Z36" s="19" t="n">
        <f aca="false">IF(25=assumptions!$G$124,assumptions!$G$123,0)+IF(25=assumptions!$G$126,assumptions!$G$125,0)+IF(25=assumptions!$G$128,assumptions!$G$127,0)</f>
        <v>0</v>
      </c>
      <c r="AA36" s="19" t="n">
        <f aca="false">IF(26=assumptions!$G$124,assumptions!$G$123,0)+IF(26=assumptions!$G$126,assumptions!$G$125,0)+IF(26=assumptions!$G$128,assumptions!$G$127,0)</f>
        <v>0</v>
      </c>
      <c r="AB36" s="19" t="n">
        <f aca="false">IF(27=assumptions!$G$124,assumptions!$G$123,0)+IF(27=assumptions!$G$126,assumptions!$G$125,0)+IF(27=assumptions!$G$128,assumptions!$G$127,0)</f>
        <v>0</v>
      </c>
      <c r="AC36" s="19" t="n">
        <f aca="false">IF(28=assumptions!$G$124,assumptions!$G$123,0)+IF(28=assumptions!$G$126,assumptions!$G$125,0)+IF(28=assumptions!$G$128,assumptions!$G$127,0)</f>
        <v>0</v>
      </c>
      <c r="AD36" s="19" t="n">
        <f aca="false">IF(29=assumptions!$G$124,assumptions!$G$123,0)+IF(29=assumptions!$G$126,assumptions!$G$125,0)+IF(29=assumptions!$G$128,assumptions!$G$127,0)</f>
        <v>0</v>
      </c>
      <c r="AE36" s="19" t="n">
        <f aca="false">IF(30=assumptions!$G$124,assumptions!$G$123,0)+IF(30=assumptions!$G$126,assumptions!$G$125,0)+IF(30=assumptions!$G$128,assumptions!$G$127,0)</f>
        <v>0</v>
      </c>
      <c r="AF36" s="19" t="n">
        <f aca="false">IF(31=assumptions!$G$124,assumptions!$G$123,0)+IF(31=assumptions!$G$126,assumptions!$G$125,0)+IF(31=assumptions!$G$128,assumptions!$G$127,0)</f>
        <v>0</v>
      </c>
      <c r="AG36" s="19" t="n">
        <f aca="false">IF(32=assumptions!$G$124,assumptions!$G$123,0)+IF(32=assumptions!$G$126,assumptions!$G$125,0)+IF(32=assumptions!$G$128,assumptions!$G$127,0)</f>
        <v>0</v>
      </c>
      <c r="AH36" s="19" t="n">
        <f aca="false">IF(33=assumptions!$G$124,assumptions!$G$123,0)+IF(33=assumptions!$G$126,assumptions!$G$125,0)+IF(33=assumptions!$G$128,assumptions!$G$127,0)</f>
        <v>0</v>
      </c>
      <c r="AI36" s="19" t="n">
        <f aca="false">IF(34=assumptions!$G$124,assumptions!$G$123,0)+IF(34=assumptions!$G$126,assumptions!$G$125,0)+IF(34=assumptions!$G$128,assumptions!$G$127,0)</f>
        <v>0</v>
      </c>
      <c r="AJ36" s="19" t="n">
        <f aca="false">IF(35=assumptions!$G$124,assumptions!$G$123,0)+IF(35=assumptions!$G$126,assumptions!$G$125,0)+IF(35=assumptions!$G$128,assumptions!$G$127,0)</f>
        <v>0</v>
      </c>
      <c r="AK36" s="19" t="n">
        <f aca="false">IF(36=assumptions!$G$124,assumptions!$G$123,0)+IF(36=assumptions!$G$126,assumptions!$G$125,0)+IF(36=assumptions!$G$128,assumptions!$G$127,0)</f>
        <v>0</v>
      </c>
      <c r="AL36" s="19" t="n">
        <f aca="false">IF(37=assumptions!$G$124,assumptions!$G$123,0)+IF(37=assumptions!$G$126,assumptions!$G$125,0)+IF(37=assumptions!$G$128,assumptions!$G$127,0)</f>
        <v>0</v>
      </c>
      <c r="AM36" s="19" t="n">
        <f aca="false">IF(38=assumptions!$G$124,assumptions!$G$123,0)+IF(38=assumptions!$G$126,assumptions!$G$125,0)+IF(38=assumptions!$G$128,assumptions!$G$127,0)</f>
        <v>0</v>
      </c>
      <c r="AN36" s="19" t="n">
        <f aca="false">IF(39=assumptions!$G$124,assumptions!$G$123,0)+IF(39=assumptions!$G$126,assumptions!$G$125,0)+IF(39=assumptions!$G$128,assumptions!$G$127,0)</f>
        <v>0</v>
      </c>
      <c r="AO36" s="19" t="n">
        <f aca="false">IF(40=assumptions!$G$124,assumptions!$G$123,0)+IF(40=assumptions!$G$126,assumptions!$G$125,0)+IF(40=assumptions!$G$128,assumptions!$G$127,0)</f>
        <v>0</v>
      </c>
      <c r="AP36" s="19" t="n">
        <f aca="false">IF(41=assumptions!$G$124,assumptions!$G$123,0)+IF(41=assumptions!$G$126,assumptions!$G$125,0)+IF(41=assumptions!$G$128,assumptions!$G$127,0)</f>
        <v>0</v>
      </c>
      <c r="AQ36" s="19" t="n">
        <f aca="false">IF(42=assumptions!$G$124,assumptions!$G$123,0)+IF(42=assumptions!$G$126,assumptions!$G$125,0)+IF(42=assumptions!$G$128,assumptions!$G$127,0)</f>
        <v>0</v>
      </c>
      <c r="AR36" s="19" t="n">
        <f aca="false">IF(43=assumptions!$G$124,assumptions!$G$123,0)+IF(43=assumptions!$G$126,assumptions!$G$125,0)+IF(43=assumptions!$G$128,assumptions!$G$127,0)</f>
        <v>0</v>
      </c>
      <c r="AS36" s="19" t="n">
        <f aca="false">IF(44=assumptions!$G$124,assumptions!$G$123,0)+IF(44=assumptions!$G$126,assumptions!$G$125,0)+IF(44=assumptions!$G$128,assumptions!$G$127,0)</f>
        <v>20000000</v>
      </c>
      <c r="AT36" s="19" t="n">
        <f aca="false">IF(45=assumptions!$G$124,assumptions!$G$123,0)+IF(45=assumptions!$G$126,assumptions!$G$125,0)+IF(45=assumptions!$G$128,assumptions!$G$127,0)</f>
        <v>0</v>
      </c>
      <c r="AU36" s="19" t="n">
        <f aca="false">IF(46=assumptions!$G$124,assumptions!$G$123,0)+IF(46=assumptions!$G$126,assumptions!$G$125,0)+IF(46=assumptions!$G$128,assumptions!$G$127,0)</f>
        <v>0</v>
      </c>
      <c r="AV36" s="19" t="n">
        <f aca="false">IF(47=assumptions!$G$124,assumptions!$G$123,0)+IF(47=assumptions!$G$126,assumptions!$G$125,0)+IF(47=assumptions!$G$128,assumptions!$G$127,0)</f>
        <v>0</v>
      </c>
      <c r="AW36" s="19" t="n">
        <f aca="false">IF(48=assumptions!$G$124,assumptions!$G$123,0)+IF(48=assumptions!$G$126,assumptions!$G$125,0)+IF(48=assumptions!$G$128,assumptions!$G$127,0)</f>
        <v>0</v>
      </c>
      <c r="AX36" s="19" t="n">
        <f aca="false">IF(49=assumptions!$G$124,assumptions!$G$123,0)+IF(49=assumptions!$G$126,assumptions!$G$125,0)+IF(49=assumptions!$G$128,assumptions!$G$127,0)</f>
        <v>0</v>
      </c>
      <c r="AY36" s="19" t="n">
        <f aca="false">IF(50=assumptions!$G$124,assumptions!$G$123,0)+IF(50=assumptions!$G$126,assumptions!$G$125,0)+IF(50=assumptions!$G$128,assumptions!$G$127,0)</f>
        <v>0</v>
      </c>
      <c r="AZ36" s="19" t="n">
        <f aca="false">IF(51=assumptions!$G$124,assumptions!$G$123,0)+IF(51=assumptions!$G$126,assumptions!$G$125,0)+IF(51=assumptions!$G$128,assumptions!$G$127,0)</f>
        <v>0</v>
      </c>
      <c r="BA36" s="19" t="n">
        <f aca="false">IF(52=assumptions!$G$124,assumptions!$G$123,0)+IF(52=assumptions!$G$126,assumptions!$G$125,0)+IF(52=assumptions!$G$128,assumptions!$G$127,0)</f>
        <v>0</v>
      </c>
      <c r="BB36" s="19" t="n">
        <f aca="false">IF(53=assumptions!$G$124,assumptions!$G$123,0)+IF(53=assumptions!$G$126,assumptions!$G$125,0)+IF(53=assumptions!$G$128,assumptions!$G$127,0)</f>
        <v>0</v>
      </c>
      <c r="BC36" s="19" t="n">
        <f aca="false">IF(54=assumptions!$G$124,assumptions!$G$123,0)+IF(54=assumptions!$G$126,assumptions!$G$125,0)+IF(54=assumptions!$G$128,assumptions!$G$127,0)</f>
        <v>0</v>
      </c>
      <c r="BD36" s="19" t="n">
        <f aca="false">IF(55=assumptions!$G$124,assumptions!$G$123,0)+IF(55=assumptions!$G$126,assumptions!$G$125,0)+IF(55=assumptions!$G$128,assumptions!$G$127,0)</f>
        <v>0</v>
      </c>
      <c r="BE36" s="19" t="n">
        <f aca="false">IF(56=assumptions!$G$124,assumptions!$G$123,0)+IF(56=assumptions!$G$126,assumptions!$G$125,0)+IF(56=assumptions!$G$128,assumptions!$G$127,0)</f>
        <v>0</v>
      </c>
      <c r="BF36" s="19" t="n">
        <f aca="false">IF(57=assumptions!$G$124,assumptions!$G$123,0)+IF(57=assumptions!$G$126,assumptions!$G$125,0)+IF(57=assumptions!$G$128,assumptions!$G$127,0)</f>
        <v>0</v>
      </c>
      <c r="BG36" s="19" t="n">
        <f aca="false">IF(58=assumptions!$G$124,assumptions!$G$123,0)+IF(58=assumptions!$G$126,assumptions!$G$125,0)+IF(58=assumptions!$G$128,assumptions!$G$127,0)</f>
        <v>0</v>
      </c>
      <c r="BH36" s="19" t="n">
        <f aca="false">IF(59=assumptions!$G$124,assumptions!$G$123,0)+IF(59=assumptions!$G$126,assumptions!$G$125,0)+IF(59=assumptions!$G$128,assumptions!$G$127,0)</f>
        <v>0</v>
      </c>
      <c r="BI36" s="19" t="n">
        <f aca="false">IF(60=assumptions!$G$124,assumptions!$G$123,0)+IF(60=assumptions!$G$126,assumptions!$G$125,0)+IF(60=assumptions!$G$128,assumptions!$G$127,0)</f>
        <v>0</v>
      </c>
    </row>
    <row r="37" customFormat="false" ht="14.25" hidden="false" customHeight="false" outlineLevel="0" collapsed="false">
      <c r="A37" s="7" t="s">
        <v>453</v>
      </c>
      <c r="B37" s="19" t="n">
        <f aca="false">assumptions!$G$122</f>
        <v>50000</v>
      </c>
      <c r="C37" s="19" t="n">
        <f aca="false">B39</f>
        <v>2442292.11666667</v>
      </c>
      <c r="D37" s="19" t="n">
        <f aca="false">C39</f>
        <v>2342037.53787879</v>
      </c>
      <c r="E37" s="19" t="n">
        <f aca="false">D39</f>
        <v>2266748.76893939</v>
      </c>
      <c r="F37" s="19" t="n">
        <f aca="false">E39</f>
        <v>2154098.36098485</v>
      </c>
      <c r="G37" s="19" t="n">
        <f aca="false">F39</f>
        <v>2064364.43816288</v>
      </c>
      <c r="H37" s="19" t="n">
        <f aca="false">G39</f>
        <v>1932505.99435133</v>
      </c>
      <c r="I37" s="19" t="n">
        <f aca="false">H39</f>
        <v>1800912.04047041</v>
      </c>
      <c r="J37" s="19" t="n">
        <f aca="false">I39</f>
        <v>1670007.13116817</v>
      </c>
      <c r="K37" s="19" t="n">
        <f aca="false">J39</f>
        <v>1488296.71784022</v>
      </c>
      <c r="L37" s="19" t="n">
        <f aca="false">K39</f>
        <v>1338226.23858071</v>
      </c>
      <c r="M37" s="19" t="n">
        <f aca="false">L39</f>
        <v>1189116.64429763</v>
      </c>
      <c r="N37" s="19" t="n">
        <f aca="false">M39</f>
        <v>994423.141285233</v>
      </c>
      <c r="O37" s="19" t="n">
        <f aca="false">N39</f>
        <v>795396.340344445</v>
      </c>
      <c r="P37" s="19" t="n">
        <f aca="false">O39</f>
        <v>600053.631884394</v>
      </c>
      <c r="Q37" s="19" t="n">
        <f aca="false">P39</f>
        <v>371508.111918008</v>
      </c>
      <c r="R37" s="19" t="n">
        <f aca="false">Q39</f>
        <v>168702.772272747</v>
      </c>
      <c r="S37" s="19" t="n">
        <f aca="false">R39</f>
        <v>-29921.0261325556</v>
      </c>
      <c r="T37" s="19" t="n">
        <f aca="false">S39</f>
        <v>-224219.485291456</v>
      </c>
      <c r="U37" s="19" t="n">
        <f aca="false">T39</f>
        <v>-414023.108241635</v>
      </c>
      <c r="V37" s="19" t="n">
        <f aca="false">U39</f>
        <v>-623301.120005989</v>
      </c>
      <c r="W37" s="19" t="n">
        <f aca="false">V39</f>
        <v>-813490.439691895</v>
      </c>
      <c r="X37" s="19" t="n">
        <f aca="false">W39</f>
        <v>6982190.74290179</v>
      </c>
      <c r="Y37" s="19" t="n">
        <f aca="false">X39</f>
        <v>6794367.65198628</v>
      </c>
      <c r="Z37" s="19" t="n">
        <f aca="false">Y39</f>
        <v>6587075.29010832</v>
      </c>
      <c r="AA37" s="19" t="n">
        <f aca="false">Z39</f>
        <v>6336698.02759479</v>
      </c>
      <c r="AB37" s="19" t="n">
        <f aca="false">AA39</f>
        <v>6070121.77337435</v>
      </c>
      <c r="AC37" s="19" t="n">
        <f aca="false">AB39</f>
        <v>5832770.46653037</v>
      </c>
      <c r="AD37" s="19" t="n">
        <f aca="false">AC39</f>
        <v>5591693.0018692</v>
      </c>
      <c r="AE37" s="19" t="n">
        <f aca="false">AD39</f>
        <v>5374007.29267497</v>
      </c>
      <c r="AF37" s="19" t="n">
        <f aca="false">AE39</f>
        <v>5153555.63487728</v>
      </c>
      <c r="AG37" s="19" t="n">
        <f aca="false">AF39</f>
        <v>4957499.94973137</v>
      </c>
      <c r="AH37" s="19" t="n">
        <f aca="false">AG39</f>
        <v>4758351.72698442</v>
      </c>
      <c r="AI37" s="19" t="n">
        <f aca="false">AH39</f>
        <v>4585346.75575012</v>
      </c>
      <c r="AJ37" s="19" t="n">
        <f aca="false">AI39</f>
        <v>4405207.85456243</v>
      </c>
      <c r="AK37" s="19" t="n">
        <f aca="false">AJ39</f>
        <v>4255229.21470287</v>
      </c>
      <c r="AL37" s="19" t="n">
        <f aca="false">AK39</f>
        <v>4099150.76701907</v>
      </c>
      <c r="AM37" s="19" t="n">
        <f aca="false">AL39</f>
        <v>3877643.81801775</v>
      </c>
      <c r="AN37" s="19" t="n">
        <f aca="false">AM39</f>
        <v>3659085.99874192</v>
      </c>
      <c r="AO37" s="19" t="n">
        <f aca="false">AN39</f>
        <v>3479201.00540363</v>
      </c>
      <c r="AP37" s="19" t="n">
        <f aca="false">AO39</f>
        <v>3298225.63558643</v>
      </c>
      <c r="AQ37" s="19" t="n">
        <f aca="false">AP39</f>
        <v>3160091.95254593</v>
      </c>
      <c r="AR37" s="19" t="n">
        <f aca="false">AQ39</f>
        <v>3012947.53372539</v>
      </c>
      <c r="AS37" s="19" t="n">
        <f aca="false">AR39</f>
        <v>2915082.06520117</v>
      </c>
      <c r="AT37" s="19" t="n">
        <f aca="false">AS39</f>
        <v>22814601.3744903</v>
      </c>
      <c r="AU37" s="19" t="n">
        <f aca="false">AT39</f>
        <v>22761605.1365505</v>
      </c>
      <c r="AV37" s="19" t="n">
        <f aca="false">AU39</f>
        <v>22715036.8954804</v>
      </c>
      <c r="AW37" s="19" t="n">
        <f aca="false">AV39</f>
        <v>22712706.6681044</v>
      </c>
      <c r="AX37" s="19" t="n">
        <f aca="false">AW39</f>
        <v>22727135.3953049</v>
      </c>
      <c r="AY37" s="19" t="n">
        <f aca="false">AX39</f>
        <v>22776855.3648297</v>
      </c>
      <c r="AZ37" s="19" t="n">
        <f aca="false">AY39</f>
        <v>22840592.7553521</v>
      </c>
      <c r="BA37" s="19" t="n">
        <f aca="false">AZ39</f>
        <v>22958464.0918296</v>
      </c>
      <c r="BB37" s="19" t="n">
        <f aca="false">BA39</f>
        <v>23096589.1170445</v>
      </c>
      <c r="BC37" s="19" t="n">
        <f aca="false">BB39</f>
        <v>23286885.1314233</v>
      </c>
      <c r="BD37" s="19" t="n">
        <f aca="false">BC39</f>
        <v>23493143.7646678</v>
      </c>
      <c r="BE37" s="19" t="n">
        <f aca="false">BD39</f>
        <v>23755527.9809369</v>
      </c>
      <c r="BF37" s="19" t="n">
        <f aca="false">BE39</f>
        <v>24041527.6918316</v>
      </c>
      <c r="BG37" s="19" t="n">
        <f aca="false">BF39</f>
        <v>24380904.8568199</v>
      </c>
      <c r="BH37" s="19" t="n">
        <f aca="false">BG39</f>
        <v>24739569.7678985</v>
      </c>
      <c r="BI37" s="19" t="n">
        <f aca="false">BH39</f>
        <v>25155662.4686416</v>
      </c>
    </row>
    <row r="38" customFormat="false" ht="14.25" hidden="false" customHeight="false" outlineLevel="0" collapsed="false">
      <c r="A38" s="7" t="s">
        <v>454</v>
      </c>
      <c r="B38" s="19" t="n">
        <f aca="false">B31+B36</f>
        <v>2392292.11666667</v>
      </c>
      <c r="C38" s="19" t="n">
        <f aca="false">C31+C36</f>
        <v>-100254.578787879</v>
      </c>
      <c r="D38" s="19" t="n">
        <f aca="false">D31+D36</f>
        <v>-75288.7689393939</v>
      </c>
      <c r="E38" s="19" t="n">
        <f aca="false">E31+E36</f>
        <v>-112650.407954545</v>
      </c>
      <c r="F38" s="19" t="n">
        <f aca="false">F31+F36</f>
        <v>-89733.9228219697</v>
      </c>
      <c r="G38" s="19" t="n">
        <f aca="false">G31+G36</f>
        <v>-131858.443811553</v>
      </c>
      <c r="H38" s="19" t="n">
        <f aca="false">H31+H36</f>
        <v>-131593.953880919</v>
      </c>
      <c r="I38" s="19" t="n">
        <f aca="false">I31+I36</f>
        <v>-130904.909302237</v>
      </c>
      <c r="J38" s="19" t="n">
        <f aca="false">J31+J36</f>
        <v>-181710.413327955</v>
      </c>
      <c r="K38" s="19" t="n">
        <f aca="false">K31+K36</f>
        <v>-150070.479259504</v>
      </c>
      <c r="L38" s="19" t="n">
        <f aca="false">L31+L36</f>
        <v>-149109.594283086</v>
      </c>
      <c r="M38" s="19" t="n">
        <f aca="false">M31+M36</f>
        <v>-194693.503012391</v>
      </c>
      <c r="N38" s="19" t="n">
        <f aca="false">N31+N36</f>
        <v>-199026.800940789</v>
      </c>
      <c r="O38" s="19" t="n">
        <f aca="false">O31+O36</f>
        <v>-195342.708460051</v>
      </c>
      <c r="P38" s="19" t="n">
        <f aca="false">P31+P36</f>
        <v>-228545.519966386</v>
      </c>
      <c r="Q38" s="19" t="n">
        <f aca="false">Q31+Q36</f>
        <v>-202805.339645261</v>
      </c>
      <c r="R38" s="19" t="n">
        <f aca="false">R31+R36</f>
        <v>-198623.798405302</v>
      </c>
      <c r="S38" s="19" t="n">
        <f aca="false">S31+S36</f>
        <v>-194298.459158901</v>
      </c>
      <c r="T38" s="19" t="n">
        <f aca="false">T31+T36</f>
        <v>-189803.622950179</v>
      </c>
      <c r="U38" s="19" t="n">
        <f aca="false">U31+U36</f>
        <v>-209278.011764354</v>
      </c>
      <c r="V38" s="19" t="n">
        <f aca="false">V31+V36</f>
        <v>-190189.319685906</v>
      </c>
      <c r="W38" s="19" t="n">
        <f aca="false">W31+W36</f>
        <v>7795681.18259369</v>
      </c>
      <c r="X38" s="19" t="n">
        <f aca="false">X31+X36</f>
        <v>-187823.090915516</v>
      </c>
      <c r="Y38" s="19" t="n">
        <f aca="false">Y31+Y36</f>
        <v>-207292.361877959</v>
      </c>
      <c r="Z38" s="19" t="n">
        <f aca="false">Z31+Z36</f>
        <v>-250377.262513524</v>
      </c>
      <c r="AA38" s="19" t="n">
        <f aca="false">AA31+AA36</f>
        <v>-266576.25422045</v>
      </c>
      <c r="AB38" s="19" t="n">
        <f aca="false">AB31+AB36</f>
        <v>-237351.306843972</v>
      </c>
      <c r="AC38" s="19" t="n">
        <f aca="false">AC31+AC36</f>
        <v>-241077.464661171</v>
      </c>
      <c r="AD38" s="19" t="n">
        <f aca="false">AD31+AD36</f>
        <v>-217685.709194229</v>
      </c>
      <c r="AE38" s="19" t="n">
        <f aca="false">AE31+AE36</f>
        <v>-220451.657797691</v>
      </c>
      <c r="AF38" s="19" t="n">
        <f aca="false">AF31+AF36</f>
        <v>-196055.685145909</v>
      </c>
      <c r="AG38" s="19" t="n">
        <f aca="false">AG31+AG36</f>
        <v>-199148.222746954</v>
      </c>
      <c r="AH38" s="19" t="n">
        <f aca="false">AH31+AH36</f>
        <v>-173004.971234302</v>
      </c>
      <c r="AI38" s="19" t="n">
        <f aca="false">AI31+AI36</f>
        <v>-180138.901187684</v>
      </c>
      <c r="AJ38" s="19" t="n">
        <f aca="false">AJ31+AJ36</f>
        <v>-149978.639859568</v>
      </c>
      <c r="AK38" s="19" t="n">
        <f aca="false">AK31+AK36</f>
        <v>-156078.447683796</v>
      </c>
      <c r="AL38" s="19" t="n">
        <f aca="false">AL31+AL36</f>
        <v>-221506.949001319</v>
      </c>
      <c r="AM38" s="19" t="n">
        <f aca="false">AM31+AM36</f>
        <v>-218557.81927583</v>
      </c>
      <c r="AN38" s="19" t="n">
        <f aca="false">AN31+AN36</f>
        <v>-179884.993338288</v>
      </c>
      <c r="AO38" s="19" t="n">
        <f aca="false">AO31+AO36</f>
        <v>-180975.369817202</v>
      </c>
      <c r="AP38" s="19" t="n">
        <f aca="false">AP31+AP36</f>
        <v>-138133.683040507</v>
      </c>
      <c r="AQ38" s="19" t="n">
        <f aca="false">AQ31+AQ36</f>
        <v>-147144.418820532</v>
      </c>
      <c r="AR38" s="19" t="n">
        <f aca="false">AR31+AR36</f>
        <v>-97865.4685242254</v>
      </c>
      <c r="AS38" s="19" t="n">
        <f aca="false">AS31+AS36</f>
        <v>19899519.3092891</v>
      </c>
      <c r="AT38" s="19" t="n">
        <f aca="false">AT31+AT36</f>
        <v>-52996.2379397585</v>
      </c>
      <c r="AU38" s="19" t="n">
        <f aca="false">AU31+AU36</f>
        <v>-46568.2410700799</v>
      </c>
      <c r="AV38" s="19" t="n">
        <f aca="false">AV31+AV36</f>
        <v>-2330.22737602796</v>
      </c>
      <c r="AW38" s="19" t="n">
        <f aca="false">AW31+AW36</f>
        <v>14428.7272005037</v>
      </c>
      <c r="AX38" s="19" t="n">
        <f aca="false">AX31+AX36</f>
        <v>49719.969524729</v>
      </c>
      <c r="AY38" s="19" t="n">
        <f aca="false">AY31+AY36</f>
        <v>63737.3905224223</v>
      </c>
      <c r="AZ38" s="19" t="n">
        <f aca="false">AZ31+AZ36</f>
        <v>117871.336477523</v>
      </c>
      <c r="BA38" s="19" t="n">
        <f aca="false">BA31+BA36</f>
        <v>138125.025214879</v>
      </c>
      <c r="BB38" s="19" t="n">
        <f aca="false">BB31+BB36</f>
        <v>190296.014378837</v>
      </c>
      <c r="BC38" s="19" t="n">
        <f aca="false">BC31+BC36</f>
        <v>206258.633244442</v>
      </c>
      <c r="BD38" s="19" t="n">
        <f aca="false">BD31+BD36</f>
        <v>262384.216269184</v>
      </c>
      <c r="BE38" s="19" t="n">
        <f aca="false">BE31+BE36</f>
        <v>285999.710894613</v>
      </c>
      <c r="BF38" s="19" t="n">
        <f aca="false">BF31+BF36</f>
        <v>339377.16498837</v>
      </c>
      <c r="BG38" s="19" t="n">
        <f aca="false">BG31+BG36</f>
        <v>358664.911078549</v>
      </c>
      <c r="BH38" s="19" t="n">
        <f aca="false">BH31+BH36</f>
        <v>416092.700743083</v>
      </c>
      <c r="BI38" s="19" t="n">
        <f aca="false">BI31+BI36</f>
        <v>431100.381779027</v>
      </c>
    </row>
    <row r="39" customFormat="false" ht="14.25" hidden="false" customHeight="false" outlineLevel="0" collapsed="false">
      <c r="A39" s="2" t="s">
        <v>455</v>
      </c>
      <c r="B39" s="57" t="n">
        <f aca="false">B37+B38</f>
        <v>2442292.11666667</v>
      </c>
      <c r="C39" s="57" t="n">
        <f aca="false">C37+C38</f>
        <v>2342037.53787879</v>
      </c>
      <c r="D39" s="57" t="n">
        <f aca="false">D37+D38</f>
        <v>2266748.76893939</v>
      </c>
      <c r="E39" s="57" t="n">
        <f aca="false">E37+E38</f>
        <v>2154098.36098485</v>
      </c>
      <c r="F39" s="57" t="n">
        <f aca="false">F37+F38</f>
        <v>2064364.43816288</v>
      </c>
      <c r="G39" s="57" t="n">
        <f aca="false">G37+G38</f>
        <v>1932505.99435133</v>
      </c>
      <c r="H39" s="57" t="n">
        <f aca="false">H37+H38</f>
        <v>1800912.04047041</v>
      </c>
      <c r="I39" s="57" t="n">
        <f aca="false">I37+I38</f>
        <v>1670007.13116817</v>
      </c>
      <c r="J39" s="57" t="n">
        <f aca="false">J37+J38</f>
        <v>1488296.71784022</v>
      </c>
      <c r="K39" s="57" t="n">
        <f aca="false">K37+K38</f>
        <v>1338226.23858071</v>
      </c>
      <c r="L39" s="57" t="n">
        <f aca="false">L37+L38</f>
        <v>1189116.64429763</v>
      </c>
      <c r="M39" s="57" t="n">
        <f aca="false">M37+M38</f>
        <v>994423.141285233</v>
      </c>
      <c r="N39" s="57" t="n">
        <f aca="false">N37+N38</f>
        <v>795396.340344445</v>
      </c>
      <c r="O39" s="57" t="n">
        <f aca="false">O37+O38</f>
        <v>600053.631884394</v>
      </c>
      <c r="P39" s="57" t="n">
        <f aca="false">P37+P38</f>
        <v>371508.111918008</v>
      </c>
      <c r="Q39" s="57" t="n">
        <f aca="false">Q37+Q38</f>
        <v>168702.772272747</v>
      </c>
      <c r="R39" s="57" t="n">
        <f aca="false">R37+R38</f>
        <v>-29921.0261325556</v>
      </c>
      <c r="S39" s="57" t="n">
        <f aca="false">S37+S38</f>
        <v>-224219.485291456</v>
      </c>
      <c r="T39" s="57" t="n">
        <f aca="false">T37+T38</f>
        <v>-414023.108241635</v>
      </c>
      <c r="U39" s="57" t="n">
        <f aca="false">U37+U38</f>
        <v>-623301.120005989</v>
      </c>
      <c r="V39" s="57" t="n">
        <f aca="false">V37+V38</f>
        <v>-813490.439691895</v>
      </c>
      <c r="W39" s="57" t="n">
        <f aca="false">W37+W38</f>
        <v>6982190.74290179</v>
      </c>
      <c r="X39" s="57" t="n">
        <f aca="false">X37+X38</f>
        <v>6794367.65198628</v>
      </c>
      <c r="Y39" s="57" t="n">
        <f aca="false">Y37+Y38</f>
        <v>6587075.29010832</v>
      </c>
      <c r="Z39" s="57" t="n">
        <f aca="false">Z37+Z38</f>
        <v>6336698.02759479</v>
      </c>
      <c r="AA39" s="57" t="n">
        <f aca="false">AA37+AA38</f>
        <v>6070121.77337435</v>
      </c>
      <c r="AB39" s="57" t="n">
        <f aca="false">AB37+AB38</f>
        <v>5832770.46653037</v>
      </c>
      <c r="AC39" s="57" t="n">
        <f aca="false">AC37+AC38</f>
        <v>5591693.0018692</v>
      </c>
      <c r="AD39" s="57" t="n">
        <f aca="false">AD37+AD38</f>
        <v>5374007.29267497</v>
      </c>
      <c r="AE39" s="57" t="n">
        <f aca="false">AE37+AE38</f>
        <v>5153555.63487728</v>
      </c>
      <c r="AF39" s="57" t="n">
        <f aca="false">AF37+AF38</f>
        <v>4957499.94973137</v>
      </c>
      <c r="AG39" s="57" t="n">
        <f aca="false">AG37+AG38</f>
        <v>4758351.72698442</v>
      </c>
      <c r="AH39" s="57" t="n">
        <f aca="false">AH37+AH38</f>
        <v>4585346.75575012</v>
      </c>
      <c r="AI39" s="57" t="n">
        <f aca="false">AI37+AI38</f>
        <v>4405207.85456243</v>
      </c>
      <c r="AJ39" s="57" t="n">
        <f aca="false">AJ37+AJ38</f>
        <v>4255229.21470287</v>
      </c>
      <c r="AK39" s="57" t="n">
        <f aca="false">AK37+AK38</f>
        <v>4099150.76701907</v>
      </c>
      <c r="AL39" s="57" t="n">
        <f aca="false">AL37+AL38</f>
        <v>3877643.81801775</v>
      </c>
      <c r="AM39" s="57" t="n">
        <f aca="false">AM37+AM38</f>
        <v>3659085.99874192</v>
      </c>
      <c r="AN39" s="57" t="n">
        <f aca="false">AN37+AN38</f>
        <v>3479201.00540363</v>
      </c>
      <c r="AO39" s="57" t="n">
        <f aca="false">AO37+AO38</f>
        <v>3298225.63558643</v>
      </c>
      <c r="AP39" s="57" t="n">
        <f aca="false">AP37+AP38</f>
        <v>3160091.95254593</v>
      </c>
      <c r="AQ39" s="57" t="n">
        <f aca="false">AQ37+AQ38</f>
        <v>3012947.53372539</v>
      </c>
      <c r="AR39" s="57" t="n">
        <f aca="false">AR37+AR38</f>
        <v>2915082.06520117</v>
      </c>
      <c r="AS39" s="57" t="n">
        <f aca="false">AS37+AS38</f>
        <v>22814601.3744903</v>
      </c>
      <c r="AT39" s="57" t="n">
        <f aca="false">AT37+AT38</f>
        <v>22761605.1365505</v>
      </c>
      <c r="AU39" s="57" t="n">
        <f aca="false">AU37+AU38</f>
        <v>22715036.8954804</v>
      </c>
      <c r="AV39" s="57" t="n">
        <f aca="false">AV37+AV38</f>
        <v>22712706.6681044</v>
      </c>
      <c r="AW39" s="57" t="n">
        <f aca="false">AW37+AW38</f>
        <v>22727135.3953049</v>
      </c>
      <c r="AX39" s="57" t="n">
        <f aca="false">AX37+AX38</f>
        <v>22776855.3648297</v>
      </c>
      <c r="AY39" s="57" t="n">
        <f aca="false">AY37+AY38</f>
        <v>22840592.7553521</v>
      </c>
      <c r="AZ39" s="57" t="n">
        <f aca="false">AZ37+AZ38</f>
        <v>22958464.0918296</v>
      </c>
      <c r="BA39" s="57" t="n">
        <f aca="false">BA37+BA38</f>
        <v>23096589.1170445</v>
      </c>
      <c r="BB39" s="57" t="n">
        <f aca="false">BB37+BB38</f>
        <v>23286885.1314233</v>
      </c>
      <c r="BC39" s="57" t="n">
        <f aca="false">BC37+BC38</f>
        <v>23493143.7646678</v>
      </c>
      <c r="BD39" s="57" t="n">
        <f aca="false">BD37+BD38</f>
        <v>23755527.9809369</v>
      </c>
      <c r="BE39" s="57" t="n">
        <f aca="false">BE37+BE38</f>
        <v>24041527.6918316</v>
      </c>
      <c r="BF39" s="57" t="n">
        <f aca="false">BF37+BF38</f>
        <v>24380904.8568199</v>
      </c>
      <c r="BG39" s="57" t="n">
        <f aca="false">BG37+BG38</f>
        <v>24739569.7678985</v>
      </c>
      <c r="BH39" s="57" t="n">
        <f aca="false">BH37+BH38</f>
        <v>25155662.4686416</v>
      </c>
      <c r="BI39" s="57" t="n">
        <f aca="false">BI37+BI38</f>
        <v>25586762.8504206</v>
      </c>
    </row>
    <row r="40" customFormat="false" ht="14.25" hidden="false" customHeight="false" outlineLevel="0" collapsed="false">
      <c r="A40" s="7" t="s">
        <v>456</v>
      </c>
      <c r="B40" s="19" t="n">
        <f aca="false">B39</f>
        <v>2442292.11666667</v>
      </c>
      <c r="C40" s="19" t="n">
        <f aca="false">MIN(B40,C39)</f>
        <v>2342037.53787879</v>
      </c>
      <c r="D40" s="19" t="n">
        <f aca="false">MIN(C40,D39)</f>
        <v>2266748.76893939</v>
      </c>
      <c r="E40" s="19" t="n">
        <f aca="false">MIN(D40,E39)</f>
        <v>2154098.36098485</v>
      </c>
      <c r="F40" s="19" t="n">
        <f aca="false">MIN(E40,F39)</f>
        <v>2064364.43816288</v>
      </c>
      <c r="G40" s="19" t="n">
        <f aca="false">MIN(F40,G39)</f>
        <v>1932505.99435133</v>
      </c>
      <c r="H40" s="19" t="n">
        <f aca="false">MIN(G40,H39)</f>
        <v>1800912.04047041</v>
      </c>
      <c r="I40" s="19" t="n">
        <f aca="false">MIN(H40,I39)</f>
        <v>1670007.13116817</v>
      </c>
      <c r="J40" s="19" t="n">
        <f aca="false">MIN(I40,J39)</f>
        <v>1488296.71784022</v>
      </c>
      <c r="K40" s="19" t="n">
        <f aca="false">MIN(J40,K39)</f>
        <v>1338226.23858071</v>
      </c>
      <c r="L40" s="19" t="n">
        <f aca="false">MIN(K40,L39)</f>
        <v>1189116.64429763</v>
      </c>
      <c r="M40" s="19" t="n">
        <f aca="false">MIN(L40,M39)</f>
        <v>994423.141285233</v>
      </c>
      <c r="N40" s="19" t="n">
        <f aca="false">MIN(M40,N39)</f>
        <v>795396.340344445</v>
      </c>
      <c r="O40" s="19" t="n">
        <f aca="false">MIN(N40,O39)</f>
        <v>600053.631884394</v>
      </c>
      <c r="P40" s="19" t="n">
        <f aca="false">MIN(O40,P39)</f>
        <v>371508.111918008</v>
      </c>
      <c r="Q40" s="19" t="n">
        <f aca="false">MIN(P40,Q39)</f>
        <v>168702.772272747</v>
      </c>
      <c r="R40" s="19" t="n">
        <f aca="false">MIN(Q40,R39)</f>
        <v>-29921.0261325556</v>
      </c>
      <c r="S40" s="19" t="n">
        <f aca="false">MIN(R40,S39)</f>
        <v>-224219.485291456</v>
      </c>
      <c r="T40" s="19" t="n">
        <f aca="false">MIN(S40,T39)</f>
        <v>-414023.108241635</v>
      </c>
      <c r="U40" s="19" t="n">
        <f aca="false">MIN(T40,U39)</f>
        <v>-623301.120005989</v>
      </c>
      <c r="V40" s="19" t="n">
        <f aca="false">MIN(U40,V39)</f>
        <v>-813490.439691895</v>
      </c>
      <c r="W40" s="19" t="n">
        <f aca="false">MIN(V40,W39)</f>
        <v>-813490.439691895</v>
      </c>
      <c r="X40" s="19" t="n">
        <f aca="false">MIN(W40,X39)</f>
        <v>-813490.439691895</v>
      </c>
      <c r="Y40" s="19" t="n">
        <f aca="false">MIN(X40,Y39)</f>
        <v>-813490.439691895</v>
      </c>
      <c r="Z40" s="19" t="n">
        <f aca="false">MIN(Y40,Z39)</f>
        <v>-813490.439691895</v>
      </c>
      <c r="AA40" s="19" t="n">
        <f aca="false">MIN(Z40,AA39)</f>
        <v>-813490.439691895</v>
      </c>
      <c r="AB40" s="19" t="n">
        <f aca="false">MIN(AA40,AB39)</f>
        <v>-813490.439691895</v>
      </c>
      <c r="AC40" s="19" t="n">
        <f aca="false">MIN(AB40,AC39)</f>
        <v>-813490.439691895</v>
      </c>
      <c r="AD40" s="19" t="n">
        <f aca="false">MIN(AC40,AD39)</f>
        <v>-813490.439691895</v>
      </c>
      <c r="AE40" s="19" t="n">
        <f aca="false">MIN(AD40,AE39)</f>
        <v>-813490.439691895</v>
      </c>
      <c r="AF40" s="19" t="n">
        <f aca="false">MIN(AE40,AF39)</f>
        <v>-813490.439691895</v>
      </c>
      <c r="AG40" s="19" t="n">
        <f aca="false">MIN(AF40,AG39)</f>
        <v>-813490.439691895</v>
      </c>
      <c r="AH40" s="19" t="n">
        <f aca="false">MIN(AG40,AH39)</f>
        <v>-813490.439691895</v>
      </c>
      <c r="AI40" s="19" t="n">
        <f aca="false">MIN(AH40,AI39)</f>
        <v>-813490.439691895</v>
      </c>
      <c r="AJ40" s="19" t="n">
        <f aca="false">MIN(AI40,AJ39)</f>
        <v>-813490.439691895</v>
      </c>
      <c r="AK40" s="19" t="n">
        <f aca="false">MIN(AJ40,AK39)</f>
        <v>-813490.439691895</v>
      </c>
      <c r="AL40" s="19" t="n">
        <f aca="false">MIN(AK40,AL39)</f>
        <v>-813490.439691895</v>
      </c>
      <c r="AM40" s="19" t="n">
        <f aca="false">MIN(AL40,AM39)</f>
        <v>-813490.439691895</v>
      </c>
      <c r="AN40" s="19" t="n">
        <f aca="false">MIN(AM40,AN39)</f>
        <v>-813490.439691895</v>
      </c>
      <c r="AO40" s="19" t="n">
        <f aca="false">MIN(AN40,AO39)</f>
        <v>-813490.439691895</v>
      </c>
      <c r="AP40" s="19" t="n">
        <f aca="false">MIN(AO40,AP39)</f>
        <v>-813490.439691895</v>
      </c>
      <c r="AQ40" s="19" t="n">
        <f aca="false">MIN(AP40,AQ39)</f>
        <v>-813490.439691895</v>
      </c>
      <c r="AR40" s="19" t="n">
        <f aca="false">MIN(AQ40,AR39)</f>
        <v>-813490.439691895</v>
      </c>
      <c r="AS40" s="19" t="n">
        <f aca="false">MIN(AR40,AS39)</f>
        <v>-813490.439691895</v>
      </c>
      <c r="AT40" s="19" t="n">
        <f aca="false">MIN(AS40,AT39)</f>
        <v>-813490.439691895</v>
      </c>
      <c r="AU40" s="19" t="n">
        <f aca="false">MIN(AT40,AU39)</f>
        <v>-813490.439691895</v>
      </c>
      <c r="AV40" s="19" t="n">
        <f aca="false">MIN(AU40,AV39)</f>
        <v>-813490.439691895</v>
      </c>
      <c r="AW40" s="19" t="n">
        <f aca="false">MIN(AV40,AW39)</f>
        <v>-813490.439691895</v>
      </c>
      <c r="AX40" s="19" t="n">
        <f aca="false">MIN(AW40,AX39)</f>
        <v>-813490.439691895</v>
      </c>
      <c r="AY40" s="19" t="n">
        <f aca="false">MIN(AX40,AY39)</f>
        <v>-813490.439691895</v>
      </c>
      <c r="AZ40" s="19" t="n">
        <f aca="false">MIN(AY40,AZ39)</f>
        <v>-813490.439691895</v>
      </c>
      <c r="BA40" s="19" t="n">
        <f aca="false">MIN(AZ40,BA39)</f>
        <v>-813490.439691895</v>
      </c>
      <c r="BB40" s="19" t="n">
        <f aca="false">MIN(BA40,BB39)</f>
        <v>-813490.439691895</v>
      </c>
      <c r="BC40" s="19" t="n">
        <f aca="false">MIN(BB40,BC39)</f>
        <v>-813490.439691895</v>
      </c>
      <c r="BD40" s="19" t="n">
        <f aca="false">MIN(BC40,BD39)</f>
        <v>-813490.439691895</v>
      </c>
      <c r="BE40" s="19" t="n">
        <f aca="false">MIN(BD40,BE39)</f>
        <v>-813490.439691895</v>
      </c>
      <c r="BF40" s="19" t="n">
        <f aca="false">MIN(BE40,BF39)</f>
        <v>-813490.439691895</v>
      </c>
      <c r="BG40" s="19" t="n">
        <f aca="false">MIN(BF40,BG39)</f>
        <v>-813490.439691895</v>
      </c>
      <c r="BH40" s="19" t="n">
        <f aca="false">MIN(BG40,BH39)</f>
        <v>-813490.439691895</v>
      </c>
      <c r="BI40" s="19" t="n">
        <f aca="false">MIN(BH40,BI39)</f>
        <v>-813490.439691895</v>
      </c>
    </row>
  </sheetData>
  <mergeCells count="1">
    <mergeCell ref="A1:B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2026-05-17T21:36:23Z</dcterms:created>
  <dc:creator>openpyxl</dc:creator>
  <dc:description/>
  <dc:language>en-US</dc:language>
  <cp:lastModifiedBy>Brendan Mcguigan</cp:lastModifiedBy>
  <dcterms:modified xsi:type="dcterms:W3CDTF">2026-05-18T20:46:56Z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