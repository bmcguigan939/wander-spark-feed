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4496" windowHeight="15675" tabRatio="600" firstSheet="7" activeTab="12" autoFilterDateGrouping="1"/>
  </bookViews>
  <sheets>
    <sheet xmlns:r="http://schemas.openxmlformats.org/officeDocument/2006/relationships" name="1. Cover" sheetId="1" state="visible" r:id="rId1"/>
    <sheet xmlns:r="http://schemas.openxmlformats.org/officeDocument/2006/relationships" name="2. Exec Summary" sheetId="2" state="visible" r:id="rId2"/>
    <sheet xmlns:r="http://schemas.openxmlformats.org/officeDocument/2006/relationships" name="3. TAM" sheetId="3" state="visible" r:id="rId3"/>
    <sheet xmlns:r="http://schemas.openxmlformats.org/officeDocument/2006/relationships" name="4. SAM" sheetId="4" state="visible" r:id="rId4"/>
    <sheet xmlns:r="http://schemas.openxmlformats.org/officeDocument/2006/relationships" name="5. SOM" sheetId="5" state="visible" r:id="rId5"/>
    <sheet xmlns:r="http://schemas.openxmlformats.org/officeDocument/2006/relationships" name="6. Cohort Maturity" sheetId="6" state="visible" r:id="rId6"/>
    <sheet xmlns:r="http://schemas.openxmlformats.org/officeDocument/2006/relationships" name="7. Revenue Engine" sheetId="7" state="visible" r:id="rId7"/>
    <sheet xmlns:r="http://schemas.openxmlformats.org/officeDocument/2006/relationships" name="8. Competitors" sheetId="8" state="visible" r:id="rId8"/>
    <sheet xmlns:r="http://schemas.openxmlformats.org/officeDocument/2006/relationships" name="9. Trends" sheetId="9" state="visible" r:id="rId9"/>
    <sheet xmlns:r="http://schemas.openxmlformats.org/officeDocument/2006/relationships" name="10. Sensitivity" sheetId="10" state="visible" r:id="rId10"/>
    <sheet xmlns:r="http://schemas.openxmlformats.org/officeDocument/2006/relationships" name="11. Sources" sheetId="11" state="visible" r:id="rId11"/>
    <sheet xmlns:r="http://schemas.openxmlformats.org/officeDocument/2006/relationships" name="12. Rev-Share Scenarios" sheetId="12" state="visible" r:id="rId12"/>
    <sheet xmlns:r="http://schemas.openxmlformats.org/officeDocument/2006/relationships" name="13. Reconciliation" sheetId="13" state="visible" r:id="rId13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0.0%;\(0.0%\);&quot;-&quot;"/>
    <numFmt numFmtId="165" formatCode="#,##0;\(#,##0\);&quot;-&quot;"/>
    <numFmt numFmtId="166" formatCode="#,##0.0;\(#,##0.0\);&quot;-&quot;"/>
    <numFmt numFmtId="167" formatCode="&quot;£&quot;#,##0;\(&quot;£&quot;#,##0\);&quot;-&quot;"/>
    <numFmt numFmtId="168" formatCode="&quot;£&quot;#,##0.00,,,&quot;B&quot;;\(&quot;£&quot;#,##0.00,,,&quot;B&quot;\);&quot;-&quot;"/>
    <numFmt numFmtId="169" formatCode="&quot;£&quot;#,##0.0,,&quot;M&quot;;\(&quot;£&quot;#,##0.0,,&quot;M&quot;\);&quot;-&quot;"/>
    <numFmt numFmtId="170" formatCode="0.00%;\(0.00%\);&quot;-&quot;"/>
    <numFmt numFmtId="171" formatCode="_-&quot;£&quot;* #,##0.00_-;\-&quot;£&quot;* #,##0.00_-;_-&quot;£&quot;* &quot;-&quot;??_-;_-@_-"/>
  </numFmts>
  <fonts count="20">
    <font>
      <name val="Calibri"/>
      <family val="2"/>
      <color theme="1"/>
      <sz val="11"/>
      <scheme val="minor"/>
    </font>
    <font>
      <name val="Arial"/>
      <b val="1"/>
      <color rgb="FF1E2761"/>
      <sz val="18"/>
    </font>
    <font>
      <name val="Arial"/>
      <i val="1"/>
      <color rgb="FF606060"/>
      <sz val="9"/>
    </font>
    <font>
      <name val="Arial"/>
      <b val="1"/>
      <color rgb="FF1E2761"/>
      <sz val="12"/>
    </font>
    <font>
      <name val="Arial"/>
      <color rgb="FF000000"/>
      <sz val="10"/>
    </font>
    <font>
      <name val="Arial"/>
      <color rgb="FF0000FF"/>
      <sz val="10"/>
    </font>
    <font>
      <name val="Arial"/>
      <color rgb="FF008000"/>
      <sz val="10"/>
    </font>
    <font>
      <name val="Arial"/>
      <b val="1"/>
      <color rgb="FFC00000"/>
      <sz val="10"/>
    </font>
    <font>
      <name val="Arial"/>
      <b val="1"/>
      <color rgb="FFFFFFFF"/>
      <sz val="10"/>
    </font>
    <font>
      <name val="Arial"/>
      <b val="1"/>
      <color rgb="FF000000"/>
      <sz val="10"/>
    </font>
    <font>
      <name val="Arial"/>
      <b val="1"/>
      <color rgb="FF008000"/>
      <sz val="10"/>
    </font>
    <font>
      <name val="Calibri"/>
      <b val="1"/>
      <sz val="11"/>
    </font>
    <font>
      <name val="Calibri"/>
      <b val="1"/>
      <color rgb="FFFFFFFF"/>
      <sz val="11"/>
    </font>
    <font>
      <name val="Calibri"/>
      <color rgb="FF0000FF"/>
      <sz val="11"/>
    </font>
    <font>
      <name val="Calibri"/>
      <color rgb="FF000000"/>
      <sz val="11"/>
    </font>
    <font>
      <name val="Calibri"/>
      <color rgb="FF008000"/>
      <sz val="11"/>
    </font>
    <font>
      <name val="Calibri"/>
      <family val="2"/>
      <color theme="1"/>
      <sz val="11"/>
      <scheme val="minor"/>
    </font>
    <font>
      <color rgb="000000FF"/>
    </font>
    <font>
      <color rgb="00008000"/>
    </font>
    <font>
      <color rgb="00000000"/>
    </font>
  </fonts>
  <fills count="12">
    <fill>
      <patternFill/>
    </fill>
    <fill>
      <patternFill patternType="gray125"/>
    </fill>
    <fill>
      <patternFill patternType="solid">
        <fgColor rgb="FFFFF4B8"/>
      </patternFill>
    </fill>
    <fill>
      <patternFill patternType="solid">
        <fgColor rgb="FFF8D7DA"/>
      </patternFill>
    </fill>
    <fill>
      <patternFill patternType="solid">
        <fgColor rgb="FF1E2761"/>
      </patternFill>
    </fill>
    <fill>
      <patternFill patternType="solid">
        <fgColor rgb="FFEEF2FA"/>
      </patternFill>
    </fill>
    <fill>
      <patternFill patternType="solid">
        <fgColor rgb="FFFAFBFD"/>
      </patternFill>
    </fill>
    <fill>
      <patternFill patternType="solid">
        <fgColor rgb="FFE2F0DA"/>
      </patternFill>
    </fill>
    <fill>
      <patternFill patternType="solid">
        <fgColor rgb="FFFFF2CC"/>
      </patternFill>
    </fill>
    <fill>
      <patternFill patternType="solid">
        <fgColor rgb="FFD9E1F2"/>
      </patternFill>
    </fill>
    <fill>
      <patternFill patternType="solid">
        <fgColor rgb="FF305496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16" fillId="0" borderId="0"/>
    <xf numFmtId="44" fontId="16" fillId="0" borderId="0"/>
  </cellStyleXfs>
  <cellXfs count="10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2" fontId="5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164" fontId="5" fillId="0" borderId="0" pivotButton="0" quotePrefix="0" xfId="0"/>
    <xf numFmtId="0" fontId="5" fillId="0" borderId="0" pivotButton="0" quotePrefix="0" xfId="0"/>
    <xf numFmtId="0" fontId="4" fillId="2" borderId="0" pivotButton="0" quotePrefix="0" xfId="0"/>
    <xf numFmtId="0" fontId="6" fillId="3" borderId="0" pivotButton="0" quotePrefix="0" xfId="0"/>
    <xf numFmtId="0" fontId="7" fillId="0" borderId="0" pivotButton="0" quotePrefix="0" xfId="0"/>
    <xf numFmtId="0" fontId="8" fillId="4" borderId="1" applyAlignment="1" pivotButton="0" quotePrefix="0" xfId="0">
      <alignment horizontal="center" vertical="center" wrapText="1"/>
    </xf>
    <xf numFmtId="165" fontId="5" fillId="0" borderId="0" pivotButton="0" quotePrefix="0" xfId="0"/>
    <xf numFmtId="166" fontId="5" fillId="0" borderId="0" pivotButton="0" quotePrefix="0" xfId="0"/>
    <xf numFmtId="167" fontId="5" fillId="0" borderId="0" pivotButton="0" quotePrefix="0" xfId="0"/>
    <xf numFmtId="167" fontId="4" fillId="0" borderId="0" pivotButton="0" quotePrefix="0" xfId="0"/>
    <xf numFmtId="0" fontId="9" fillId="0" borderId="0" pivotButton="0" quotePrefix="0" xfId="0"/>
    <xf numFmtId="168" fontId="9" fillId="5" borderId="0" pivotButton="0" quotePrefix="0" xfId="0"/>
    <xf numFmtId="164" fontId="9" fillId="0" borderId="0" pivotButton="0" quotePrefix="0" xfId="0"/>
    <xf numFmtId="168" fontId="9" fillId="2" borderId="0" pivotButton="0" quotePrefix="0" xfId="0"/>
    <xf numFmtId="168" fontId="6" fillId="0" borderId="0" pivotButton="0" quotePrefix="0" xfId="0"/>
    <xf numFmtId="168" fontId="4" fillId="0" borderId="0" pivotButton="0" quotePrefix="0" xfId="0"/>
    <xf numFmtId="165" fontId="6" fillId="0" borderId="0" pivotButton="0" quotePrefix="0" xfId="0"/>
    <xf numFmtId="169" fontId="10" fillId="0" borderId="0" pivotButton="0" quotePrefix="0" xfId="0"/>
    <xf numFmtId="170" fontId="6" fillId="0" borderId="0" pivotButton="0" quotePrefix="0" xfId="0"/>
    <xf numFmtId="0" fontId="4" fillId="0" borderId="0" applyAlignment="1" pivotButton="0" quotePrefix="0" xfId="0">
      <alignment horizontal="left" vertical="top" wrapText="1"/>
    </xf>
    <xf numFmtId="169" fontId="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169" fontId="6" fillId="0" borderId="0" pivotButton="0" quotePrefix="0" xfId="0"/>
    <xf numFmtId="166" fontId="4" fillId="0" borderId="0" pivotButton="0" quotePrefix="0" xfId="0"/>
    <xf numFmtId="0" fontId="4" fillId="6" borderId="0" pivotButton="0" quotePrefix="0" xfId="0"/>
    <xf numFmtId="166" fontId="5" fillId="6" borderId="0" pivotButton="0" quotePrefix="0" xfId="0"/>
    <xf numFmtId="164" fontId="5" fillId="6" borderId="0" pivotButton="0" quotePrefix="0" xfId="0"/>
    <xf numFmtId="166" fontId="4" fillId="6" borderId="0" pivotButton="0" quotePrefix="0" xfId="0"/>
    <xf numFmtId="167" fontId="5" fillId="6" borderId="0" pivotButton="0" quotePrefix="0" xfId="0"/>
    <xf numFmtId="0" fontId="2" fillId="6" borderId="0" applyAlignment="1" pivotButton="0" quotePrefix="0" xfId="0">
      <alignment horizontal="left" vertical="center" wrapText="1"/>
    </xf>
    <xf numFmtId="166" fontId="9" fillId="5" borderId="0" pivotButton="0" quotePrefix="0" xfId="0"/>
    <xf numFmtId="164" fontId="4" fillId="0" borderId="0" pivotButton="0" quotePrefix="0" xfId="0"/>
    <xf numFmtId="165" fontId="5" fillId="2" borderId="0" pivotButton="0" quotePrefix="0" xfId="0"/>
    <xf numFmtId="167" fontId="5" fillId="2" borderId="0" pivotButton="0" quotePrefix="0" xfId="0"/>
    <xf numFmtId="164" fontId="5" fillId="2" borderId="0" pivotButton="0" quotePrefix="0" xfId="0"/>
    <xf numFmtId="167" fontId="6" fillId="0" borderId="0" pivotButton="0" quotePrefix="0" xfId="0"/>
    <xf numFmtId="169" fontId="9" fillId="5" borderId="0" pivotButton="0" quotePrefix="0" xfId="0"/>
    <xf numFmtId="170" fontId="5" fillId="0" borderId="0" pivotButton="0" quotePrefix="0" xfId="0"/>
    <xf numFmtId="169" fontId="4" fillId="0" borderId="0" pivotButton="0" quotePrefix="0" xfId="0"/>
    <xf numFmtId="164" fontId="4" fillId="3" borderId="0" pivotButton="0" quotePrefix="0" xfId="0"/>
    <xf numFmtId="164" fontId="4" fillId="7" borderId="0" pivotButton="0" quotePrefix="0" xfId="0"/>
    <xf numFmtId="164" fontId="4" fillId="8" borderId="0" pivotButton="0" quotePrefix="0" xfId="0"/>
    <xf numFmtId="170" fontId="9" fillId="5" borderId="0" pivotButton="0" quotePrefix="0" xfId="0"/>
    <xf numFmtId="165" fontId="4" fillId="0" borderId="0" pivotButton="0" quotePrefix="0" xfId="0"/>
    <xf numFmtId="165" fontId="9" fillId="5" borderId="0" pivotButton="0" quotePrefix="0" xfId="0"/>
    <xf numFmtId="170" fontId="4" fillId="0" borderId="0" pivotButton="0" quotePrefix="0" xfId="0"/>
    <xf numFmtId="167" fontId="9" fillId="0" borderId="0" pivotButton="0" quotePrefix="0" xfId="0"/>
    <xf numFmtId="167" fontId="9" fillId="5" borderId="0" pivotButton="0" quotePrefix="0" xfId="0"/>
    <xf numFmtId="0" fontId="9" fillId="6" borderId="0" pivotButton="0" quotePrefix="0" xfId="0"/>
    <xf numFmtId="0" fontId="4" fillId="6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2" fillId="6" borderId="0" applyAlignment="1" pivotButton="0" quotePrefix="0" xfId="0">
      <alignment horizontal="left" vertical="top" wrapText="1"/>
    </xf>
    <xf numFmtId="169" fontId="9" fillId="0" borderId="0" pivotButton="0" quotePrefix="0" xfId="0"/>
    <xf numFmtId="0" fontId="0" fillId="4" borderId="0" pivotButton="0" quotePrefix="0" xfId="0"/>
    <xf numFmtId="167" fontId="8" fillId="4" borderId="1" applyAlignment="1" pivotButton="0" quotePrefix="0" xfId="0">
      <alignment horizontal="center" vertical="center" wrapText="1"/>
    </xf>
    <xf numFmtId="165" fontId="8" fillId="4" borderId="1" applyAlignment="1" pivotButton="0" quotePrefix="0" xfId="0">
      <alignment horizontal="center" vertical="center" wrapText="1"/>
    </xf>
    <xf numFmtId="169" fontId="4" fillId="3" borderId="1" pivotButton="0" quotePrefix="0" xfId="0"/>
    <xf numFmtId="169" fontId="4" fillId="0" borderId="1" pivotButton="0" quotePrefix="0" xfId="0"/>
    <xf numFmtId="169" fontId="9" fillId="2" borderId="1" pivotButton="0" quotePrefix="0" xfId="0"/>
    <xf numFmtId="169" fontId="4" fillId="7" borderId="1" pivotButton="0" quotePrefix="0" xfId="0"/>
    <xf numFmtId="0" fontId="4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left" vertical="center" wrapText="1"/>
    </xf>
    <xf numFmtId="0" fontId="2" fillId="6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left" vertical="top" wrapText="1"/>
    </xf>
    <xf numFmtId="0" fontId="10" fillId="0" borderId="0" pivotButton="0" quotePrefix="0" xfId="0"/>
    <xf numFmtId="165" fontId="9" fillId="0" borderId="0" pivotButton="0" quotePrefix="0" xfId="0"/>
    <xf numFmtId="0" fontId="9" fillId="7" borderId="0" applyAlignment="1" pivotButton="0" quotePrefix="0" xfId="0">
      <alignment horizontal="center" vertical="center" wrapText="1"/>
    </xf>
    <xf numFmtId="170" fontId="9" fillId="0" borderId="0" pivotButton="0" quotePrefix="0" xfId="0"/>
    <xf numFmtId="0" fontId="12" fillId="10" borderId="1" applyAlignment="1" pivotButton="0" quotePrefix="0" xfId="0">
      <alignment horizontal="center" vertical="center" wrapText="1"/>
    </xf>
    <xf numFmtId="0" fontId="12" fillId="10" borderId="0" pivotButton="0" quotePrefix="0" xfId="0"/>
    <xf numFmtId="0" fontId="15" fillId="0" borderId="0" pivotButton="0" quotePrefix="0" xfId="0"/>
    <xf numFmtId="0" fontId="14" fillId="0" borderId="0" pivotButton="0" quotePrefix="0" xfId="0"/>
    <xf numFmtId="0" fontId="11" fillId="9" borderId="0" pivotButton="0" quotePrefix="0" xfId="0"/>
    <xf numFmtId="0" fontId="13" fillId="0" borderId="0" pivotButton="0" quotePrefix="0" xfId="0"/>
    <xf numFmtId="0" fontId="11" fillId="0" borderId="0" pivotButton="0" quotePrefix="0" xfId="0"/>
    <xf numFmtId="0" fontId="13" fillId="11" borderId="0" pivotButton="0" quotePrefix="0" xfId="0"/>
    <xf numFmtId="164" fontId="14" fillId="8" borderId="0" pivotButton="0" quotePrefix="0" xfId="0"/>
    <xf numFmtId="164" fontId="14" fillId="2" borderId="0" pivotButton="0" quotePrefix="0" xfId="0"/>
    <xf numFmtId="164" fontId="14" fillId="3" borderId="0" pivotButton="0" quotePrefix="0" xfId="0"/>
    <xf numFmtId="164" fontId="14" fillId="7" borderId="0" pivotButton="0" quotePrefix="0" xfId="0"/>
    <xf numFmtId="0" fontId="4" fillId="0" borderId="0" applyAlignment="1" pivotButton="0" quotePrefix="0" xfId="0">
      <alignment horizontal="left" vertical="top" wrapText="1"/>
    </xf>
    <xf numFmtId="0" fontId="0" fillId="0" borderId="0" pivotButton="0" quotePrefix="0" xfId="0"/>
    <xf numFmtId="0" fontId="9" fillId="7" borderId="0" pivotButton="0" quotePrefix="0" xfId="0"/>
    <xf numFmtId="171" fontId="13" fillId="0" borderId="0" pivotButton="0" quotePrefix="0" xfId="1"/>
    <xf numFmtId="171" fontId="14" fillId="0" borderId="0" pivotButton="0" quotePrefix="0" xfId="1"/>
    <xf numFmtId="164" fontId="17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170" fontId="18" fillId="0" borderId="0" pivotButton="0" quotePrefix="0" xfId="0"/>
    <xf numFmtId="169" fontId="18" fillId="0" borderId="0" pivotButton="0" quotePrefix="0" xfId="0"/>
    <xf numFmtId="169" fontId="19" fillId="0" borderId="0" pivotButton="0" quotePrefix="0" xfId="0"/>
    <xf numFmtId="170" fontId="18" fillId="5" borderId="0" pivotButton="0" quotePrefix="0" xfId="0"/>
    <xf numFmtId="169" fontId="18" fillId="5" borderId="0" pivotButton="0" quotePrefix="0" xfId="0"/>
    <xf numFmtId="170" fontId="19" fillId="0" borderId="0" pivotButton="0" quotePrefix="0" xfId="0"/>
    <xf numFmtId="0" fontId="19" fillId="0" borderId="0" pivotButton="0" quotePrefix="0" xfId="0"/>
    <xf numFmtId="171" fontId="13" fillId="0" borderId="0" pivotButton="0" quotePrefix="0" xfId="1"/>
    <xf numFmtId="171" fontId="14" fillId="0" borderId="0" pivotButton="0" quotePrefix="0" xfId="1"/>
  </cellXfs>
  <cellStyles count="2">
    <cellStyle name="Normal" xfId="0" builtinId="0"/>
    <cellStyle name="Currency" xfId="1" builtinId="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GB"/>
              <a:t>Bottom-up SOM (£M) — Y1 to Y5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'2. Exec Summary'!$B$33</f>
              <strCache>
                <ptCount val="1"/>
                <pt idx="0">
                  <v>GBV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1"/>
          <cat>
            <strRef>
              <f>'2. Exec Summary'!$C$32:$G$32</f>
              <strCache>
                <ptCount val="5"/>
                <pt idx="0">
                  <v>Y1</v>
                </pt>
                <pt idx="1">
                  <v>Y2</v>
                </pt>
                <pt idx="2">
                  <v>Y3</v>
                </pt>
                <pt idx="3">
                  <v>Y4</v>
                </pt>
                <pt idx="4">
                  <v>Y5</v>
                </pt>
              </strCache>
            </strRef>
          </cat>
          <val>
            <numRef>
              <f>'2. Exec Summary'!$C$33:$G$33</f>
              <numCache>
                <formatCode>"£"#,##0.0,,"M";\("£"#,##0.0,,"M"\);"-"</formatCode>
                <ptCount val="5"/>
                <pt idx="0">
                  <v>9250000</v>
                </pt>
                <pt idx="1">
                  <v>44400000</v>
                </pt>
                <pt idx="2">
                  <v>125800000</v>
                </pt>
                <pt idx="3">
                  <v>259000000</v>
                </pt>
                <pt idx="4">
                  <v>444000000</v>
                </pt>
              </numCache>
            </numRef>
          </val>
        </ser>
        <ser>
          <idx val="1"/>
          <order val="1"/>
          <tx>
            <strRef>
              <f>'2. Exec Summary'!$B$34</f>
              <strCache>
                <ptCount val="1"/>
                <pt idx="0">
                  <v>Net rev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1"/>
          <cat>
            <strRef>
              <f>'2. Exec Summary'!$C$32:$G$32</f>
              <strCache>
                <ptCount val="5"/>
                <pt idx="0">
                  <v>Y1</v>
                </pt>
                <pt idx="1">
                  <v>Y2</v>
                </pt>
                <pt idx="2">
                  <v>Y3</v>
                </pt>
                <pt idx="3">
                  <v>Y4</v>
                </pt>
                <pt idx="4">
                  <v>Y5</v>
                </pt>
              </strCache>
            </strRef>
          </cat>
          <val>
            <numRef>
              <f>'2. Exec Summary'!$C$34:$G$34</f>
              <numCache>
                <formatCode>"£"#,##0.0,,"M";\("£"#,##0.0,,"M"\);"-"</formatCode>
                <ptCount val="5"/>
                <pt idx="0">
                  <v>462500</v>
                </pt>
                <pt idx="1">
                  <v>2175600</v>
                </pt>
                <pt idx="2">
                  <v>6038400</v>
                </pt>
                <pt idx="3">
                  <v>12224800</v>
                </pt>
                <pt idx="4">
                  <v>20646000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Year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£ (millions)</a:t>
                </a:r>
              </a:p>
            </rich>
          </tx>
          <overlay val="1"/>
        </title>
        <numFmt formatCode="&quot;£&quot;#,##0.0,,&quot;M&quot;;\(&quot;£&quot;#,##0.0,,&quot;M&quot;\);&quot;-&quot;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14288</colOff>
      <row>41</row>
      <rowOff>38100</rowOff>
    </from>
    <ext cx="79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D39"/>
  <sheetViews>
    <sheetView topLeftCell="A11" workbookViewId="0">
      <selection activeCell="A1" sqref="A1"/>
    </sheetView>
  </sheetViews>
  <sheetFormatPr baseColWidth="8" defaultRowHeight="14.25"/>
  <cols>
    <col width="2" customWidth="1" style="90" min="1" max="1"/>
    <col width="38" customWidth="1" style="90" min="2" max="2"/>
    <col width="22" customWidth="1" style="90" min="3" max="3"/>
    <col width="60" customWidth="1" style="90" min="4" max="4"/>
  </cols>
  <sheetData>
    <row r="2" ht="22.5" customHeight="1" s="90">
      <c r="B2" s="1" t="inlineStr">
        <is>
          <t>Travidz — Market Research v10 (TAM / SAM / SOM · Global)</t>
        </is>
      </c>
    </row>
    <row r="3">
      <c r="B3" s="2" t="inlineStr">
        <is>
          <t>Investor-ready · Prepared 2026 · 5-year horizon · Reconciled to Travidz_Financial_Model_Global_v6.xlsx</t>
        </is>
      </c>
    </row>
    <row r="5" ht="15.4" customHeight="1" s="90">
      <c r="B5" s="3" t="inlineStr">
        <is>
          <t>PROJECT BRIEF</t>
        </is>
      </c>
    </row>
    <row r="6">
      <c r="B6" s="4" t="inlineStr">
        <is>
          <t>Product</t>
        </is>
      </c>
      <c r="C6" s="4" t="inlineStr">
        <is>
          <t>Travidz — creator-led travel discovery and booking app (UK-first)</t>
        </is>
      </c>
    </row>
    <row r="7">
      <c r="B7" s="4" t="inlineStr">
        <is>
          <t>ICP</t>
        </is>
      </c>
      <c r="C7" s="4" t="inlineStr">
        <is>
          <t>UK leisure travellers 18-44; creator partners with 5k+ engaged followers</t>
        </is>
      </c>
    </row>
    <row r="8">
      <c r="B8" s="4" t="inlineStr">
        <is>
          <t>Revenue model</t>
        </is>
      </c>
      <c r="C8" s="4" t="inlineStr">
        <is>
          <t>11% gross commission; Stripe 2.9% + £0.20/txn shared off the top; tapered 50/50/50/40/30 creator share by tier</t>
        </is>
      </c>
    </row>
    <row r="9">
      <c r="B9" s="4" t="inlineStr">
        <is>
          <t>Round</t>
        </is>
      </c>
      <c r="C9" s="4" t="inlineStr">
        <is>
          <t>Seed £2.0M → Series A £8.0M (M22) → Series B £20.0M (M44)</t>
        </is>
      </c>
    </row>
    <row r="10">
      <c r="B10" s="4" t="inlineStr">
        <is>
          <t>Use of funds (seed)</t>
        </is>
      </c>
      <c r="C10" s="4" t="inlineStr">
        <is>
          <t>UK engineering &amp; ops team, paid UA, founding-500 incentives, 18-24mo runway</t>
        </is>
      </c>
    </row>
    <row r="11">
      <c r="B11" s="4" t="inlineStr">
        <is>
          <t>Geography</t>
        </is>
      </c>
      <c r="C11" s="4" t="inlineStr">
        <is>
          <t>UK Y1-Y2 · EU-5 Y3 · Global Viral upside Y3-Y5 (10 regions, 1.22Bn travellers)</t>
        </is>
      </c>
    </row>
    <row r="13" ht="15.4" customHeight="1" s="90">
      <c r="B13" s="3" t="inlineStr">
        <is>
          <t>GLOBAL INPUTS — FX &amp; MACRO</t>
        </is>
      </c>
    </row>
    <row r="14">
      <c r="B14" s="4" t="inlineStr">
        <is>
          <t>USD → GBP</t>
        </is>
      </c>
      <c r="C14" s="5" t="n">
        <v>0.79</v>
      </c>
      <c r="D14" s="6" t="inlineStr">
        <is>
          <t>Bank of England avg 2024-25 [S21]</t>
        </is>
      </c>
    </row>
    <row r="15">
      <c r="B15" s="4" t="inlineStr">
        <is>
          <t>EUR → GBP</t>
        </is>
      </c>
      <c r="C15" s="5" t="n">
        <v>0.85</v>
      </c>
      <c r="D15" s="6" t="inlineStr">
        <is>
          <t>Bank of England avg 2024-25 [S21]</t>
        </is>
      </c>
    </row>
    <row r="16">
      <c r="B16" s="4" t="inlineStr">
        <is>
          <t>UK CPI assumption</t>
        </is>
      </c>
      <c r="C16" s="7" t="n">
        <v>0.025</v>
      </c>
      <c r="D16" s="6" t="inlineStr">
        <is>
          <t>ONS CPI trend 2024-25 [S22]</t>
        </is>
      </c>
    </row>
    <row r="17">
      <c r="B17" s="4" t="inlineStr">
        <is>
          <t>Discount rate (DCF cross-check)</t>
        </is>
      </c>
      <c r="C17" s="7" t="n">
        <v>0.15</v>
      </c>
      <c r="D17" s="6" t="inlineStr">
        <is>
          <t>Standard VC discount for pre-revenue SaaS/marketplace</t>
        </is>
      </c>
    </row>
    <row r="19" ht="15.4" customHeight="1" s="90">
      <c r="B19" s="3" t="inlineStr">
        <is>
          <t>COMMISSION STRUCTURE (locked to financial model)</t>
        </is>
      </c>
    </row>
    <row r="20">
      <c r="B20" s="4" t="inlineStr">
        <is>
          <t>Gross commission % charged to operators</t>
        </is>
      </c>
      <c r="C20" s="94" t="n">
        <v>0.11</v>
      </c>
      <c r="D20" s="6" t="inlineStr">
        <is>
          <t>Travidz commercial: 11% blended take (post-MoR repricing)</t>
        </is>
      </c>
    </row>
    <row r="21">
      <c r="B21" s="4" t="inlineStr">
        <is>
          <t>Creator share — Founding tier (first 500)</t>
        </is>
      </c>
      <c r="C21" s="7" t="n">
        <v>0.5</v>
      </c>
      <c r="D21" s="6" t="inlineStr">
        <is>
          <t>50% of 8% to creator</t>
        </is>
      </c>
    </row>
    <row r="22">
      <c r="B22" s="4" t="inlineStr">
        <is>
          <t>Creator share — Power tier (&gt;£25k rolling GBV)</t>
        </is>
      </c>
      <c r="C22" s="7" t="n">
        <v>0.5</v>
      </c>
      <c r="D22" s="6" t="inlineStr">
        <is>
          <t>50% of 8% to creator</t>
        </is>
      </c>
    </row>
    <row r="23">
      <c r="B23" s="4" t="inlineStr">
        <is>
          <t>Creator share — New tier</t>
        </is>
      </c>
      <c r="C23" s="7" t="n">
        <v>0.5</v>
      </c>
      <c r="D23" s="6" t="inlineStr">
        <is>
          <t>50% of 8% to creator</t>
        </is>
      </c>
    </row>
    <row r="24">
      <c r="B24" s="4" t="inlineStr">
        <is>
          <t>Creator share — Maturing tier</t>
        </is>
      </c>
      <c r="C24" s="7" t="n">
        <v>0.4</v>
      </c>
      <c r="D24" s="6" t="inlineStr">
        <is>
          <t>40% of 8% to creator</t>
        </is>
      </c>
    </row>
    <row r="25">
      <c r="B25" s="4" t="inlineStr">
        <is>
          <t>Creator share — Mature tier</t>
        </is>
      </c>
      <c r="C25" s="7" t="n">
        <v>0.3</v>
      </c>
      <c r="D25" s="6" t="inlineStr">
        <is>
          <t>30% of 8% to creator</t>
        </is>
      </c>
    </row>
    <row r="26">
      <c r="B26" t="inlineStr">
        <is>
          <t>Stripe processing — variable %</t>
        </is>
      </c>
      <c r="C26" s="95" t="n">
        <v>0.029</v>
      </c>
      <c r="D26" t="inlineStr">
        <is>
          <t>Stripe UK card-present blended rate — shared with creator off the top [S-Stripe]</t>
        </is>
      </c>
    </row>
    <row r="27" ht="15.4" customHeight="1" s="90">
      <c r="B27" s="3" t="inlineStr">
        <is>
          <t>Stripe processing — fixed per txn (£)</t>
        </is>
      </c>
      <c r="C27" s="95" t="n">
        <v>0.2</v>
      </c>
      <c r="D27" t="inlineStr">
        <is>
          <t>Stripe per-transaction fee — shared off the top [S-Stripe]</t>
        </is>
      </c>
    </row>
    <row r="28">
      <c r="B28" s="4" t="inlineStr">
        <is>
          <t>Average basket size (£) — used for txn count</t>
        </is>
      </c>
      <c r="C28" s="95" t="n">
        <v>350</v>
      </c>
      <c r="D28" t="inlineStr">
        <is>
          <t>Phocuswright blended avg booking value (tours, hotel, F&amp;B) [S9]</t>
        </is>
      </c>
    </row>
    <row r="29">
      <c r="B29" s="4" t="inlineStr">
        <is>
          <t>SAM</t>
        </is>
      </c>
      <c r="C29" s="4" t="inlineStr">
        <is>
          <t>TAM × creator-influenced share (26% global blend — GWI Travel 2024 [S6]) × bookable component (80% — Phocuswright [S9])</t>
        </is>
      </c>
    </row>
    <row r="30">
      <c r="B30" s="4" t="inlineStr">
        <is>
          <t>SOM</t>
        </is>
      </c>
      <c r="C30" s="4" t="inlineStr">
        <is>
          <t>Bottom-up creator funnel: Base 24k UK creators · Global Viral 120k creators × blended £11k GBV/creator/yr × tapered take</t>
        </is>
      </c>
    </row>
    <row r="31">
      <c r="B31" s="4" t="inlineStr">
        <is>
          <t>Sources</t>
        </is>
      </c>
      <c r="C31" s="4" t="inlineStr">
        <is>
          <t>All external numbers numbered [S1]…[S25] in sheet 11. Every input cell has a source.</t>
        </is>
      </c>
    </row>
    <row r="32">
      <c r="B32" s="4" t="inlineStr">
        <is>
          <t>Audit</t>
        </is>
      </c>
      <c r="C32" s="4" t="inlineStr">
        <is>
          <t>Every monetary figure traces to either a sourced input or a formula. Reconciliation sheet (13) proves zero delta vs financial model.</t>
        </is>
      </c>
    </row>
    <row r="34" ht="15.4" customHeight="1" s="90">
      <c r="B34" s="3" t="inlineStr">
        <is>
          <t>COLOUR &amp; FORMAT KEY</t>
        </is>
      </c>
    </row>
    <row r="35">
      <c r="B35" s="4" t="inlineStr">
        <is>
          <t>Blue text</t>
        </is>
      </c>
      <c r="C35" s="8" t="inlineStr">
        <is>
          <t>Hardcoded input or sourced driver — flex for scenarios</t>
        </is>
      </c>
    </row>
    <row r="36">
      <c r="B36" s="4" t="inlineStr">
        <is>
          <t>Black text</t>
        </is>
      </c>
      <c r="C36" s="9" t="inlineStr">
        <is>
          <t>Formula / calculation</t>
        </is>
      </c>
    </row>
    <row r="37">
      <c r="B37" s="4" t="inlineStr">
        <is>
          <t>Green text</t>
        </is>
      </c>
      <c r="C37" s="10" t="inlineStr">
        <is>
          <t>Pulled from another sheet (cross-sheet link)</t>
        </is>
      </c>
    </row>
    <row r="38">
      <c r="B38" s="4" t="inlineStr">
        <is>
          <t>Yellow fill</t>
        </is>
      </c>
      <c r="C38" s="4" t="inlineStr">
        <is>
          <t>Key assumption — pressure-test first</t>
        </is>
      </c>
    </row>
    <row r="39">
      <c r="B39" s="4" t="inlineStr">
        <is>
          <t>Red fill</t>
        </is>
      </c>
      <c r="C39" s="11" t="inlineStr">
        <is>
          <t>Sanity-check flag — outside tolerance</t>
        </is>
      </c>
    </row>
  </sheetData>
  <printOptions horizontalCentered="1"/>
  <pageMargins left="0.3" right="0.3" top="0.4" bottom="0.4" header="0.5" footer="0.5"/>
  <pageSetup orientation="landscape" paperSize="9" fitToHeight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H40"/>
  <sheetViews>
    <sheetView topLeftCell="A25" workbookViewId="0">
      <selection activeCell="G57" sqref="G57"/>
    </sheetView>
  </sheetViews>
  <sheetFormatPr baseColWidth="8" defaultRowHeight="14.25"/>
  <cols>
    <col width="2" customWidth="1" style="90" min="1" max="1"/>
    <col width="30" customWidth="1" style="90" min="2" max="2"/>
    <col width="22" customWidth="1" style="90" min="3" max="7"/>
  </cols>
  <sheetData>
    <row r="2" ht="22.5" customHeight="1" s="90">
      <c r="B2" s="1" t="inlineStr">
        <is>
          <t>Executive Summary — TAM / SAM / SOM</t>
        </is>
      </c>
    </row>
    <row r="3">
      <c r="B3" s="2" t="inlineStr">
        <is>
          <t>Investor headline · v6-aligned · 11% gross commission, Stripe shared off the top, tiered split · UK-first, EU-5 expansion Y3+</t>
        </is>
      </c>
    </row>
    <row r="5" ht="15.4" customHeight="1" s="90">
      <c r="B5" s="3" t="inlineStr">
        <is>
          <t>Headline market size</t>
        </is>
      </c>
    </row>
    <row r="6">
      <c r="B6" s="12" t="inlineStr">
        <is>
          <t>Layer</t>
        </is>
      </c>
      <c r="C6" s="12" t="inlineStr">
        <is>
          <t>UK only (£)</t>
        </is>
      </c>
      <c r="D6" s="12" t="inlineStr">
        <is>
          <t>UK + EU-5 (£)</t>
        </is>
      </c>
      <c r="E6" s="12" t="inlineStr">
        <is>
          <t>Commission pool (8%)</t>
        </is>
      </c>
      <c r="F6" s="12" t="inlineStr">
        <is>
          <t>Source</t>
        </is>
      </c>
      <c r="G6" s="77" t="inlineStr">
        <is>
          <t>Global (£)</t>
        </is>
      </c>
      <c r="H6" s="78" t="inlineStr">
        <is>
          <t>Global commission pool (8%)</t>
        </is>
      </c>
    </row>
    <row r="7" ht="23.25" customHeight="1" s="90">
      <c r="B7" s="17" t="inlineStr">
        <is>
          <t>TAM — leisure travel GBV</t>
        </is>
      </c>
      <c r="C7" s="21">
        <f>'3. TAM'!$F$28</f>
        <v/>
      </c>
      <c r="D7" s="21">
        <f>'3. TAM'!$F$29</f>
        <v/>
      </c>
      <c r="E7" s="22">
        <f>D7*'3. TAM'!$F$30</f>
        <v/>
      </c>
      <c r="F7" s="6" t="inlineStr">
        <is>
          <t>Sheet 3 · ONS/VisitBritain/Eurostat</t>
        </is>
      </c>
      <c r="G7" s="79">
        <f>'3. TAM'!$F$45</f>
        <v/>
      </c>
      <c r="H7" s="80">
        <f>G7*'3. TAM'!$F$30</f>
        <v/>
      </c>
    </row>
    <row r="8">
      <c r="B8" s="17" t="inlineStr">
        <is>
          <t>SAM — creator-influenced × bookable</t>
        </is>
      </c>
      <c r="C8" s="21">
        <f>'4. SAM'!$F$19</f>
        <v/>
      </c>
      <c r="D8" s="21">
        <f>'4. SAM'!$F$20</f>
        <v/>
      </c>
      <c r="E8" s="22">
        <f>D8*'3. TAM'!$F$30</f>
        <v/>
      </c>
      <c r="F8" s="6" t="inlineStr">
        <is>
          <t>Sheet 4 · GWI/Phocuswright</t>
        </is>
      </c>
      <c r="G8" s="79">
        <f>'4. SAM'!$F$37</f>
        <v/>
      </c>
      <c r="H8" s="80">
        <f>G8*'3. TAM'!$F$30</f>
        <v/>
      </c>
    </row>
    <row r="10" ht="15.4" customHeight="1" s="90">
      <c r="B10" s="3" t="inlineStr">
        <is>
          <t>SOM — bottom-up creator funnel (Base case, 5-year)</t>
        </is>
      </c>
    </row>
    <row r="11">
      <c r="B11" s="12" t="inlineStr">
        <is>
          <t>Metric</t>
        </is>
      </c>
      <c r="C11" s="12" t="inlineStr">
        <is>
          <t>Y1</t>
        </is>
      </c>
      <c r="D11" s="12" t="inlineStr">
        <is>
          <t>Y2</t>
        </is>
      </c>
      <c r="E11" s="12" t="inlineStr">
        <is>
          <t>Y3</t>
        </is>
      </c>
      <c r="F11" s="12" t="inlineStr">
        <is>
          <t>Y4</t>
        </is>
      </c>
      <c r="G11" s="12" t="inlineStr">
        <is>
          <t>Y5</t>
        </is>
      </c>
    </row>
    <row r="12">
      <c r="B12" s="4" t="inlineStr">
        <is>
          <t>Active creators (EOY)</t>
        </is>
      </c>
      <c r="C12" s="23">
        <f>'5. SOM'!$C$19</f>
        <v/>
      </c>
      <c r="D12" s="23">
        <f>'5. SOM'!$D$19</f>
        <v/>
      </c>
      <c r="E12" s="23">
        <f>'5. SOM'!$E$19</f>
        <v/>
      </c>
      <c r="F12" s="23">
        <f>'5. SOM'!$F$19</f>
        <v/>
      </c>
      <c r="G12" s="23">
        <f>'5. SOM'!$G$19</f>
        <v/>
      </c>
    </row>
    <row r="13">
      <c r="B13" s="17" t="inlineStr">
        <is>
          <t>GBV (£)</t>
        </is>
      </c>
      <c r="C13" s="24">
        <f>'5. SOM'!$C$21</f>
        <v/>
      </c>
      <c r="D13" s="24">
        <f>'5. SOM'!$D$21</f>
        <v/>
      </c>
      <c r="E13" s="24">
        <f>'5. SOM'!$E$21</f>
        <v/>
      </c>
      <c r="F13" s="24">
        <f>'5. SOM'!$F$21</f>
        <v/>
      </c>
      <c r="G13" s="24">
        <f>'5. SOM'!$G$21</f>
        <v/>
      </c>
    </row>
    <row r="14">
      <c r="B14" s="17" t="inlineStr">
        <is>
          <t>Travidz net revenue (£)</t>
        </is>
      </c>
      <c r="C14" s="24">
        <f>'5. SOM'!$C$23</f>
        <v/>
      </c>
      <c r="D14" s="24">
        <f>'5. SOM'!$D$23</f>
        <v/>
      </c>
      <c r="E14" s="24">
        <f>'5. SOM'!$E$23</f>
        <v/>
      </c>
      <c r="F14" s="24">
        <f>'5. SOM'!$F$23</f>
        <v/>
      </c>
      <c r="G14" s="24">
        <f>'5. SOM'!$G$23</f>
        <v/>
      </c>
    </row>
    <row r="15">
      <c r="B15" s="4" t="inlineStr">
        <is>
          <t>Blended take rate</t>
        </is>
      </c>
      <c r="C15" s="25">
        <f>'5. SOM'!$C$22</f>
        <v/>
      </c>
      <c r="D15" s="25">
        <f>'5. SOM'!$D$22</f>
        <v/>
      </c>
      <c r="E15" s="25">
        <f>'5. SOM'!$E$22</f>
        <v/>
      </c>
      <c r="F15" s="25">
        <f>'5. SOM'!$F$22</f>
        <v/>
      </c>
      <c r="G15" s="25">
        <f>'5. SOM'!$G$22</f>
        <v/>
      </c>
    </row>
    <row r="17" ht="15.4" customHeight="1" s="90">
      <c r="B17" s="3" t="inlineStr">
        <is>
          <t>Top 5 pitch-ready stats</t>
        </is>
      </c>
    </row>
    <row r="18" ht="22.05" customHeight="1" s="90">
      <c r="B18" s="89" t="inlineStr">
        <is>
          <t>£675B Global TAM · £343B UK+EU-5 · £87.6B UK leisure travel (ONS, VisitBritain, Eurostat, UNWTO, WTTC)</t>
        </is>
      </c>
    </row>
    <row r="19" ht="22.05" customHeight="1" s="90">
      <c r="B19" s="89" t="inlineStr">
        <is>
          <t>78% of Gen Z/M start travel planning on social media — Expedia Path-to-Purchase 2023</t>
        </is>
      </c>
    </row>
    <row r="20" ht="22.05" customHeight="1" s="90">
      <c r="B20" s="89" t="inlineStr">
        <is>
          <t>Creator-influenced travel spend $1.3T globally by 2027 — Skift Megatrends 2024</t>
        </is>
      </c>
    </row>
    <row r="21" ht="22.05" customHeight="1" s="90">
      <c r="B21" s="89" t="inlineStr">
        <is>
          <t>Travidz pays creators 30-50% of the post-Stripe 11% commission pool — defensible supply moat</t>
        </is>
      </c>
    </row>
    <row r="22" ht="22.05" customHeight="1" s="90">
      <c r="B22" s="89" t="inlineStr">
        <is>
          <t>Y5 SOM range £350M (UK Base) → £1.32B (Global Viral) — both &lt;1% of Global SAM</t>
        </is>
      </c>
    </row>
    <row r="24" ht="15.4" customHeight="1" s="90">
      <c r="B24" s="3" t="inlineStr">
        <is>
          <t>Funding &amp; runway headline</t>
        </is>
      </c>
    </row>
    <row r="25">
      <c r="B25" s="12" t="inlineStr">
        <is>
          <t>Round</t>
        </is>
      </c>
      <c r="C25" s="12" t="inlineStr">
        <is>
          <t>Amount (£)</t>
        </is>
      </c>
      <c r="D25" s="12" t="inlineStr">
        <is>
          <t>Trigger</t>
        </is>
      </c>
      <c r="E25" s="12" t="inlineStr">
        <is>
          <t>Use</t>
        </is>
      </c>
      <c r="F25" s="12" t="n"/>
      <c r="G25" s="12" t="n"/>
    </row>
    <row r="26">
      <c r="B26" s="17" t="inlineStr">
        <is>
          <t>Seed</t>
        </is>
      </c>
      <c r="C26" s="27" t="n">
        <v>2000000</v>
      </c>
      <c r="D26" s="28" t="inlineStr">
        <is>
          <t>Now</t>
        </is>
      </c>
      <c r="E26" s="89" t="inlineStr">
        <is>
          <t>UK team build, paid UA, founding-500 incentives</t>
        </is>
      </c>
    </row>
    <row r="27">
      <c r="B27" s="17" t="inlineStr">
        <is>
          <t>Series A</t>
        </is>
      </c>
      <c r="C27" s="27" t="n">
        <v>8000000</v>
      </c>
      <c r="D27" s="28" t="inlineStr">
        <is>
          <t>M22 — at £2M ARR</t>
        </is>
      </c>
      <c r="E27" s="89" t="inlineStr">
        <is>
          <t>EU-5 expansion, double engineering, marketing scale</t>
        </is>
      </c>
    </row>
    <row r="28">
      <c r="B28" s="17" t="inlineStr">
        <is>
          <t>Series B</t>
        </is>
      </c>
      <c r="C28" s="27" t="n">
        <v>20000000</v>
      </c>
      <c r="D28" s="28" t="inlineStr">
        <is>
          <t>M44 — at £12M ARR</t>
        </is>
      </c>
      <c r="E28" s="89" t="inlineStr">
        <is>
          <t>US entry, partnerships, supply-side ops</t>
        </is>
      </c>
    </row>
    <row r="31">
      <c r="B31" s="2" t="inlineStr">
        <is>
          <t>Chart data</t>
        </is>
      </c>
    </row>
    <row r="32">
      <c r="B32" s="12" t="n"/>
      <c r="C32" s="12" t="inlineStr">
        <is>
          <t>Y1</t>
        </is>
      </c>
      <c r="D32" s="12" t="inlineStr">
        <is>
          <t>Y2</t>
        </is>
      </c>
      <c r="E32" s="12" t="inlineStr">
        <is>
          <t>Y3</t>
        </is>
      </c>
      <c r="F32" s="12" t="inlineStr">
        <is>
          <t>Y4</t>
        </is>
      </c>
      <c r="G32" s="12" t="inlineStr">
        <is>
          <t>Y5</t>
        </is>
      </c>
    </row>
    <row r="33">
      <c r="B33" s="4" t="inlineStr">
        <is>
          <t>GBV</t>
        </is>
      </c>
      <c r="C33" s="29">
        <f>'5. SOM'!$C$21</f>
        <v/>
      </c>
      <c r="D33" s="29">
        <f>'5. SOM'!$D$21</f>
        <v/>
      </c>
      <c r="E33" s="29">
        <f>'5. SOM'!$E$21</f>
        <v/>
      </c>
      <c r="F33" s="29">
        <f>'5. SOM'!$F$21</f>
        <v/>
      </c>
      <c r="G33" s="29">
        <f>'5. SOM'!$G$21</f>
        <v/>
      </c>
    </row>
    <row r="34">
      <c r="B34" s="4" t="inlineStr">
        <is>
          <t>Net rev</t>
        </is>
      </c>
      <c r="C34" s="29">
        <f>'5. SOM'!$C$23</f>
        <v/>
      </c>
      <c r="D34" s="29">
        <f>'5. SOM'!$D$23</f>
        <v/>
      </c>
      <c r="E34" s="29">
        <f>'5. SOM'!$E$23</f>
        <v/>
      </c>
      <c r="F34" s="29">
        <f>'5. SOM'!$F$23</f>
        <v/>
      </c>
      <c r="G34" s="29">
        <f>'5. SOM'!$G$23</f>
        <v/>
      </c>
    </row>
    <row r="36">
      <c r="B36" s="81" t="inlineStr">
        <is>
          <t>SOM — Global Viral upside (5-year)</t>
        </is>
      </c>
    </row>
    <row r="37">
      <c r="B37" s="78" t="inlineStr">
        <is>
          <t>Metric</t>
        </is>
      </c>
      <c r="C37" s="78" t="inlineStr">
        <is>
          <t>Y1</t>
        </is>
      </c>
      <c r="D37" s="78" t="inlineStr">
        <is>
          <t>Y2</t>
        </is>
      </c>
      <c r="E37" s="78" t="inlineStr">
        <is>
          <t>Y3</t>
        </is>
      </c>
      <c r="F37" s="78" t="inlineStr">
        <is>
          <t>Y4</t>
        </is>
      </c>
      <c r="G37" s="78" t="inlineStr">
        <is>
          <t>Y5</t>
        </is>
      </c>
    </row>
    <row r="38">
      <c r="B38" t="inlineStr">
        <is>
          <t>Active creators (EOY)</t>
        </is>
      </c>
      <c r="C38" s="82" t="n">
        <v>1500</v>
      </c>
      <c r="D38" s="82" t="n">
        <v>9000</v>
      </c>
      <c r="E38" s="82" t="n">
        <v>32000</v>
      </c>
      <c r="F38" s="82" t="n">
        <v>70000</v>
      </c>
      <c r="G38" s="82" t="n">
        <v>120000</v>
      </c>
    </row>
    <row r="39">
      <c r="B39" t="inlineStr">
        <is>
          <t>GBV (£)</t>
        </is>
      </c>
      <c r="C39" s="80">
        <f>C38*11020</f>
        <v/>
      </c>
      <c r="D39" s="80">
        <f>D38*11020</f>
        <v/>
      </c>
      <c r="E39" s="80">
        <f>E38*11020</f>
        <v/>
      </c>
      <c r="F39" s="80">
        <f>F38*11020</f>
        <v/>
      </c>
      <c r="G39" s="80">
        <f>G38*11020</f>
        <v/>
      </c>
    </row>
    <row r="40">
      <c r="B40" t="inlineStr">
        <is>
          <t>Travidz net revenue (£)</t>
        </is>
      </c>
      <c r="C40" s="96">
        <f>C39 * '6. Cohort Maturity'!C26</f>
        <v/>
      </c>
      <c r="D40" s="96">
        <f>D39 * '6. Cohort Maturity'!D26</f>
        <v/>
      </c>
      <c r="E40" s="96">
        <f>E39 * '6. Cohort Maturity'!E26</f>
        <v/>
      </c>
      <c r="F40" s="96">
        <f>F39 * '6. Cohort Maturity'!F26</f>
        <v/>
      </c>
      <c r="G40" s="96">
        <f>G39 * '6. Cohort Maturity'!G26</f>
        <v/>
      </c>
    </row>
  </sheetData>
  <mergeCells count="8">
    <mergeCell ref="B19:G19"/>
    <mergeCell ref="B20:G20"/>
    <mergeCell ref="E28:G28"/>
    <mergeCell ref="B22:G22"/>
    <mergeCell ref="E27:G27"/>
    <mergeCell ref="E26:G26"/>
    <mergeCell ref="B18:G18"/>
    <mergeCell ref="B21:G21"/>
  </mergeCells>
  <printOptions horizontalCentered="1"/>
  <pageMargins left="0.3" right="0.3" top="0.4" bottom="0.4" header="0.5" footer="0.5"/>
  <pageSetup orientation="landscape" paperSize="9" fitToHeight="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2:H47"/>
  <sheetViews>
    <sheetView topLeftCell="A18" workbookViewId="0">
      <selection activeCell="F46" sqref="F46"/>
    </sheetView>
  </sheetViews>
  <sheetFormatPr baseColWidth="8" defaultRowHeight="14.25"/>
  <cols>
    <col width="2" customWidth="1" style="90" min="1" max="1"/>
    <col width="38" customWidth="1" style="90" min="2" max="2"/>
    <col width="18" customWidth="1" style="90" min="3" max="3"/>
    <col width="14" customWidth="1" style="90" min="4" max="4"/>
    <col width="16" customWidth="1" style="90" min="5" max="5"/>
    <col width="20" customWidth="1" style="90" min="6" max="6"/>
    <col width="4" customWidth="1" style="90" min="7" max="7"/>
    <col width="55" customWidth="1" style="90" min="8" max="8"/>
  </cols>
  <sheetData>
    <row r="2" ht="22.5" customHeight="1" s="90">
      <c r="B2" s="1" t="inlineStr">
        <is>
          <t>TAM — Total Addressable Market</t>
        </is>
      </c>
    </row>
    <row r="3">
      <c r="B3" s="2" t="inlineStr">
        <is>
          <t>UK-first top-down build + bottom-up cross-check + EU-5 expansion layer</t>
        </is>
      </c>
    </row>
    <row r="5" ht="15.4" customHeight="1" s="90">
      <c r="B5" s="3" t="inlineStr">
        <is>
          <t>UK TAM — Top-down (annual leisure travel GBV)</t>
        </is>
      </c>
    </row>
    <row r="6">
      <c r="B6" s="12" t="inlineStr">
        <is>
          <t>Segment</t>
        </is>
      </c>
      <c r="C6" s="12" t="inlineStr">
        <is>
          <t>Travellers/yr</t>
        </is>
      </c>
      <c r="D6" s="12" t="inlineStr">
        <is>
          <t>Trips/yr</t>
        </is>
      </c>
      <c r="E6" s="12" t="inlineStr">
        <is>
          <t>Avg spend/trip</t>
        </is>
      </c>
      <c r="F6" s="12" t="inlineStr">
        <is>
          <t>Total GBV (£)</t>
        </is>
      </c>
      <c r="G6" s="12" t="n"/>
      <c r="H6" s="12" t="inlineStr">
        <is>
          <t>Source</t>
        </is>
      </c>
    </row>
    <row r="7" ht="23.25" customHeight="1" s="90">
      <c r="B7" s="4" t="inlineStr">
        <is>
          <t>UK outbound leisure (overseas holidays)</t>
        </is>
      </c>
      <c r="C7" s="13" t="n">
        <v>60700000</v>
      </c>
      <c r="D7" s="14" t="n">
        <v>1</v>
      </c>
      <c r="E7" s="15" t="n">
        <v>870</v>
      </c>
      <c r="F7" s="16">
        <f>C7*D7*E7</f>
        <v/>
      </c>
      <c r="H7" s="6" t="inlineStr">
        <is>
          <t>ONS Travel Trends 2023 [S1] — 60.7M UK overseas visits; avg overseas holiday spend ~£870</t>
        </is>
      </c>
    </row>
    <row r="8" ht="23.25" customHeight="1" s="90">
      <c r="B8" s="4" t="inlineStr">
        <is>
          <t>UK domestic overnight leisure</t>
        </is>
      </c>
      <c r="C8" s="13" t="n">
        <v>118000000</v>
      </c>
      <c r="D8" s="14" t="n">
        <v>1</v>
      </c>
      <c r="E8" s="15" t="n">
        <v>295</v>
      </c>
      <c r="F8" s="16">
        <f>C8*D8*E8</f>
        <v/>
      </c>
      <c r="H8" s="6" t="inlineStr">
        <is>
          <t>VisitBritain GB Tourist 2023 [S2] — 118M overnight domestic trips, avg spend £295</t>
        </is>
      </c>
    </row>
    <row r="9" ht="23.25" customHeight="1" s="90">
      <c r="B9" s="4" t="inlineStr">
        <is>
          <t>UK day-trip leisure (bookable component)</t>
        </is>
      </c>
      <c r="C9" s="13" t="n">
        <v>1400000000</v>
      </c>
      <c r="D9" s="14" t="n">
        <v>0.04</v>
      </c>
      <c r="E9" s="15" t="n">
        <v>38</v>
      </c>
      <c r="F9" s="16">
        <f>C9*D9*E9</f>
        <v/>
      </c>
      <c r="H9" s="6" t="inlineStr">
        <is>
          <t>VisitBritain GB Day Visitor 2023 [S2] — 1.4Bn day trips; 4% bookable attach via tours/restaurants</t>
        </is>
      </c>
    </row>
    <row r="10">
      <c r="B10" s="17" t="inlineStr">
        <is>
          <t>UK TAM subtotal (£)</t>
        </is>
      </c>
      <c r="F10" s="18">
        <f>SUM(F7:F9)</f>
        <v/>
      </c>
    </row>
    <row r="12" ht="15.4" customHeight="1" s="90">
      <c r="B12" s="3" t="inlineStr">
        <is>
          <t>EU-5 expansion layer (FR, DE, ES, IT, NL)</t>
        </is>
      </c>
    </row>
    <row r="13">
      <c r="B13" s="12" t="inlineStr">
        <is>
          <t>Country</t>
        </is>
      </c>
      <c r="C13" s="12" t="inlineStr">
        <is>
          <t>Travellers/yr</t>
        </is>
      </c>
      <c r="D13" s="12" t="inlineStr">
        <is>
          <t>Trips/yr</t>
        </is>
      </c>
      <c r="E13" s="12" t="inlineStr">
        <is>
          <t>Avg spend/trip</t>
        </is>
      </c>
      <c r="F13" s="12" t="inlineStr">
        <is>
          <t>Total GBV (£)</t>
        </is>
      </c>
      <c r="G13" s="12" t="n"/>
      <c r="H13" s="12" t="inlineStr">
        <is>
          <t>Source</t>
        </is>
      </c>
    </row>
    <row r="14" ht="23.25" customHeight="1" s="90">
      <c r="B14" s="4" t="inlineStr">
        <is>
          <t>France leisure (outbound + domestic)</t>
        </is>
      </c>
      <c r="C14" s="13" t="n">
        <v>91000000</v>
      </c>
      <c r="D14" s="14" t="n">
        <v>1</v>
      </c>
      <c r="E14" s="15" t="n">
        <v>720</v>
      </c>
      <c r="F14" s="16">
        <f>C14*D14*E14</f>
        <v/>
      </c>
      <c r="H14" s="6" t="inlineStr">
        <is>
          <t>Eurostat Tourism 2023 [S15] — FR resident trips; avg spend ~€830 → £720</t>
        </is>
      </c>
    </row>
    <row r="15">
      <c r="B15" s="4" t="inlineStr">
        <is>
          <t>Germany leisure (outbound + domestic)</t>
        </is>
      </c>
      <c r="C15" s="13" t="n">
        <v>108000000</v>
      </c>
      <c r="D15" s="14" t="n">
        <v>1</v>
      </c>
      <c r="E15" s="15" t="n">
        <v>780</v>
      </c>
      <c r="F15" s="16">
        <f>C15*D15*E15</f>
        <v/>
      </c>
      <c r="H15" s="6" t="inlineStr">
        <is>
          <t>Eurostat + DRV German Travel Association 2023 [S15]</t>
        </is>
      </c>
    </row>
    <row r="16">
      <c r="B16" s="4" t="inlineStr">
        <is>
          <t>Spain leisure (outbound + domestic)</t>
        </is>
      </c>
      <c r="C16" s="13" t="n">
        <v>56000000</v>
      </c>
      <c r="D16" s="14" t="n">
        <v>1</v>
      </c>
      <c r="E16" s="15" t="n">
        <v>640</v>
      </c>
      <c r="F16" s="16">
        <f>C16*D16*E16</f>
        <v/>
      </c>
      <c r="H16" s="6" t="inlineStr">
        <is>
          <t>INE Spain tourism statistics 2023 [S16]</t>
        </is>
      </c>
    </row>
    <row r="17">
      <c r="B17" s="4" t="inlineStr">
        <is>
          <t>Italy leisure (outbound + domestic)</t>
        </is>
      </c>
      <c r="C17" s="13" t="n">
        <v>67000000</v>
      </c>
      <c r="D17" s="14" t="n">
        <v>1</v>
      </c>
      <c r="E17" s="15" t="n">
        <v>690</v>
      </c>
      <c r="F17" s="16">
        <f>C17*D17*E17</f>
        <v/>
      </c>
      <c r="H17" s="6" t="inlineStr">
        <is>
          <t>ISTAT tourism 2023 [S17]</t>
        </is>
      </c>
    </row>
    <row r="18">
      <c r="B18" s="4" t="inlineStr">
        <is>
          <t>Netherlands leisure (outbound + domestic)</t>
        </is>
      </c>
      <c r="C18" s="13" t="n">
        <v>31000000</v>
      </c>
      <c r="D18" s="14" t="n">
        <v>1</v>
      </c>
      <c r="E18" s="15" t="n">
        <v>760</v>
      </c>
      <c r="F18" s="16">
        <f>C18*D18*E18</f>
        <v/>
      </c>
      <c r="H18" s="6" t="inlineStr">
        <is>
          <t>CBS Netherlands holiday survey 2023 [S18]</t>
        </is>
      </c>
    </row>
    <row r="19">
      <c r="B19" s="17" t="inlineStr">
        <is>
          <t>EU-5 TAM subtotal (£)</t>
        </is>
      </c>
      <c r="F19" s="18">
        <f>SUM(F14:F18)</f>
        <v/>
      </c>
    </row>
    <row r="21" ht="15.4" customHeight="1" s="90">
      <c r="B21" s="3" t="inlineStr">
        <is>
          <t>Bottom-up cross-check</t>
        </is>
      </c>
    </row>
    <row r="22" ht="23.25" customHeight="1" s="90">
      <c r="B22" s="4" t="inlineStr">
        <is>
          <t>UK smartphone-enabled adults (18+)</t>
        </is>
      </c>
      <c r="F22" s="13" t="n">
        <v>46000000</v>
      </c>
      <c r="H22" s="6" t="inlineStr">
        <is>
          <t>Ofcom Communications Market Report 2023 [S19] — 92% UK adults own smartphones</t>
        </is>
      </c>
    </row>
    <row r="23">
      <c r="B23" s="4" t="inlineStr">
        <is>
          <t>Avg annual bookable travel spend (£/adult)</t>
        </is>
      </c>
      <c r="F23" s="15" t="n">
        <v>1850</v>
      </c>
      <c r="H23" s="6" t="inlineStr">
        <is>
          <t>GWI Travel 2024 [S6] — UK adult avg leisure travel spend £1,850/yr</t>
        </is>
      </c>
    </row>
    <row r="24">
      <c r="B24" s="17" t="inlineStr">
        <is>
          <t>Bottom-up UK TAM (£)</t>
        </is>
      </c>
      <c r="F24" s="18">
        <f>F22*F23</f>
        <v/>
      </c>
    </row>
    <row r="25">
      <c r="B25" s="17" t="inlineStr">
        <is>
          <t>Reconciliation vs top-down (top-down ÷ bottom-up)</t>
        </is>
      </c>
      <c r="F25" s="19">
        <f>F10/F24</f>
        <v/>
      </c>
      <c r="H25" s="6" t="inlineStr">
        <is>
          <t>Healthy band: 80%-130%. Outside → review.</t>
        </is>
      </c>
    </row>
    <row r="27" ht="15.4" customHeight="1" s="90">
      <c r="B27" s="3" t="inlineStr">
        <is>
          <t>TAM conclusion</t>
        </is>
      </c>
    </row>
    <row r="28">
      <c r="B28" s="17" t="inlineStr">
        <is>
          <t>TAM (UK only)</t>
        </is>
      </c>
      <c r="F28" s="20">
        <f>F10</f>
        <v/>
      </c>
    </row>
    <row r="29">
      <c r="B29" s="17" t="inlineStr">
        <is>
          <t>TAM (UK + EU-5)</t>
        </is>
      </c>
      <c r="F29" s="20">
        <f>F10+F19</f>
        <v/>
      </c>
    </row>
    <row r="30" ht="23.25" customHeight="1" s="90">
      <c r="B30" s="4" t="inlineStr">
        <is>
          <t>Blended affiliate take-rate (Travidz target)</t>
        </is>
      </c>
      <c r="F30" s="94" t="n">
        <v>0.11</v>
      </c>
      <c r="H30" s="6" t="inlineStr">
        <is>
          <t>Restaurants ~4%, hotels 4-6%, tours/experiences 10-25% → blended 11% target (post-MoR repricing)</t>
        </is>
      </c>
    </row>
    <row r="31">
      <c r="B31" s="17" t="inlineStr">
        <is>
          <t>TAM commission pool (UK + EU-5)</t>
        </is>
      </c>
      <c r="F31" s="20">
        <f>F29*F30</f>
        <v/>
      </c>
    </row>
    <row r="33">
      <c r="B33" s="81" t="inlineStr">
        <is>
          <t>Global expansion layer (USA, AUS/NZ, LATAM, MENA, Africa, India, SEA, Greater China)</t>
        </is>
      </c>
    </row>
    <row r="34">
      <c r="B34" s="78" t="inlineStr">
        <is>
          <t>Region</t>
        </is>
      </c>
      <c r="C34" s="78" t="inlineStr">
        <is>
          <t>Travellers/yr (M)</t>
        </is>
      </c>
      <c r="D34" s="78" t="inlineStr">
        <is>
          <t>Trips/yr</t>
        </is>
      </c>
      <c r="E34" s="78" t="inlineStr">
        <is>
          <t>Avg spend/trip (£)</t>
        </is>
      </c>
      <c r="F34" s="78" t="inlineStr">
        <is>
          <t>Total GBV (£)</t>
        </is>
      </c>
      <c r="H34" s="78" t="inlineStr">
        <is>
          <t>Source</t>
        </is>
      </c>
    </row>
    <row r="35">
      <c r="B35" t="inlineStr">
        <is>
          <t>USA</t>
        </is>
      </c>
      <c r="C35" s="82" t="n">
        <v>180000000</v>
      </c>
      <c r="D35" s="82" t="n">
        <v>1</v>
      </c>
      <c r="E35" s="82" t="n">
        <v>540</v>
      </c>
      <c r="F35" s="80">
        <f>C35*D35*E35</f>
        <v/>
      </c>
      <c r="H35" t="inlineStr">
        <is>
          <t>[S4,S26] US NTTO 2023 + UNWTO 2024</t>
        </is>
      </c>
    </row>
    <row r="36">
      <c r="B36" t="inlineStr">
        <is>
          <t>Australia / NZ</t>
        </is>
      </c>
      <c r="C36" s="82" t="n">
        <v>18000000</v>
      </c>
      <c r="D36" s="82" t="n">
        <v>1</v>
      </c>
      <c r="E36" s="82" t="n">
        <v>580</v>
      </c>
      <c r="F36" s="80">
        <f>C36*D36*E36</f>
        <v/>
      </c>
      <c r="H36" t="inlineStr">
        <is>
          <t>[S12,S13] ABS + Stats NZ 2023</t>
        </is>
      </c>
    </row>
    <row r="37">
      <c r="B37" t="inlineStr">
        <is>
          <t>LATAM (Brazil-led)</t>
        </is>
      </c>
      <c r="C37" s="82" t="n">
        <v>110000000</v>
      </c>
      <c r="D37" s="82" t="n">
        <v>1</v>
      </c>
      <c r="E37" s="82" t="n">
        <v>280</v>
      </c>
      <c r="F37" s="80">
        <f>C37*D37*E37</f>
        <v/>
      </c>
      <c r="H37" t="inlineStr">
        <is>
          <t>[S26,S28] UNWTO + WTTC Regional 2024</t>
        </is>
      </c>
    </row>
    <row r="38">
      <c r="B38" t="inlineStr">
        <is>
          <t>MENA</t>
        </is>
      </c>
      <c r="C38" s="82" t="n">
        <v>70000000</v>
      </c>
      <c r="D38" s="82" t="n">
        <v>1</v>
      </c>
      <c r="E38" s="82" t="n">
        <v>380</v>
      </c>
      <c r="F38" s="80">
        <f>C38*D38*E38</f>
        <v/>
      </c>
      <c r="H38" t="inlineStr">
        <is>
          <t>[S26] UNWTO + Statista MENA 2024</t>
        </is>
      </c>
    </row>
    <row r="39">
      <c r="B39" t="inlineStr">
        <is>
          <t>Africa</t>
        </is>
      </c>
      <c r="C39" s="82" t="n">
        <v>90000000</v>
      </c>
      <c r="D39" s="82" t="n">
        <v>1</v>
      </c>
      <c r="E39" s="82" t="n">
        <v>220</v>
      </c>
      <c r="F39" s="80">
        <f>C39*D39*E39</f>
        <v/>
      </c>
      <c r="H39" t="inlineStr">
        <is>
          <t>[S26,S28] UNWTO + WTTC Africa 2024</t>
        </is>
      </c>
    </row>
    <row r="40">
      <c r="B40" t="inlineStr">
        <is>
          <t>India</t>
        </is>
      </c>
      <c r="C40" s="82" t="n">
        <v>140000000</v>
      </c>
      <c r="D40" s="82" t="n">
        <v>1</v>
      </c>
      <c r="E40" s="82" t="n">
        <v>200</v>
      </c>
      <c r="F40" s="80">
        <f>C40*D40*E40</f>
        <v/>
      </c>
      <c r="H40" t="inlineStr">
        <is>
          <t>[S27] Statista APAC outbound 2024</t>
        </is>
      </c>
    </row>
    <row r="41">
      <c r="B41" t="inlineStr">
        <is>
          <t>SEA</t>
        </is>
      </c>
      <c r="C41" s="82" t="n">
        <v>160000000</v>
      </c>
      <c r="D41" s="82" t="n">
        <v>1</v>
      </c>
      <c r="E41" s="82" t="n">
        <v>240</v>
      </c>
      <c r="F41" s="80">
        <f>C41*D41*E41</f>
        <v/>
      </c>
      <c r="H41" t="inlineStr">
        <is>
          <t>[S27] Statista SEA travel 2024</t>
        </is>
      </c>
    </row>
    <row r="42">
      <c r="B42" t="inlineStr">
        <is>
          <t>Greater China</t>
        </is>
      </c>
      <c r="C42" s="82" t="n">
        <v>280000000</v>
      </c>
      <c r="D42" s="82" t="n">
        <v>1</v>
      </c>
      <c r="E42" s="82" t="n">
        <v>420</v>
      </c>
      <c r="F42" s="80">
        <f>C42*D42*E42</f>
        <v/>
      </c>
      <c r="H42" t="inlineStr">
        <is>
          <t>[S27] Statista APAC + UNWTO 2024</t>
        </is>
      </c>
    </row>
    <row r="43">
      <c r="B43" s="83" t="inlineStr">
        <is>
          <t>Global extra TAM subtotal (£)</t>
        </is>
      </c>
      <c r="F43" s="83">
        <f>SUM(F35:F42)</f>
        <v/>
      </c>
    </row>
    <row r="45">
      <c r="B45" s="83" t="inlineStr">
        <is>
          <t>TAM (Global · UK + EU-5 + 8 regions)</t>
        </is>
      </c>
      <c r="F45" s="83">
        <f>F28+F19+F43</f>
        <v/>
      </c>
    </row>
    <row r="46">
      <c r="B46" s="83" t="inlineStr">
        <is>
          <t>Global commission pool @ 8% (£)</t>
        </is>
      </c>
      <c r="F46" s="83">
        <f>F45*F30</f>
        <v/>
      </c>
    </row>
    <row r="47">
      <c r="B47" s="83" t="inlineStr">
        <is>
          <t>Total addressable travellers (M)</t>
        </is>
      </c>
      <c r="F47" s="80">
        <f>(C7+SUM(C14:C18)+SUM(C35:C42))/1000000</f>
        <v/>
      </c>
    </row>
  </sheetData>
  <printOptions horizontalCentered="1"/>
  <pageMargins left="0.3" right="0.3" top="0.4" bottom="0.4" header="0.5" footer="0.5"/>
  <pageSetup orientation="landscape" paperSize="9" fitToHeight="0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2:H38"/>
  <sheetViews>
    <sheetView workbookViewId="0">
      <selection activeCell="A1" sqref="A1"/>
    </sheetView>
  </sheetViews>
  <sheetFormatPr baseColWidth="8" defaultRowHeight="14.25"/>
  <cols>
    <col width="2" customWidth="1" style="90" min="1" max="1"/>
    <col width="32" customWidth="1" style="90" min="2" max="2"/>
    <col width="16" customWidth="1" style="90" min="3" max="3"/>
    <col width="14" customWidth="1" style="90" min="4" max="4"/>
    <col width="16" customWidth="1" style="90" min="5" max="5"/>
    <col width="18" customWidth="1" style="90" min="6" max="6"/>
    <col width="16" customWidth="1" style="90" min="7" max="7"/>
    <col width="45" customWidth="1" style="90" min="8" max="8"/>
  </cols>
  <sheetData>
    <row r="2" ht="22.5" customHeight="1" s="90">
      <c r="B2" s="1" t="inlineStr">
        <is>
          <t>SAM — Serviceable Addressable Market</t>
        </is>
      </c>
    </row>
    <row r="3">
      <c r="B3" s="2" t="inlineStr">
        <is>
          <t>Creator-influenced + bookable component, filtered per country</t>
        </is>
      </c>
    </row>
    <row r="5" ht="15.4" customHeight="1" s="90">
      <c r="B5" s="3" t="inlineStr">
        <is>
          <t>Per-country creator-influenced travellers</t>
        </is>
      </c>
    </row>
    <row r="6" ht="26.25" customHeight="1" s="90">
      <c r="B6" s="12" t="inlineStr">
        <is>
          <t>Country</t>
        </is>
      </c>
      <c r="C6" s="12" t="inlineStr">
        <is>
          <t>Travellers/yr (M)</t>
        </is>
      </c>
      <c r="D6" s="12" t="inlineStr">
        <is>
          <t>Smartphone %</t>
        </is>
      </c>
      <c r="E6" s="12" t="inlineStr">
        <is>
          <t>Creator-discovery share</t>
        </is>
      </c>
      <c r="F6" s="12" t="inlineStr">
        <is>
          <t>Active addressable (M)</t>
        </is>
      </c>
      <c r="G6" s="12" t="inlineStr">
        <is>
          <t>Avg trip spend (£)</t>
        </is>
      </c>
      <c r="H6" s="12" t="inlineStr">
        <is>
          <t>Source</t>
        </is>
      </c>
    </row>
    <row r="7">
      <c r="B7" s="4" t="inlineStr">
        <is>
          <t>United Kingdom</t>
        </is>
      </c>
      <c r="C7" s="14" t="n">
        <v>178.7</v>
      </c>
      <c r="D7" s="7" t="n">
        <v>0.92</v>
      </c>
      <c r="E7" s="7" t="n">
        <v>0.36</v>
      </c>
      <c r="F7" s="30">
        <f>C7*D7*E7</f>
        <v/>
      </c>
      <c r="G7" s="15" t="n">
        <v>490</v>
      </c>
      <c r="H7" s="6" t="inlineStr">
        <is>
          <t>ONS + VisitBritain + GWI [S1,S2,S6]</t>
        </is>
      </c>
    </row>
    <row r="8">
      <c r="B8" s="31" t="inlineStr">
        <is>
          <t>France</t>
        </is>
      </c>
      <c r="C8" s="32" t="n">
        <v>91</v>
      </c>
      <c r="D8" s="33" t="n">
        <v>0.88</v>
      </c>
      <c r="E8" s="33" t="n">
        <v>0.32</v>
      </c>
      <c r="F8" s="34">
        <f>C8*D8*E8</f>
        <v/>
      </c>
      <c r="G8" s="35" t="n">
        <v>720</v>
      </c>
      <c r="H8" s="36" t="inlineStr">
        <is>
          <t>Eurostat + Médiamétrie 2023 [S15]</t>
        </is>
      </c>
    </row>
    <row r="9">
      <c r="B9" s="4" t="inlineStr">
        <is>
          <t>Germany</t>
        </is>
      </c>
      <c r="C9" s="14" t="n">
        <v>108</v>
      </c>
      <c r="D9" s="7" t="n">
        <v>0.9</v>
      </c>
      <c r="E9" s="7" t="n">
        <v>0.3</v>
      </c>
      <c r="F9" s="30">
        <f>C9*D9*E9</f>
        <v/>
      </c>
      <c r="G9" s="15" t="n">
        <v>780</v>
      </c>
      <c r="H9" s="6" t="inlineStr">
        <is>
          <t>Eurostat + DRV 2023 [S15]</t>
        </is>
      </c>
    </row>
    <row r="10">
      <c r="B10" s="31" t="inlineStr">
        <is>
          <t>Spain</t>
        </is>
      </c>
      <c r="C10" s="32" t="n">
        <v>56</v>
      </c>
      <c r="D10" s="33" t="n">
        <v>0.91</v>
      </c>
      <c r="E10" s="33" t="n">
        <v>0.38</v>
      </c>
      <c r="F10" s="34">
        <f>C10*D10*E10</f>
        <v/>
      </c>
      <c r="G10" s="35" t="n">
        <v>640</v>
      </c>
      <c r="H10" s="36" t="inlineStr">
        <is>
          <t>INE + IAB Spain 2023 [S16]</t>
        </is>
      </c>
    </row>
    <row r="11">
      <c r="B11" s="4" t="inlineStr">
        <is>
          <t>Italy</t>
        </is>
      </c>
      <c r="C11" s="14" t="n">
        <v>67</v>
      </c>
      <c r="D11" s="7" t="n">
        <v>0.87</v>
      </c>
      <c r="E11" s="7" t="n">
        <v>0.34</v>
      </c>
      <c r="F11" s="30">
        <f>C11*D11*E11</f>
        <v/>
      </c>
      <c r="G11" s="15" t="n">
        <v>690</v>
      </c>
      <c r="H11" s="6" t="inlineStr">
        <is>
          <t>ISTAT + AGCOM 2023 [S17]</t>
        </is>
      </c>
    </row>
    <row r="12">
      <c r="B12" s="31" t="inlineStr">
        <is>
          <t>Netherlands</t>
        </is>
      </c>
      <c r="C12" s="32" t="n">
        <v>31</v>
      </c>
      <c r="D12" s="33" t="n">
        <v>0.9399999999999999</v>
      </c>
      <c r="E12" s="33" t="n">
        <v>0.33</v>
      </c>
      <c r="F12" s="34">
        <f>C12*D12*E12</f>
        <v/>
      </c>
      <c r="G12" s="35" t="n">
        <v>760</v>
      </c>
      <c r="H12" s="36" t="inlineStr">
        <is>
          <t>CBS + DDMA 2023 [S18]</t>
        </is>
      </c>
    </row>
    <row r="13">
      <c r="B13" s="17" t="inlineStr">
        <is>
          <t>Total addressable (M)</t>
        </is>
      </c>
      <c r="F13" s="37">
        <f>SUM(F7:F12)</f>
        <v/>
      </c>
    </row>
    <row r="15" ht="15.4" customHeight="1" s="90">
      <c r="B15" s="3" t="inlineStr">
        <is>
          <t>SAM — GBV calculation</t>
        </is>
      </c>
    </row>
    <row r="16">
      <c r="B16" s="4" t="inlineStr">
        <is>
          <t>Bookable component (tours, stays, experiences in trip GBV)</t>
        </is>
      </c>
      <c r="F16" s="7" t="n">
        <v>0.8</v>
      </c>
      <c r="H16" s="6" t="inlineStr">
        <is>
          <t>Phocuswright Experiences 2023 [S9]</t>
        </is>
      </c>
    </row>
    <row r="18" ht="26.25" customHeight="1" s="90">
      <c r="B18" s="12" t="inlineStr">
        <is>
          <t>Region</t>
        </is>
      </c>
      <c r="C18" s="12" t="inlineStr">
        <is>
          <t>Addressable travellers (M)</t>
        </is>
      </c>
      <c r="D18" s="12" t="inlineStr">
        <is>
          <t>Avg trip spend (£)</t>
        </is>
      </c>
      <c r="E18" s="12" t="inlineStr">
        <is>
          <t>Bookable %</t>
        </is>
      </c>
      <c r="F18" s="12" t="inlineStr">
        <is>
          <t>SAM GBV (£)</t>
        </is>
      </c>
      <c r="G18" s="12" t="n"/>
      <c r="H18" s="12" t="n"/>
    </row>
    <row r="19">
      <c r="B19" s="17" t="inlineStr">
        <is>
          <t>SAM (UK only)</t>
        </is>
      </c>
      <c r="C19" s="30">
        <f>F7</f>
        <v/>
      </c>
      <c r="D19" s="16">
        <f>G7</f>
        <v/>
      </c>
      <c r="E19" s="38">
        <f>F16</f>
        <v/>
      </c>
      <c r="F19" s="20">
        <f>C19*1000000*D19*E19</f>
        <v/>
      </c>
    </row>
    <row r="20">
      <c r="B20" s="17" t="inlineStr">
        <is>
          <t>SAM (UK + EU-5)</t>
        </is>
      </c>
      <c r="C20" s="30">
        <f>F13</f>
        <v/>
      </c>
      <c r="D20" s="16">
        <f>SUMPRODUCT(F7:F12,G7:G12)/F13</f>
        <v/>
      </c>
      <c r="E20" s="38">
        <f>F16</f>
        <v/>
      </c>
      <c r="F20" s="20">
        <f>C20*1000000*D20*E20</f>
        <v/>
      </c>
    </row>
    <row r="22">
      <c r="B22" s="4" t="inlineStr">
        <is>
          <t>SAM commission pool (UK only)</t>
        </is>
      </c>
      <c r="F22" s="21">
        <f>F19*'3. TAM'!$F$30</f>
        <v/>
      </c>
    </row>
    <row r="23">
      <c r="B23" s="4" t="inlineStr">
        <is>
          <t>SAM commission pool (UK + EU-5)</t>
        </is>
      </c>
      <c r="F23" s="21">
        <f>F20*'3. TAM'!$F$30</f>
        <v/>
      </c>
    </row>
    <row r="25">
      <c r="B25" s="81" t="inlineStr">
        <is>
          <t>Global expansion — per-region addressable travellers</t>
        </is>
      </c>
    </row>
    <row r="26">
      <c r="B26" s="78" t="inlineStr">
        <is>
          <t>Region</t>
        </is>
      </c>
      <c r="C26" s="78" t="inlineStr">
        <is>
          <t>Travellers/yr (M)</t>
        </is>
      </c>
      <c r="D26" s="78" t="inlineStr">
        <is>
          <t>Smartphone %</t>
        </is>
      </c>
      <c r="E26" s="78" t="inlineStr">
        <is>
          <t>Creator-discovery share</t>
        </is>
      </c>
      <c r="F26" s="78" t="inlineStr">
        <is>
          <t>Active addressable (M)</t>
        </is>
      </c>
      <c r="G26" s="78" t="inlineStr">
        <is>
          <t>Avg trip spend (£)</t>
        </is>
      </c>
      <c r="H26" s="78" t="inlineStr">
        <is>
          <t>Source</t>
        </is>
      </c>
    </row>
    <row r="27">
      <c r="B27" t="inlineStr">
        <is>
          <t>USA</t>
        </is>
      </c>
      <c r="C27" s="82" t="n">
        <v>180</v>
      </c>
      <c r="D27" s="82" t="n">
        <v>0.9</v>
      </c>
      <c r="E27" s="82" t="n">
        <v>0.3</v>
      </c>
      <c r="F27" s="80">
        <f>C27*D27*E27</f>
        <v/>
      </c>
      <c r="G27" s="82" t="n">
        <v>540</v>
      </c>
      <c r="H27" t="inlineStr">
        <is>
          <t>[S4,S26] US NTTO 2023 + UNWTO 2024</t>
        </is>
      </c>
    </row>
    <row r="28">
      <c r="B28" t="inlineStr">
        <is>
          <t>Australia / NZ</t>
        </is>
      </c>
      <c r="C28" s="82" t="n">
        <v>18</v>
      </c>
      <c r="D28" s="82" t="n">
        <v>0.92</v>
      </c>
      <c r="E28" s="82" t="n">
        <v>0.34</v>
      </c>
      <c r="F28" s="80">
        <f>C28*D28*E28</f>
        <v/>
      </c>
      <c r="G28" s="82" t="n">
        <v>580</v>
      </c>
      <c r="H28" t="inlineStr">
        <is>
          <t>[S12,S13] ABS + Stats NZ 2023</t>
        </is>
      </c>
    </row>
    <row r="29">
      <c r="B29" t="inlineStr">
        <is>
          <t>LATAM (Brazil-led)</t>
        </is>
      </c>
      <c r="C29" s="82" t="n">
        <v>110</v>
      </c>
      <c r="D29" s="82" t="n">
        <v>0.8100000000000001</v>
      </c>
      <c r="E29" s="82" t="n">
        <v>0.3</v>
      </c>
      <c r="F29" s="80">
        <f>C29*D29*E29</f>
        <v/>
      </c>
      <c r="G29" s="82" t="n">
        <v>280</v>
      </c>
      <c r="H29" t="inlineStr">
        <is>
          <t>[S26,S28] UNWTO + WTTC Regional 2024</t>
        </is>
      </c>
    </row>
    <row r="30">
      <c r="B30" t="inlineStr">
        <is>
          <t>MENA</t>
        </is>
      </c>
      <c r="C30" s="82" t="n">
        <v>70</v>
      </c>
      <c r="D30" s="82" t="n">
        <v>0.85</v>
      </c>
      <c r="E30" s="82" t="n">
        <v>0.32</v>
      </c>
      <c r="F30" s="80">
        <f>C30*D30*E30</f>
        <v/>
      </c>
      <c r="G30" s="82" t="n">
        <v>380</v>
      </c>
      <c r="H30" t="inlineStr">
        <is>
          <t>[S26] UNWTO + Statista MENA 2024</t>
        </is>
      </c>
    </row>
    <row r="31">
      <c r="B31" t="inlineStr">
        <is>
          <t>Africa</t>
        </is>
      </c>
      <c r="C31" s="82" t="n">
        <v>90</v>
      </c>
      <c r="D31" s="82" t="n">
        <v>0.65</v>
      </c>
      <c r="E31" s="82" t="n">
        <v>0.28</v>
      </c>
      <c r="F31" s="80">
        <f>C31*D31*E31</f>
        <v/>
      </c>
      <c r="G31" s="82" t="n">
        <v>220</v>
      </c>
      <c r="H31" t="inlineStr">
        <is>
          <t>[S26,S28] UNWTO + WTTC Africa 2024</t>
        </is>
      </c>
    </row>
    <row r="32">
      <c r="B32" t="inlineStr">
        <is>
          <t>India</t>
        </is>
      </c>
      <c r="C32" s="82" t="n">
        <v>140</v>
      </c>
      <c r="D32" s="82" t="n">
        <v>0.75</v>
      </c>
      <c r="E32" s="82" t="n">
        <v>0.34</v>
      </c>
      <c r="F32" s="80">
        <f>C32*D32*E32</f>
        <v/>
      </c>
      <c r="G32" s="82" t="n">
        <v>200</v>
      </c>
      <c r="H32" t="inlineStr">
        <is>
          <t>[S27] Statista APAC outbound 2024</t>
        </is>
      </c>
    </row>
    <row r="33">
      <c r="B33" t="inlineStr">
        <is>
          <t>SEA</t>
        </is>
      </c>
      <c r="C33" s="82" t="n">
        <v>160</v>
      </c>
      <c r="D33" s="82" t="n">
        <v>0.83</v>
      </c>
      <c r="E33" s="82" t="n">
        <v>0.33</v>
      </c>
      <c r="F33" s="80">
        <f>C33*D33*E33</f>
        <v/>
      </c>
      <c r="G33" s="82" t="n">
        <v>240</v>
      </c>
      <c r="H33" t="inlineStr">
        <is>
          <t>[S27] Statista SEA travel 2024</t>
        </is>
      </c>
    </row>
    <row r="34">
      <c r="B34" t="inlineStr">
        <is>
          <t>Greater China</t>
        </is>
      </c>
      <c r="C34" s="82" t="n">
        <v>280</v>
      </c>
      <c r="D34" s="82" t="n">
        <v>0.88</v>
      </c>
      <c r="E34" s="82" t="n">
        <v>0.3</v>
      </c>
      <c r="F34" s="80">
        <f>C34*D34*E34</f>
        <v/>
      </c>
      <c r="G34" s="82" t="n">
        <v>420</v>
      </c>
      <c r="H34" t="inlineStr">
        <is>
          <t>[S27] Statista APAC + UNWTO 2024</t>
        </is>
      </c>
    </row>
    <row r="35">
      <c r="B35" s="83" t="inlineStr">
        <is>
          <t>Global extra addressable subtotal (M)</t>
        </is>
      </c>
      <c r="F35" s="83">
        <f>SUM(F27:F34)</f>
        <v/>
      </c>
    </row>
    <row r="37">
      <c r="B37" s="83" t="inlineStr">
        <is>
          <t>SAM (Global · UK + EU-5 + 8 regions)</t>
        </is>
      </c>
      <c r="C37" s="80">
        <f>F13+F35</f>
        <v/>
      </c>
      <c r="D37" s="80">
        <f>(SUMPRODUCT(F7:F12,G7:G12)+SUMPRODUCT(F27:F34,G27:G34))/(F13+F35)</f>
        <v/>
      </c>
      <c r="E37" s="80">
        <f>F16</f>
        <v/>
      </c>
      <c r="F37" s="83">
        <f>C37*1000000*D37*E37</f>
        <v/>
      </c>
    </row>
    <row r="38">
      <c r="B38" s="83" t="inlineStr">
        <is>
          <t>SAM commission pool (Global) @ 8%</t>
        </is>
      </c>
      <c r="F38" s="83">
        <f>F37*'3. TAM'!$F$30</f>
        <v/>
      </c>
    </row>
  </sheetData>
  <printOptions horizontalCentered="1"/>
  <pageMargins left="0.3" right="0.3" top="0.4" bottom="0.4" header="0.5" footer="0.5"/>
  <pageSetup orientation="landscape" paperSize="9" fitToHeight="0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B2:H33"/>
  <sheetViews>
    <sheetView workbookViewId="0">
      <selection activeCell="A1" sqref="A1"/>
    </sheetView>
  </sheetViews>
  <sheetFormatPr baseColWidth="8" defaultRowHeight="14.25"/>
  <cols>
    <col width="2" customWidth="1" style="90" min="1" max="1"/>
    <col width="36" customWidth="1" style="90" min="2" max="2"/>
    <col width="14" customWidth="1" style="90" min="3" max="7"/>
    <col width="40" customWidth="1" style="90" min="8" max="8"/>
  </cols>
  <sheetData>
    <row r="2" ht="22.5" customHeight="1" s="90">
      <c r="B2" s="1" t="inlineStr">
        <is>
          <t>SOM — Serviceable Obtainable Market</t>
        </is>
      </c>
    </row>
    <row r="3">
      <c r="B3" s="2" t="inlineStr">
        <is>
          <t>Bottom-up creator funnel (Bear / Base / Bull) — Base locked to financial model</t>
        </is>
      </c>
    </row>
    <row r="5" ht="15.4" customHeight="1" s="90">
      <c r="B5" s="3" t="inlineStr">
        <is>
          <t>Scenario assumptions</t>
        </is>
      </c>
    </row>
    <row r="6">
      <c r="B6" s="12" t="inlineStr">
        <is>
          <t>Driver</t>
        </is>
      </c>
      <c r="C6" s="12" t="inlineStr">
        <is>
          <t>Bear</t>
        </is>
      </c>
      <c r="D6" s="12" t="inlineStr">
        <is>
          <t>Base</t>
        </is>
      </c>
      <c r="E6" s="12" t="inlineStr">
        <is>
          <t>Bull</t>
        </is>
      </c>
      <c r="F6" s="77" t="inlineStr">
        <is>
          <t>Global Viral</t>
        </is>
      </c>
      <c r="G6" s="12" t="n"/>
      <c r="H6" s="12" t="inlineStr">
        <is>
          <t>Note</t>
        </is>
      </c>
    </row>
    <row r="7">
      <c r="B7" s="4" t="inlineStr">
        <is>
          <t>Active creators EOY1</t>
        </is>
      </c>
      <c r="C7" s="13" t="n">
        <v>300</v>
      </c>
      <c r="D7" s="39" t="n">
        <v>500</v>
      </c>
      <c r="E7" s="13" t="n">
        <v>700</v>
      </c>
      <c r="F7" s="82" t="n">
        <v>1500</v>
      </c>
      <c r="H7" s="6" t="inlineStr">
        <is>
          <t>Base = founding cohort cap</t>
        </is>
      </c>
    </row>
    <row r="8">
      <c r="B8" s="4" t="inlineStr">
        <is>
          <t>Active creators EOY2</t>
        </is>
      </c>
      <c r="C8" s="13" t="n">
        <v>1200</v>
      </c>
      <c r="D8" s="39" t="n">
        <v>2400</v>
      </c>
      <c r="E8" s="13" t="n">
        <v>3400</v>
      </c>
      <c r="F8" s="82" t="n">
        <v>9000</v>
      </c>
      <c r="H8" s="6" t="inlineStr">
        <is>
          <t>Paid+organic activation</t>
        </is>
      </c>
    </row>
    <row r="9">
      <c r="B9" s="4" t="inlineStr">
        <is>
          <t>Active creators EOY3</t>
        </is>
      </c>
      <c r="C9" s="13" t="n">
        <v>3200</v>
      </c>
      <c r="D9" s="39" t="n">
        <v>6800</v>
      </c>
      <c r="E9" s="13" t="n">
        <v>9800</v>
      </c>
      <c r="F9" s="82" t="n">
        <v>32000</v>
      </c>
      <c r="H9" s="6" t="inlineStr">
        <is>
          <t>Network effect kicks in</t>
        </is>
      </c>
    </row>
    <row r="10">
      <c r="B10" s="4" t="inlineStr">
        <is>
          <t>Active creators EOY4</t>
        </is>
      </c>
      <c r="C10" s="13" t="n">
        <v>6500</v>
      </c>
      <c r="D10" s="39" t="n">
        <v>14000</v>
      </c>
      <c r="E10" s="13" t="n">
        <v>20000</v>
      </c>
      <c r="F10" s="82" t="n">
        <v>70000</v>
      </c>
      <c r="H10" s="6" t="inlineStr">
        <is>
          <t>EU-5 expansion</t>
        </is>
      </c>
    </row>
    <row r="11">
      <c r="B11" s="4" t="inlineStr">
        <is>
          <t>Active creators EOY5</t>
        </is>
      </c>
      <c r="C11" s="13" t="n">
        <v>11000</v>
      </c>
      <c r="D11" s="39" t="n">
        <v>24000</v>
      </c>
      <c r="E11" s="13" t="n">
        <v>34000</v>
      </c>
      <c r="F11" s="82" t="n">
        <v>120000</v>
      </c>
      <c r="H11" s="6" t="inlineStr">
        <is>
          <t>Mature funnel</t>
        </is>
      </c>
    </row>
    <row r="12">
      <c r="B12" s="4" t="inlineStr">
        <is>
          <t>GBV per active creator / yr (£)</t>
        </is>
      </c>
      <c r="C12" s="15" t="n">
        <v>14000</v>
      </c>
      <c r="D12" s="40" t="n">
        <v>18500</v>
      </c>
      <c r="E12" s="15" t="n">
        <v>22500</v>
      </c>
      <c r="F12" s="84" t="n">
        <v>11020</v>
      </c>
      <c r="H12" s="6" t="inlineStr">
        <is>
          <t>Blended across tiers</t>
        </is>
      </c>
    </row>
    <row r="13">
      <c r="B13" s="4" t="inlineStr">
        <is>
          <t>Blended Travidz take Y5 (%)</t>
        </is>
      </c>
      <c r="C13" s="7" t="n">
        <v>0.039</v>
      </c>
      <c r="D13" s="41" t="n">
        <v>0.0465</v>
      </c>
      <c r="E13" s="7" t="n">
        <v>0.052</v>
      </c>
      <c r="F13" s="82" t="n">
        <v>0.0465</v>
      </c>
      <c r="H13" s="6" t="inlineStr">
        <is>
          <t>After tapered creator share</t>
        </is>
      </c>
    </row>
    <row r="14">
      <c r="B14" s="4" t="inlineStr">
        <is>
          <t>Annual creator churn (%)</t>
        </is>
      </c>
      <c r="C14" s="7" t="n">
        <v>0.35</v>
      </c>
      <c r="D14" s="41" t="n">
        <v>0.25</v>
      </c>
      <c r="E14" s="7" t="n">
        <v>0.18</v>
      </c>
      <c r="F14" s="82" t="n">
        <v>0.22</v>
      </c>
      <c r="H14" s="6" t="inlineStr">
        <is>
          <t>Power tier churns less</t>
        </is>
      </c>
    </row>
    <row r="15">
      <c r="B15" s="4" t="inlineStr">
        <is>
          <t>CAC per active creator (£)</t>
        </is>
      </c>
      <c r="C15" s="15" t="n">
        <v>180</v>
      </c>
      <c r="D15" s="40" t="n">
        <v>120</v>
      </c>
      <c r="E15" s="15" t="n">
        <v>75</v>
      </c>
      <c r="F15" s="82" t="n">
        <v>95</v>
      </c>
      <c r="H15" s="6" t="inlineStr">
        <is>
          <t>Paid + referral + founding incentive blend</t>
        </is>
      </c>
    </row>
    <row r="17" ht="15.4" customHeight="1" s="90">
      <c r="B17" s="3" t="inlineStr">
        <is>
          <t>Base-case 5-year build (locked to financial model)</t>
        </is>
      </c>
    </row>
    <row r="18">
      <c r="B18" s="12" t="inlineStr">
        <is>
          <t>Metric</t>
        </is>
      </c>
      <c r="C18" s="12" t="inlineStr">
        <is>
          <t>Y1</t>
        </is>
      </c>
      <c r="D18" s="12" t="inlineStr">
        <is>
          <t>Y2</t>
        </is>
      </c>
      <c r="E18" s="12" t="inlineStr">
        <is>
          <t>Y3</t>
        </is>
      </c>
      <c r="F18" s="12" t="inlineStr">
        <is>
          <t>Y4</t>
        </is>
      </c>
      <c r="G18" s="12" t="inlineStr">
        <is>
          <t>Y5</t>
        </is>
      </c>
      <c r="H18" s="12" t="inlineStr">
        <is>
          <t>Source / formula</t>
        </is>
      </c>
    </row>
    <row r="19">
      <c r="B19" s="17" t="inlineStr">
        <is>
          <t>Active creators (EOY)</t>
        </is>
      </c>
      <c r="C19" s="23">
        <f>D7</f>
        <v/>
      </c>
      <c r="D19" s="23">
        <f>D8</f>
        <v/>
      </c>
      <c r="E19" s="23">
        <f>D9</f>
        <v/>
      </c>
      <c r="F19" s="23">
        <f>D10</f>
        <v/>
      </c>
      <c r="G19" s="23">
        <f>D11</f>
        <v/>
      </c>
      <c r="H19" s="2" t="inlineStr">
        <is>
          <t>Linked to Base column above</t>
        </is>
      </c>
    </row>
    <row r="20">
      <c r="B20" s="4" t="inlineStr">
        <is>
          <t>GBV per active creator / yr (£)</t>
        </is>
      </c>
      <c r="C20" s="42">
        <f>D12</f>
        <v/>
      </c>
      <c r="D20" s="42">
        <f>D12</f>
        <v/>
      </c>
      <c r="E20" s="42">
        <f>D12</f>
        <v/>
      </c>
      <c r="F20" s="42">
        <f>D12</f>
        <v/>
      </c>
      <c r="G20" s="42">
        <f>D12</f>
        <v/>
      </c>
    </row>
    <row r="21">
      <c r="B21" s="17" t="inlineStr">
        <is>
          <t>GBV (£)</t>
        </is>
      </c>
      <c r="C21" s="43">
        <f>C19*C20</f>
        <v/>
      </c>
      <c r="D21" s="43">
        <f>D19*D20</f>
        <v/>
      </c>
      <c r="E21" s="43">
        <f>E19*E20</f>
        <v/>
      </c>
      <c r="F21" s="43">
        <f>F19*F20</f>
        <v/>
      </c>
      <c r="G21" s="43">
        <f>G19*G20</f>
        <v/>
      </c>
    </row>
    <row r="22" ht="23.25" customHeight="1" s="90">
      <c r="B22" s="4" t="inlineStr">
        <is>
          <t>Blended Travidz take rate</t>
        </is>
      </c>
      <c r="C22" s="97">
        <f>'6. Cohort Maturity'!C26</f>
        <v/>
      </c>
      <c r="D22" s="97">
        <f>'6. Cohort Maturity'!D26</f>
        <v/>
      </c>
      <c r="E22" s="97">
        <f>'6. Cohort Maturity'!E26</f>
        <v/>
      </c>
      <c r="F22" s="97">
        <f>'6. Cohort Maturity'!F26</f>
        <v/>
      </c>
      <c r="G22" s="97">
        <f>'6. Cohort Maturity'!G26</f>
        <v/>
      </c>
      <c r="H22" s="6" t="inlineStr">
        <is>
          <t>Net of shared Stripe, tier-blended split (driven by Cohort Maturity)</t>
        </is>
      </c>
    </row>
    <row r="23">
      <c r="B23" s="17" t="inlineStr">
        <is>
          <t>Travidz net revenue (£)</t>
        </is>
      </c>
      <c r="C23" s="43">
        <f>C21*C22</f>
        <v/>
      </c>
      <c r="D23" s="43">
        <f>D21*D22</f>
        <v/>
      </c>
      <c r="E23" s="43">
        <f>E21*E22</f>
        <v/>
      </c>
      <c r="F23" s="43">
        <f>F21*F22</f>
        <v/>
      </c>
      <c r="G23" s="43">
        <f>G21*G22</f>
        <v/>
      </c>
    </row>
    <row r="24">
      <c r="B24" s="4" t="inlineStr">
        <is>
          <t>Gross commission (11% of GBV)</t>
        </is>
      </c>
      <c r="C24" s="98">
        <f>C21*'1. Cover'!$C$20</f>
        <v/>
      </c>
      <c r="D24" s="98">
        <f>D21*'1. Cover'!$C$20</f>
        <v/>
      </c>
      <c r="E24" s="98">
        <f>E21*'1. Cover'!$C$20</f>
        <v/>
      </c>
      <c r="F24" s="98">
        <f>F21*'1. Cover'!$C$20</f>
        <v/>
      </c>
      <c r="G24" s="98">
        <f>G21*'1. Cover'!$C$20</f>
        <v/>
      </c>
    </row>
    <row r="25">
      <c r="B25" s="4" t="inlineStr">
        <is>
          <t>Less: Stripe processing (shared, 2.9% + £0.20/txn)</t>
        </is>
      </c>
      <c r="C25" s="98">
        <f>C21*'1. Cover'!$C$26 + (C21/'1. Cover'!$C$28)*'1. Cover'!$C$27</f>
        <v/>
      </c>
      <c r="D25" s="98">
        <f>D21*'1. Cover'!$C$26 + (D21/'1. Cover'!$C$28)*'1. Cover'!$C$27</f>
        <v/>
      </c>
      <c r="E25" s="98">
        <f>E21*'1. Cover'!$C$26 + (E21/'1. Cover'!$C$28)*'1. Cover'!$C$27</f>
        <v/>
      </c>
      <c r="F25" s="98">
        <f>F21*'1. Cover'!$C$26 + (F21/'1. Cover'!$C$28)*'1. Cover'!$C$27</f>
        <v/>
      </c>
      <c r="G25" s="98">
        <f>G21*'1. Cover'!$C$26 + (G21/'1. Cover'!$C$28)*'1. Cover'!$C$27</f>
        <v/>
      </c>
    </row>
    <row r="26">
      <c r="B26" s="4" t="inlineStr">
        <is>
          <t>Creator payout (£)</t>
        </is>
      </c>
      <c r="C26" s="99">
        <f>C24-C25-C23</f>
        <v/>
      </c>
      <c r="D26" s="99">
        <f>D24-D25-D23</f>
        <v/>
      </c>
      <c r="E26" s="99">
        <f>E24-E25-E23</f>
        <v/>
      </c>
      <c r="F26" s="99">
        <f>F24-F25-F23</f>
        <v/>
      </c>
      <c r="G26" s="99">
        <f>G24-G25-G23</f>
        <v/>
      </c>
    </row>
    <row r="28" ht="15.4" customHeight="1" s="90">
      <c r="B28" s="3" t="inlineStr">
        <is>
          <t>Implied CAC spend (£)</t>
        </is>
      </c>
      <c r="C28">
        <f>C19*D15</f>
        <v/>
      </c>
      <c r="D28">
        <f>(D19-C19)*D15</f>
        <v/>
      </c>
      <c r="E28">
        <f>(E19-D19)*D15</f>
        <v/>
      </c>
      <c r="F28">
        <f>(F19-E19)*D15</f>
        <v/>
      </c>
      <c r="G28">
        <f>(G19-F19)*D15</f>
        <v/>
      </c>
    </row>
    <row r="29" ht="26.25" customHeight="1" s="90">
      <c r="B29" s="12" t="inlineStr">
        <is>
          <t>Scenario</t>
        </is>
      </c>
      <c r="C29" s="12" t="inlineStr">
        <is>
          <t>Active creators Y5</t>
        </is>
      </c>
      <c r="D29" s="12" t="inlineStr">
        <is>
          <t>GBV/creator</t>
        </is>
      </c>
      <c r="E29" s="12" t="inlineStr">
        <is>
          <t>GBV Y5</t>
        </is>
      </c>
      <c r="F29" s="12" t="inlineStr">
        <is>
          <t>Take Y5</t>
        </is>
      </c>
      <c r="G29" s="12" t="inlineStr">
        <is>
          <t>Net rev Y5</t>
        </is>
      </c>
      <c r="H29" s="12" t="inlineStr">
        <is>
          <t>vs Base</t>
        </is>
      </c>
    </row>
    <row r="30">
      <c r="B30" s="17" t="inlineStr">
        <is>
          <t>Bear</t>
        </is>
      </c>
      <c r="C30" s="23">
        <f>C11</f>
        <v/>
      </c>
      <c r="D30" s="42">
        <f>C12</f>
        <v/>
      </c>
      <c r="E30" s="45">
        <f>C30*D30</f>
        <v/>
      </c>
      <c r="F30" s="97">
        <f>'6. Cohort Maturity'!$G$26</f>
        <v/>
      </c>
      <c r="G30" s="43">
        <f>E30*F30</f>
        <v/>
      </c>
      <c r="H30" s="46">
        <f>G30/G31-1</f>
        <v/>
      </c>
    </row>
    <row r="31">
      <c r="B31" s="17" t="inlineStr">
        <is>
          <t>Base</t>
        </is>
      </c>
      <c r="C31" s="23">
        <f>D11</f>
        <v/>
      </c>
      <c r="D31" s="42">
        <f>D12</f>
        <v/>
      </c>
      <c r="E31" s="45">
        <f>C31*D31</f>
        <v/>
      </c>
      <c r="F31" s="97">
        <f>'6. Cohort Maturity'!$G$26</f>
        <v/>
      </c>
      <c r="G31" s="43">
        <f>E31*F31</f>
        <v/>
      </c>
      <c r="H31" s="47">
        <f>G31/G31-1</f>
        <v/>
      </c>
    </row>
    <row r="32">
      <c r="B32" s="17" t="inlineStr">
        <is>
          <t>Bull</t>
        </is>
      </c>
      <c r="C32" s="23">
        <f>E11</f>
        <v/>
      </c>
      <c r="D32" s="42">
        <f>E12</f>
        <v/>
      </c>
      <c r="E32" s="45">
        <f>C32*D32</f>
        <v/>
      </c>
      <c r="F32" s="97">
        <f>'6. Cohort Maturity'!$G$26</f>
        <v/>
      </c>
      <c r="G32" s="43">
        <f>E32*F32</f>
        <v/>
      </c>
      <c r="H32" s="48">
        <f>G32/G31-1</f>
        <v/>
      </c>
    </row>
    <row r="33">
      <c r="B33" s="83" t="inlineStr">
        <is>
          <t>Global Viral</t>
        </is>
      </c>
      <c r="C33" s="80">
        <f>F11</f>
        <v/>
      </c>
      <c r="D33" s="80">
        <f>F12</f>
        <v/>
      </c>
      <c r="E33" s="80">
        <f>C33*D33</f>
        <v/>
      </c>
      <c r="F33" s="96">
        <f>'6. Cohort Maturity'!$G$26</f>
        <v/>
      </c>
      <c r="G33" s="80">
        <f>E33*F33</f>
        <v/>
      </c>
      <c r="H33" s="80">
        <f>G33/G31-1</f>
        <v/>
      </c>
    </row>
  </sheetData>
  <printOptions horizontalCentered="1"/>
  <pageMargins left="0.3" right="0.3" top="0.4" bottom="0.4" header="0.5" footer="0.5"/>
  <pageSetup orientation="landscape" paperSize="9" fitToHeight="0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B2:H35"/>
  <sheetViews>
    <sheetView workbookViewId="0">
      <selection activeCell="A1" sqref="A1"/>
    </sheetView>
  </sheetViews>
  <sheetFormatPr baseColWidth="8" defaultRowHeight="14.25"/>
  <cols>
    <col width="2" customWidth="1" style="90" min="1" max="1"/>
    <col width="26" customWidth="1" style="90" min="2" max="2"/>
    <col width="14" customWidth="1" style="90" min="3" max="7"/>
    <col width="35" customWidth="1" style="90" min="8" max="8"/>
  </cols>
  <sheetData>
    <row r="2" ht="22.5" customHeight="1" s="90">
      <c r="B2" s="1" t="inlineStr">
        <is>
          <t>Creator cohort maturity &amp; tier mix</t>
        </is>
      </c>
    </row>
    <row r="3">
      <c r="B3" s="2" t="inlineStr">
        <is>
          <t>How the creator base evolves Y1 → Y5 — drives blended take-rate</t>
        </is>
      </c>
    </row>
    <row r="5" ht="15.4" customHeight="1" s="90">
      <c r="B5" s="3" t="inlineStr">
        <is>
          <t>Tier mix by year (% of active creators)</t>
        </is>
      </c>
    </row>
    <row r="6">
      <c r="B6" s="12" t="inlineStr">
        <is>
          <t>Tier</t>
        </is>
      </c>
      <c r="C6" s="12" t="inlineStr">
        <is>
          <t>Y1</t>
        </is>
      </c>
      <c r="D6" s="12" t="inlineStr">
        <is>
          <t>Y2</t>
        </is>
      </c>
      <c r="E6" s="12" t="inlineStr">
        <is>
          <t>Y3</t>
        </is>
      </c>
      <c r="F6" s="12" t="inlineStr">
        <is>
          <t>Y4</t>
        </is>
      </c>
      <c r="G6" s="12" t="inlineStr">
        <is>
          <t>Y5</t>
        </is>
      </c>
      <c r="H6" s="12" t="inlineStr">
        <is>
          <t>Definition</t>
        </is>
      </c>
    </row>
    <row r="7">
      <c r="B7" s="4" t="inlineStr">
        <is>
          <t>Founding (first 500)</t>
        </is>
      </c>
      <c r="C7" s="7" t="n">
        <v>1</v>
      </c>
      <c r="D7" s="7" t="n">
        <v>0.45</v>
      </c>
      <c r="E7" s="7" t="n">
        <v>0.22</v>
      </c>
      <c r="F7" s="7" t="n">
        <v>0.12</v>
      </c>
      <c r="G7" s="7" t="n">
        <v>0.08</v>
      </c>
      <c r="H7" s="6" t="inlineStr">
        <is>
          <t>First 500 creators — locked 50% share for life</t>
        </is>
      </c>
    </row>
    <row r="8">
      <c r="B8" s="4" t="inlineStr">
        <is>
          <t>Power (&gt;£25k rolling 12mo GBV)</t>
        </is>
      </c>
      <c r="C8" s="7" t="n">
        <v>0</v>
      </c>
      <c r="D8" s="7" t="n">
        <v>0.05</v>
      </c>
      <c r="E8" s="7" t="n">
        <v>0.18</v>
      </c>
      <c r="F8" s="7" t="n">
        <v>0.28</v>
      </c>
      <c r="G8" s="7" t="n">
        <v>0.34</v>
      </c>
      <c r="H8" s="6" t="inlineStr">
        <is>
          <t>Top performers — 50% share retained</t>
        </is>
      </c>
    </row>
    <row r="9">
      <c r="B9" s="4" t="inlineStr">
        <is>
          <t>New (&lt;6mo on platform)</t>
        </is>
      </c>
      <c r="C9" s="7" t="n">
        <v>0</v>
      </c>
      <c r="D9" s="7" t="n">
        <v>0.35</v>
      </c>
      <c r="E9" s="7" t="n">
        <v>0.2</v>
      </c>
      <c r="F9" s="7" t="n">
        <v>0.1</v>
      </c>
      <c r="G9" s="7" t="n">
        <v>0.08</v>
      </c>
      <c r="H9" s="6" t="inlineStr">
        <is>
          <t>Onboarding period — 50% share</t>
        </is>
      </c>
    </row>
    <row r="10">
      <c r="B10" s="4" t="inlineStr">
        <is>
          <t>Maturing (6-18mo)</t>
        </is>
      </c>
      <c r="C10" s="7" t="n">
        <v>0</v>
      </c>
      <c r="D10" s="7" t="n">
        <v>0.15</v>
      </c>
      <c r="E10" s="7" t="n">
        <v>0.3</v>
      </c>
      <c r="F10" s="7" t="n">
        <v>0.25</v>
      </c>
      <c r="G10" s="7" t="n">
        <v>0.18</v>
      </c>
      <c r="H10" s="6" t="inlineStr">
        <is>
          <t>Stepped down to 40%</t>
        </is>
      </c>
    </row>
    <row r="11">
      <c r="B11" s="4" t="inlineStr">
        <is>
          <t>Mature (&gt;18mo, non-power)</t>
        </is>
      </c>
      <c r="C11" s="7" t="n">
        <v>0</v>
      </c>
      <c r="D11" s="7" t="n">
        <v>0</v>
      </c>
      <c r="E11" s="7" t="n">
        <v>0.1</v>
      </c>
      <c r="F11" s="7" t="n">
        <v>0.25</v>
      </c>
      <c r="G11" s="7" t="n">
        <v>0.32</v>
      </c>
      <c r="H11" s="6" t="inlineStr">
        <is>
          <t>Stepped down to 30%</t>
        </is>
      </c>
    </row>
    <row r="12">
      <c r="B12" s="17" t="inlineStr">
        <is>
          <t>Total (must = 100%)</t>
        </is>
      </c>
      <c r="C12" s="19">
        <f>SUM(C7:C11)</f>
        <v/>
      </c>
      <c r="D12" s="19">
        <f>SUM(D7:D11)</f>
        <v/>
      </c>
      <c r="E12" s="19">
        <f>SUM(E7:E11)</f>
        <v/>
      </c>
      <c r="F12" s="19">
        <f>SUM(F7:F11)</f>
        <v/>
      </c>
      <c r="G12" s="19">
        <f>SUM(G7:G11)</f>
        <v/>
      </c>
    </row>
    <row r="14" ht="15.4" customHeight="1" s="90">
      <c r="B14" s="3" t="inlineStr">
        <is>
          <t>Creator share of 8% commission (by tier)</t>
        </is>
      </c>
    </row>
    <row r="15" ht="26.25" customHeight="1" s="90">
      <c r="B15" s="12" t="inlineStr">
        <is>
          <t>Tier</t>
        </is>
      </c>
      <c r="C15" s="12" t="inlineStr">
        <is>
          <t>Creator share %</t>
        </is>
      </c>
      <c r="D15" s="12" t="inlineStr">
        <is>
          <t>Travidz share %</t>
        </is>
      </c>
      <c r="E15" s="12" t="n"/>
      <c r="F15" s="12" t="n"/>
      <c r="G15" s="12" t="n"/>
      <c r="H15" s="12" t="inlineStr">
        <is>
          <t>Note</t>
        </is>
      </c>
    </row>
    <row r="16">
      <c r="B16" s="4" t="inlineStr">
        <is>
          <t>Founding (first 500)</t>
        </is>
      </c>
      <c r="C16" s="7" t="n">
        <v>0.5</v>
      </c>
      <c r="D16" s="38">
        <f>1-C16</f>
        <v/>
      </c>
    </row>
    <row r="17">
      <c r="B17" s="4" t="inlineStr">
        <is>
          <t>Power (&gt;£25k rolling 12mo GBV)</t>
        </is>
      </c>
      <c r="C17" s="7" t="n">
        <v>0.5</v>
      </c>
      <c r="D17" s="38">
        <f>1-C17</f>
        <v/>
      </c>
    </row>
    <row r="18">
      <c r="B18" s="4" t="inlineStr">
        <is>
          <t>New (&lt;6mo on platform)</t>
        </is>
      </c>
      <c r="C18" s="7" t="n">
        <v>0.5</v>
      </c>
      <c r="D18" s="38">
        <f>1-C18</f>
        <v/>
      </c>
    </row>
    <row r="19">
      <c r="B19" s="4" t="inlineStr">
        <is>
          <t>Maturing (6-18mo)</t>
        </is>
      </c>
      <c r="C19" s="7" t="n">
        <v>0.4</v>
      </c>
      <c r="D19" s="38">
        <f>1-C19</f>
        <v/>
      </c>
    </row>
    <row r="20">
      <c r="B20" s="4" t="inlineStr">
        <is>
          <t>Mature (&gt;18mo, non-power)</t>
        </is>
      </c>
      <c r="C20" s="7" t="n">
        <v>0.3</v>
      </c>
      <c r="D20" s="38">
        <f>1-C20</f>
        <v/>
      </c>
    </row>
    <row r="22" ht="15.4" customHeight="1" s="90">
      <c r="B22" s="3" t="inlineStr">
        <is>
          <t>Blended Travidz take rate by year</t>
        </is>
      </c>
    </row>
    <row r="23">
      <c r="B23" s="12" t="n"/>
      <c r="C23" s="12" t="inlineStr">
        <is>
          <t>Y1</t>
        </is>
      </c>
      <c r="D23" s="12" t="inlineStr">
        <is>
          <t>Y2</t>
        </is>
      </c>
      <c r="E23" s="12" t="inlineStr">
        <is>
          <t>Y3</t>
        </is>
      </c>
      <c r="F23" s="12" t="inlineStr">
        <is>
          <t>Y4</t>
        </is>
      </c>
      <c r="G23" s="12" t="inlineStr">
        <is>
          <t>Y5</t>
        </is>
      </c>
      <c r="H23" s="12" t="inlineStr">
        <is>
          <t>Formula</t>
        </is>
      </c>
    </row>
    <row r="24">
      <c r="B24" s="4" t="inlineStr">
        <is>
          <t>Blended creator share of 8%</t>
        </is>
      </c>
      <c r="C24" s="38">
        <f>SUMPRODUCT(C7:C11,$C$16:$C$20)</f>
        <v/>
      </c>
      <c r="D24" s="38">
        <f>SUMPRODUCT(D7:D11,$C$16:$C$20)</f>
        <v/>
      </c>
      <c r="E24" s="38">
        <f>SUMPRODUCT(E7:E11,$C$16:$C$20)</f>
        <v/>
      </c>
      <c r="F24" s="38">
        <f>SUMPRODUCT(F7:F11,$C$16:$C$20)</f>
        <v/>
      </c>
      <c r="G24" s="38">
        <f>SUMPRODUCT(G7:G11,$C$16:$C$20)</f>
        <v/>
      </c>
    </row>
    <row r="25">
      <c r="B25" s="4" t="inlineStr">
        <is>
          <t>Blended Travidz share of 8%</t>
        </is>
      </c>
      <c r="C25" s="38">
        <f>1-C24</f>
        <v/>
      </c>
      <c r="D25" s="38">
        <f>1-D24</f>
        <v/>
      </c>
      <c r="E25" s="38">
        <f>1-E24</f>
        <v/>
      </c>
      <c r="F25" s="38">
        <f>1-F24</f>
        <v/>
      </c>
      <c r="G25" s="38">
        <f>1-G24</f>
        <v/>
      </c>
    </row>
    <row r="26">
      <c r="B26" s="17" t="inlineStr">
        <is>
          <t>Blended Travidz take rate (net of Stripe × Travidz share)</t>
        </is>
      </c>
      <c r="C26" s="100">
        <f>('1. Cover'!$C$20 - ('1. Cover'!$C$26 + '1. Cover'!$C$27/'1. Cover'!$C$28))*C25</f>
        <v/>
      </c>
      <c r="D26" s="100">
        <f>('1. Cover'!$C$20 - ('1. Cover'!$C$26 + '1. Cover'!$C$27/'1. Cover'!$C$28))*D25</f>
        <v/>
      </c>
      <c r="E26" s="100">
        <f>('1. Cover'!$C$20 - ('1. Cover'!$C$26 + '1. Cover'!$C$27/'1. Cover'!$C$28))*E25</f>
        <v/>
      </c>
      <c r="F26" s="100">
        <f>('1. Cover'!$C$20 - ('1. Cover'!$C$26 + '1. Cover'!$C$27/'1. Cover'!$C$28))*F25</f>
        <v/>
      </c>
      <c r="G26" s="100">
        <f>('1. Cover'!$C$20 - ('1. Cover'!$C$26 + '1. Cover'!$C$27/'1. Cover'!$C$28))*G25</f>
        <v/>
      </c>
      <c r="H26" t="inlineStr">
        <is>
          <t>Stripe 2.9% + £0.20/txn shared off the top, then tier-blended split</t>
        </is>
      </c>
    </row>
    <row r="27">
      <c r="B27" t="inlineStr">
        <is>
          <t>Blended creator take rate (net of Stripe × creator share)</t>
        </is>
      </c>
      <c r="C27" s="96">
        <f>('1. Cover'!$C$20 - ('1. Cover'!$C$26 + '1. Cover'!$C$27/'1. Cover'!$C$28))*C24</f>
        <v/>
      </c>
      <c r="D27" s="96">
        <f>('1. Cover'!$C$20 - ('1. Cover'!$C$26 + '1. Cover'!$C$27/'1. Cover'!$C$28))*D24</f>
        <v/>
      </c>
      <c r="E27" s="96">
        <f>('1. Cover'!$C$20 - ('1. Cover'!$C$26 + '1. Cover'!$C$27/'1. Cover'!$C$28))*E24</f>
        <v/>
      </c>
      <c r="F27" s="96">
        <f>('1. Cover'!$C$20 - ('1. Cover'!$C$26 + '1. Cover'!$C$27/'1. Cover'!$C$28))*F24</f>
        <v/>
      </c>
      <c r="G27" s="96">
        <f>('1. Cover'!$C$20 - ('1. Cover'!$C$26 + '1. Cover'!$C$27/'1. Cover'!$C$28))*G24</f>
        <v/>
      </c>
      <c r="H27" t="inlineStr">
        <is>
          <t>Creator share of net (post-Stripe) pool</t>
        </is>
      </c>
    </row>
    <row r="28" ht="15.4" customHeight="1" s="90">
      <c r="B28" s="3" t="inlineStr">
        <is>
          <t>Active creators by tier (count)</t>
        </is>
      </c>
    </row>
    <row r="29">
      <c r="B29" s="12" t="inlineStr">
        <is>
          <t>Tier</t>
        </is>
      </c>
      <c r="C29" s="12" t="inlineStr">
        <is>
          <t>Y1</t>
        </is>
      </c>
      <c r="D29" s="12" t="inlineStr">
        <is>
          <t>Y2</t>
        </is>
      </c>
      <c r="E29" s="12" t="inlineStr">
        <is>
          <t>Y3</t>
        </is>
      </c>
      <c r="F29" s="12" t="inlineStr">
        <is>
          <t>Y4</t>
        </is>
      </c>
      <c r="G29" s="12" t="inlineStr">
        <is>
          <t>Y5</t>
        </is>
      </c>
      <c r="H29" s="12" t="n"/>
    </row>
    <row r="30">
      <c r="B30" s="4" t="inlineStr">
        <is>
          <t>Founding (first 500)</t>
        </is>
      </c>
      <c r="C30" s="50">
        <f>C7*'5. SOM'!$C$19</f>
        <v/>
      </c>
      <c r="D30" s="50">
        <f>D7*'5. SOM'!$D$19</f>
        <v/>
      </c>
      <c r="E30" s="50">
        <f>E7*'5. SOM'!$E$19</f>
        <v/>
      </c>
      <c r="F30" s="50">
        <f>F7*'5. SOM'!$F$19</f>
        <v/>
      </c>
      <c r="G30" s="50">
        <f>G7*'5. SOM'!$G$19</f>
        <v/>
      </c>
    </row>
    <row r="31">
      <c r="B31" s="4" t="inlineStr">
        <is>
          <t>Power (&gt;£25k rolling 12mo GBV)</t>
        </is>
      </c>
      <c r="C31" s="50">
        <f>C8*'5. SOM'!$C$19</f>
        <v/>
      </c>
      <c r="D31" s="50">
        <f>D8*'5. SOM'!$D$19</f>
        <v/>
      </c>
      <c r="E31" s="50">
        <f>E8*'5. SOM'!$E$19</f>
        <v/>
      </c>
      <c r="F31" s="50">
        <f>F8*'5. SOM'!$F$19</f>
        <v/>
      </c>
      <c r="G31" s="50">
        <f>G8*'5. SOM'!$G$19</f>
        <v/>
      </c>
    </row>
    <row r="32">
      <c r="B32" s="4" t="inlineStr">
        <is>
          <t>New (&lt;6mo on platform)</t>
        </is>
      </c>
      <c r="C32" s="50">
        <f>C9*'5. SOM'!$C$19</f>
        <v/>
      </c>
      <c r="D32" s="50">
        <f>D9*'5. SOM'!$D$19</f>
        <v/>
      </c>
      <c r="E32" s="50">
        <f>E9*'5. SOM'!$E$19</f>
        <v/>
      </c>
      <c r="F32" s="50">
        <f>F9*'5. SOM'!$F$19</f>
        <v/>
      </c>
      <c r="G32" s="50">
        <f>G9*'5. SOM'!$G$19</f>
        <v/>
      </c>
    </row>
    <row r="33">
      <c r="B33" s="4" t="inlineStr">
        <is>
          <t>Maturing (6-18mo)</t>
        </is>
      </c>
      <c r="C33" s="50">
        <f>C10*'5. SOM'!$C$19</f>
        <v/>
      </c>
      <c r="D33" s="50">
        <f>D10*'5. SOM'!$D$19</f>
        <v/>
      </c>
      <c r="E33" s="50">
        <f>E10*'5. SOM'!$E$19</f>
        <v/>
      </c>
      <c r="F33" s="50">
        <f>F10*'5. SOM'!$F$19</f>
        <v/>
      </c>
      <c r="G33" s="50">
        <f>G10*'5. SOM'!$G$19</f>
        <v/>
      </c>
    </row>
    <row r="34">
      <c r="B34" s="4" t="inlineStr">
        <is>
          <t>Mature (&gt;18mo, non-power)</t>
        </is>
      </c>
      <c r="C34" s="50">
        <f>C11*'5. SOM'!$C$19</f>
        <v/>
      </c>
      <c r="D34" s="50">
        <f>D11*'5. SOM'!$D$19</f>
        <v/>
      </c>
      <c r="E34" s="50">
        <f>E11*'5. SOM'!$E$19</f>
        <v/>
      </c>
      <c r="F34" s="50">
        <f>F11*'5. SOM'!$F$19</f>
        <v/>
      </c>
      <c r="G34" s="50">
        <f>G11*'5. SOM'!$G$19</f>
        <v/>
      </c>
    </row>
    <row r="35">
      <c r="B35" s="17" t="inlineStr">
        <is>
          <t>Total active creators</t>
        </is>
      </c>
      <c r="C35" s="51">
        <f>SUM(C30:C34)</f>
        <v/>
      </c>
      <c r="D35" s="51">
        <f>SUM(D30:D34)</f>
        <v/>
      </c>
      <c r="E35" s="51">
        <f>SUM(E30:E34)</f>
        <v/>
      </c>
      <c r="F35" s="51">
        <f>SUM(F30:F34)</f>
        <v/>
      </c>
      <c r="G35" s="51">
        <f>SUM(G30:G34)</f>
        <v/>
      </c>
    </row>
  </sheetData>
  <printOptions horizontalCentered="1"/>
  <pageMargins left="0.3" right="0.3" top="0.4" bottom="0.4" header="0.5" footer="0.5"/>
  <pageSetup orientation="landscape" paperSize="9" fitToHeight="0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B2:H22"/>
  <sheetViews>
    <sheetView workbookViewId="0">
      <selection activeCell="G9" sqref="G9"/>
    </sheetView>
  </sheetViews>
  <sheetFormatPr baseColWidth="8" defaultRowHeight="14.25"/>
  <cols>
    <col width="2" customWidth="1" style="90" min="1" max="1"/>
    <col width="32" customWidth="1" style="90" min="2" max="2"/>
    <col width="14" customWidth="1" style="90" min="3" max="7"/>
    <col width="35" customWidth="1" style="90" min="8" max="8"/>
  </cols>
  <sheetData>
    <row r="2" ht="22.5" customHeight="1" s="90">
      <c r="B2" s="1" t="inlineStr">
        <is>
          <t>Revenue engine — commission stack &amp; ARPU</t>
        </is>
      </c>
    </row>
    <row r="3">
      <c r="B3" s="2" t="inlineStr">
        <is>
          <t>Per-creator economics and monthly run-rate evolution</t>
        </is>
      </c>
    </row>
    <row r="5" ht="15.4" customHeight="1" s="90">
      <c r="B5" s="3" t="inlineStr">
        <is>
          <t>P&amp;L stack (annual, £)</t>
        </is>
      </c>
    </row>
    <row r="6">
      <c r="B6" s="12" t="inlineStr">
        <is>
          <t>Metric</t>
        </is>
      </c>
      <c r="C6" s="12" t="inlineStr">
        <is>
          <t>Y1</t>
        </is>
      </c>
      <c r="D6" s="12" t="inlineStr">
        <is>
          <t>Y2</t>
        </is>
      </c>
      <c r="E6" s="12" t="inlineStr">
        <is>
          <t>Y3</t>
        </is>
      </c>
      <c r="F6" s="12" t="inlineStr">
        <is>
          <t>Y4</t>
        </is>
      </c>
      <c r="G6" s="12" t="inlineStr">
        <is>
          <t>Y5</t>
        </is>
      </c>
      <c r="H6" s="12" t="n"/>
    </row>
    <row r="7">
      <c r="B7" s="4" t="inlineStr">
        <is>
          <t>GBV</t>
        </is>
      </c>
      <c r="C7" s="29">
        <f>'5. SOM'!$C$21</f>
        <v/>
      </c>
      <c r="D7" s="29">
        <f>'5. SOM'!$D$21</f>
        <v/>
      </c>
      <c r="E7" s="29">
        <f>'5. SOM'!$E$21</f>
        <v/>
      </c>
      <c r="F7" s="29">
        <f>'5. SOM'!$F$21</f>
        <v/>
      </c>
      <c r="G7" s="29">
        <f>'5. SOM'!$G$21</f>
        <v/>
      </c>
    </row>
    <row r="8">
      <c r="B8" s="4" t="inlineStr">
        <is>
          <t>Gross commission (11%)</t>
        </is>
      </c>
      <c r="C8" s="98">
        <f>C7*'1. Cover'!$C$20</f>
        <v/>
      </c>
      <c r="D8" s="98">
        <f>D7*'1. Cover'!$C$20</f>
        <v/>
      </c>
      <c r="E8" s="98">
        <f>E7*'1. Cover'!$C$20</f>
        <v/>
      </c>
      <c r="F8" s="98">
        <f>F7*'1. Cover'!$C$20</f>
        <v/>
      </c>
      <c r="G8" s="98">
        <f>G7*'1. Cover'!$C$20</f>
        <v/>
      </c>
    </row>
    <row r="9">
      <c r="B9" s="4" t="inlineStr">
        <is>
          <t>Less: Stripe processing (shared)</t>
        </is>
      </c>
      <c r="C9" s="98">
        <f>C7*'1. Cover'!$C$26 + (C7/'1. Cover'!$C$28)*'1. Cover'!$C$27</f>
        <v/>
      </c>
      <c r="D9" s="98">
        <f>D7*'1. Cover'!$C$26 + (D7/'1. Cover'!$C$28)*'1. Cover'!$C$27</f>
        <v/>
      </c>
      <c r="E9" s="98">
        <f>E7*'1. Cover'!$C$26 + (E7/'1. Cover'!$C$28)*'1. Cover'!$C$27</f>
        <v/>
      </c>
      <c r="F9" s="98">
        <f>F7*'1. Cover'!$C$26 + (F7/'1. Cover'!$C$28)*'1. Cover'!$C$27</f>
        <v/>
      </c>
      <c r="G9" s="98">
        <f>G7*'1. Cover'!$C$26 + (G7/'1. Cover'!$C$28)*'1. Cover'!$C$27</f>
        <v/>
      </c>
    </row>
    <row r="10">
      <c r="B10" s="17" t="inlineStr">
        <is>
          <t>Creator payout (post-Stripe × creator share)</t>
        </is>
      </c>
      <c r="C10" s="101">
        <f>(C8-C9)*'6. Cohort Maturity'!C24</f>
        <v/>
      </c>
      <c r="D10" s="101">
        <f>(D8-D9)*'6. Cohort Maturity'!D24</f>
        <v/>
      </c>
      <c r="E10" s="101">
        <f>(E8-E9)*'6. Cohort Maturity'!E24</f>
        <v/>
      </c>
      <c r="F10" s="101">
        <f>(F8-F9)*'6. Cohort Maturity'!F24</f>
        <v/>
      </c>
      <c r="G10" s="101">
        <f>(G8-G9)*'6. Cohort Maturity'!G24</f>
        <v/>
      </c>
    </row>
    <row r="11">
      <c r="B11" s="4" t="inlineStr">
        <is>
          <t>Travidz net revenue</t>
        </is>
      </c>
      <c r="C11" s="102">
        <f>C8-C9-C10</f>
        <v/>
      </c>
      <c r="D11" s="102">
        <f>D8-D9-D10</f>
        <v/>
      </c>
      <c r="E11" s="102">
        <f>E8-E9-E10</f>
        <v/>
      </c>
      <c r="F11" s="102">
        <f>F8-F9-F10</f>
        <v/>
      </c>
      <c r="G11" s="102">
        <f>G8-G9-G10</f>
        <v/>
      </c>
    </row>
    <row r="12">
      <c r="B12" t="inlineStr">
        <is>
          <t>Blended take rate (Net ÷ GBV)</t>
        </is>
      </c>
      <c r="C12" s="103">
        <f>C11/C7</f>
        <v/>
      </c>
      <c r="D12" s="103">
        <f>D11/D7</f>
        <v/>
      </c>
      <c r="E12" s="103">
        <f>E11/E7</f>
        <v/>
      </c>
      <c r="F12" s="103">
        <f>F11/F7</f>
        <v/>
      </c>
      <c r="G12" s="103">
        <f>G11/G7</f>
        <v/>
      </c>
    </row>
    <row r="13" ht="15.4" customHeight="1" s="90">
      <c r="B13" s="3" t="inlineStr">
        <is>
          <t>Per-active-creator economics</t>
        </is>
      </c>
    </row>
    <row r="14">
      <c r="B14" s="12" t="inlineStr">
        <is>
          <t>Metric</t>
        </is>
      </c>
      <c r="C14" s="12" t="inlineStr">
        <is>
          <t>Y1</t>
        </is>
      </c>
      <c r="D14" s="12" t="inlineStr">
        <is>
          <t>Y2</t>
        </is>
      </c>
      <c r="E14" s="12" t="inlineStr">
        <is>
          <t>Y3</t>
        </is>
      </c>
      <c r="F14" s="12" t="inlineStr">
        <is>
          <t>Y4</t>
        </is>
      </c>
      <c r="G14" s="12" t="inlineStr">
        <is>
          <t>Y5</t>
        </is>
      </c>
      <c r="H14" s="12" t="n"/>
    </row>
    <row r="15">
      <c r="B15" s="4" t="inlineStr">
        <is>
          <t>Active creators (EOY)</t>
        </is>
      </c>
      <c r="C15" s="23">
        <f>'5. SOM'!$C$19</f>
        <v/>
      </c>
      <c r="D15" s="23">
        <f>'5. SOM'!$D$19</f>
        <v/>
      </c>
      <c r="E15" s="23">
        <f>'5. SOM'!$E$19</f>
        <v/>
      </c>
      <c r="F15" s="23">
        <f>'5. SOM'!$F$19</f>
        <v/>
      </c>
      <c r="G15" s="23">
        <f>'5. SOM'!$G$19</f>
        <v/>
      </c>
    </row>
    <row r="16">
      <c r="B16" s="4" t="inlineStr">
        <is>
          <t>GBV per creator / yr (£)</t>
        </is>
      </c>
      <c r="C16" s="16">
        <f>C7/C15</f>
        <v/>
      </c>
      <c r="D16" s="16">
        <f>D7/D15</f>
        <v/>
      </c>
      <c r="E16" s="16">
        <f>E7/E15</f>
        <v/>
      </c>
      <c r="F16" s="16">
        <f>F7/F15</f>
        <v/>
      </c>
      <c r="G16" s="16">
        <f>G7/G15</f>
        <v/>
      </c>
    </row>
    <row r="17">
      <c r="B17" s="17" t="inlineStr">
        <is>
          <t>Travidz net per creator / yr (£)</t>
        </is>
      </c>
      <c r="C17" s="53">
        <f>C11/C15</f>
        <v/>
      </c>
      <c r="D17" s="53">
        <f>D11/D15</f>
        <v/>
      </c>
      <c r="E17" s="53">
        <f>E11/E15</f>
        <v/>
      </c>
      <c r="F17" s="53">
        <f>F11/F15</f>
        <v/>
      </c>
      <c r="G17" s="53">
        <f>G11/G15</f>
        <v/>
      </c>
    </row>
    <row r="18">
      <c r="B18" s="4" t="inlineStr">
        <is>
          <t>Creator earnings / yr (£)</t>
        </is>
      </c>
      <c r="C18" s="16">
        <f>C10/C15</f>
        <v/>
      </c>
      <c r="D18" s="16">
        <f>D10/D15</f>
        <v/>
      </c>
      <c r="E18" s="16">
        <f>E10/E15</f>
        <v/>
      </c>
      <c r="F18" s="16">
        <f>F10/F15</f>
        <v/>
      </c>
      <c r="G18" s="16">
        <f>G10/G15</f>
        <v/>
      </c>
    </row>
    <row r="20" ht="15.4" customHeight="1" s="90">
      <c r="B20" s="3" t="inlineStr">
        <is>
          <t>Monthly run-rate (EOY)</t>
        </is>
      </c>
    </row>
    <row r="21">
      <c r="B21" s="12" t="inlineStr">
        <is>
          <t>Metric</t>
        </is>
      </c>
      <c r="C21" s="12" t="inlineStr">
        <is>
          <t>Y1</t>
        </is>
      </c>
      <c r="D21" s="12" t="inlineStr">
        <is>
          <t>Y2</t>
        </is>
      </c>
      <c r="E21" s="12" t="inlineStr">
        <is>
          <t>Y3</t>
        </is>
      </c>
      <c r="F21" s="12" t="inlineStr">
        <is>
          <t>Y4</t>
        </is>
      </c>
      <c r="G21" s="12" t="inlineStr">
        <is>
          <t>Y5</t>
        </is>
      </c>
      <c r="H21" s="12" t="n"/>
    </row>
    <row r="22">
      <c r="B22" s="17" t="inlineStr">
        <is>
          <t>Travidz net MRR (£/mo)</t>
        </is>
      </c>
      <c r="C22" s="54">
        <f>C11/12</f>
        <v/>
      </c>
      <c r="D22" s="54">
        <f>D11/12</f>
        <v/>
      </c>
      <c r="E22" s="54">
        <f>E11/12</f>
        <v/>
      </c>
      <c r="F22" s="54">
        <f>F11/12</f>
        <v/>
      </c>
      <c r="G22" s="54">
        <f>G11/12</f>
        <v/>
      </c>
    </row>
  </sheetData>
  <printOptions horizontalCentered="1"/>
  <pageMargins left="0.3" right="0.3" top="0.4" bottom="0.4" header="0.5" footer="0.5"/>
  <pageSetup orientation="landscape" paperSize="9" fitToHeight="0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B2:F17"/>
  <sheetViews>
    <sheetView workbookViewId="0">
      <selection activeCell="A1" sqref="A1"/>
    </sheetView>
  </sheetViews>
  <sheetFormatPr baseColWidth="8" defaultRowHeight="14.25"/>
  <cols>
    <col width="2" customWidth="1" style="90" min="1" max="1"/>
    <col width="26" customWidth="1" style="90" min="2" max="2"/>
    <col width="18" customWidth="1" style="90" min="3" max="3"/>
    <col width="16" customWidth="1" style="90" min="4" max="4"/>
    <col width="32" customWidth="1" style="90" min="5" max="5"/>
    <col width="42" customWidth="1" style="90" min="6" max="6"/>
  </cols>
  <sheetData>
    <row r="2" ht="22.5" customHeight="1" s="90">
      <c r="B2" s="1" t="inlineStr">
        <is>
          <t>Competitive landscape</t>
        </is>
      </c>
    </row>
    <row r="3">
      <c r="B3" s="2" t="inlineStr">
        <is>
          <t>Take-rate and creator share vs Travidz</t>
        </is>
      </c>
    </row>
    <row r="5" ht="26.25" customHeight="1" s="90">
      <c r="B5" s="12" t="inlineStr">
        <is>
          <t>Company</t>
        </is>
      </c>
      <c r="C5" s="12" t="inlineStr">
        <is>
          <t>Category</t>
        </is>
      </c>
      <c r="D5" s="12" t="inlineStr">
        <is>
          <t>Operator take-rate</t>
        </is>
      </c>
      <c r="E5" s="12" t="inlineStr">
        <is>
          <t>Creator share of take</t>
        </is>
      </c>
      <c r="F5" s="12" t="inlineStr">
        <is>
          <t>Our edge / differentiation</t>
        </is>
      </c>
    </row>
    <row r="6" ht="30" customHeight="1" s="90">
      <c r="B6" s="17" t="inlineStr">
        <is>
          <t>Booking.com Affiliates</t>
        </is>
      </c>
      <c r="C6" s="4" t="inlineStr">
        <is>
          <t>Hotel OTA</t>
        </is>
      </c>
      <c r="D6" s="28" t="inlineStr">
        <is>
          <t>4-6%</t>
        </is>
      </c>
      <c r="E6" s="28" t="inlineStr">
        <is>
          <t>0% (no creator share)</t>
        </is>
      </c>
      <c r="F6" s="89" t="inlineStr">
        <is>
          <t>We pay creators 30-50% of commission — Booking pays affiliates a flat ~25% of OTA fee</t>
        </is>
      </c>
    </row>
    <row r="7" ht="30" customHeight="1" s="90">
      <c r="B7" s="55" t="inlineStr">
        <is>
          <t>TheFork</t>
        </is>
      </c>
      <c r="C7" s="31" t="inlineStr">
        <is>
          <t>Restaurant booking</t>
        </is>
      </c>
      <c r="D7" s="56" t="inlineStr">
        <is>
          <t>£2 per cover</t>
        </is>
      </c>
      <c r="E7" s="56" t="inlineStr">
        <is>
          <t>0%</t>
        </is>
      </c>
      <c r="F7" s="57" t="inlineStr">
        <is>
          <t>We expand beyond restaurants into stays + experiences with creator attribution</t>
        </is>
      </c>
    </row>
    <row r="8" ht="30" customHeight="1" s="90">
      <c r="B8" s="17" t="inlineStr">
        <is>
          <t>Klook</t>
        </is>
      </c>
      <c r="C8" s="4" t="inlineStr">
        <is>
          <t>Tours &amp; activities</t>
        </is>
      </c>
      <c r="D8" s="28" t="inlineStr">
        <is>
          <t>10-25%</t>
        </is>
      </c>
      <c r="E8" s="28" t="inlineStr">
        <is>
          <t>Variable affiliate (~5-10%)</t>
        </is>
      </c>
      <c r="F8" s="89" t="inlineStr">
        <is>
          <t>Klook is supply-led; we are creator-led with founding-500 NPS lock-in</t>
        </is>
      </c>
    </row>
    <row r="9" ht="30" customHeight="1" s="90">
      <c r="B9" s="55" t="inlineStr">
        <is>
          <t>GetYourGuide</t>
        </is>
      </c>
      <c r="C9" s="31" t="inlineStr">
        <is>
          <t>Tours &amp; activities</t>
        </is>
      </c>
      <c r="D9" s="56" t="inlineStr">
        <is>
          <t>20-25%</t>
        </is>
      </c>
      <c r="E9" s="56" t="inlineStr">
        <is>
          <t>8-10% affiliate share</t>
        </is>
      </c>
      <c r="F9" s="57" t="inlineStr">
        <is>
          <t>Same supply category, but we own the creator-led discovery loop</t>
        </is>
      </c>
    </row>
    <row r="10" ht="30" customHeight="1" s="90">
      <c r="B10" s="17" t="inlineStr">
        <is>
          <t>Headout</t>
        </is>
      </c>
      <c r="C10" s="4" t="inlineStr">
        <is>
          <t>Experiences</t>
        </is>
      </c>
      <c r="D10" s="28" t="inlineStr">
        <is>
          <t>15-20%</t>
        </is>
      </c>
      <c r="E10" s="28" t="inlineStr">
        <is>
          <t>Variable</t>
        </is>
      </c>
      <c r="F10" s="89" t="inlineStr">
        <is>
          <t>Headout is destination-led web; we are creator-led mobile-first</t>
        </is>
      </c>
    </row>
    <row r="11" ht="30" customHeight="1" s="90">
      <c r="B11" s="55" t="inlineStr">
        <is>
          <t>Tripadvisor Experiences</t>
        </is>
      </c>
      <c r="C11" s="31" t="inlineStr">
        <is>
          <t>Reviews + booking</t>
        </is>
      </c>
      <c r="D11" s="56" t="inlineStr">
        <is>
          <t>10-15%</t>
        </is>
      </c>
      <c r="E11" s="56" t="inlineStr">
        <is>
          <t>0%</t>
        </is>
      </c>
      <c r="F11" s="57" t="inlineStr">
        <is>
          <t>Reviews don't convert like creator endorsements; we close the loop</t>
        </is>
      </c>
    </row>
    <row r="12" ht="30" customHeight="1" s="90">
      <c r="B12" s="17" t="inlineStr">
        <is>
          <t>Airbnb Experiences</t>
        </is>
      </c>
      <c r="C12" s="4" t="inlineStr">
        <is>
          <t>Experiences</t>
        </is>
      </c>
      <c r="D12" s="28" t="inlineStr">
        <is>
          <t>20%</t>
        </is>
      </c>
      <c r="E12" s="28" t="inlineStr">
        <is>
          <t>0%</t>
        </is>
      </c>
      <c r="F12" s="89" t="inlineStr">
        <is>
          <t>Limited to hosts; we open the creator economy to any travel influencer</t>
        </is>
      </c>
    </row>
    <row r="13" ht="30" customHeight="1" s="90">
      <c r="B13" s="55" t="inlineStr">
        <is>
          <t>Loved By (creator travel)</t>
        </is>
      </c>
      <c r="C13" s="31" t="inlineStr">
        <is>
          <t>Direct competitor</t>
        </is>
      </c>
      <c r="D13" s="56" t="inlineStr">
        <is>
          <t>Unknown</t>
        </is>
      </c>
      <c r="E13" s="56" t="inlineStr">
        <is>
          <t>Unknown</t>
        </is>
      </c>
      <c r="F13" s="57" t="inlineStr">
        <is>
          <t>We have UK-first founding-500 lock-in and a clearer 50/40/30 tapered model</t>
        </is>
      </c>
    </row>
    <row r="16" ht="15.4" customHeight="1" s="90">
      <c r="B16" s="3" t="inlineStr">
        <is>
          <t>Strategic positioning summary</t>
        </is>
      </c>
    </row>
    <row r="17" ht="60" customHeight="1" s="90">
      <c r="B17" s="89" t="inlineStr">
        <is>
          <t>Travidz uniquely combines creator-led discovery (like Klook/GYG don't have) with above-market creator payouts (30-50% vs industry 5-25%) — building a defensible supply-side moat. The tapered 50/40/30 structure rewards long-term partners while protecting unit economics as the cohort matures.</t>
        </is>
      </c>
    </row>
  </sheetData>
  <mergeCells count="1">
    <mergeCell ref="B17:F17"/>
  </mergeCells>
  <printOptions horizontalCentered="1"/>
  <pageMargins left="0.3" right="0.3" top="0.4" bottom="0.4" header="0.5" footer="0.5"/>
  <pageSetup orientation="landscape" paperSize="9" fitToHeight="0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B2:E13"/>
  <sheetViews>
    <sheetView workbookViewId="0">
      <selection activeCell="A1" sqref="A1"/>
    </sheetView>
  </sheetViews>
  <sheetFormatPr baseColWidth="8" defaultRowHeight="14.25"/>
  <cols>
    <col width="2" customWidth="1" style="90" min="1" max="1"/>
    <col width="38" customWidth="1" style="90" min="2" max="2"/>
    <col width="21.3984375" bestFit="1" customWidth="1" style="90" min="3" max="3"/>
    <col width="55" customWidth="1" style="90" min="4" max="4"/>
    <col width="24" customWidth="1" style="90" min="5" max="5"/>
  </cols>
  <sheetData>
    <row r="2" ht="22.5" customHeight="1" s="90">
      <c r="B2" s="1" t="inlineStr">
        <is>
          <t>Market trends supporting the thesis</t>
        </is>
      </c>
    </row>
    <row r="3">
      <c r="B3" s="2" t="inlineStr">
        <is>
          <t>Why now: creator economy × mobile travel × post-pandemic short-break demand</t>
        </is>
      </c>
    </row>
    <row r="5">
      <c r="B5" s="12" t="inlineStr">
        <is>
          <t>Trend</t>
        </is>
      </c>
      <c r="C5" s="12" t="inlineStr">
        <is>
          <t>Data point</t>
        </is>
      </c>
      <c r="D5" s="12" t="inlineStr">
        <is>
          <t>Implication for Travidz</t>
        </is>
      </c>
      <c r="E5" s="12" t="inlineStr">
        <is>
          <t>Source</t>
        </is>
      </c>
    </row>
    <row r="6" ht="32" customHeight="1" s="90">
      <c r="B6" s="17" t="inlineStr">
        <is>
          <t>Creator-influenced travel spend</t>
        </is>
      </c>
      <c r="C6" s="28" t="inlineStr">
        <is>
          <t>$1.3T globally by 2027 (Skift)</t>
        </is>
      </c>
      <c r="D6" s="89" t="inlineStr">
        <is>
          <t>Massive tailwind for creator-led booking models; Travidz captures share early</t>
        </is>
      </c>
      <c r="E6" s="58" t="inlineStr">
        <is>
          <t>[S7] Skift Megatrends 2024</t>
        </is>
      </c>
    </row>
    <row r="7" ht="32" customHeight="1" s="90">
      <c r="B7" s="55" t="inlineStr">
        <is>
          <t>Gen Z / Millennials book via social</t>
        </is>
      </c>
      <c r="C7" s="56" t="inlineStr">
        <is>
          <t>78% start travel planning on social media</t>
        </is>
      </c>
      <c r="D7" s="57" t="inlineStr">
        <is>
          <t>Discovery layer is shifting from search → social → creator</t>
        </is>
      </c>
      <c r="E7" s="59" t="inlineStr">
        <is>
          <t>[S8] Expedia Path-to-Purchase 2023</t>
        </is>
      </c>
    </row>
    <row r="8" ht="32" customHeight="1" s="90">
      <c r="B8" s="17" t="inlineStr">
        <is>
          <t>UK staycation &amp; short-break growth</t>
        </is>
      </c>
      <c r="C8" s="28" t="inlineStr">
        <is>
          <t>+12% YoY in domestic overnight trips 2023</t>
        </is>
      </c>
      <c r="D8" s="89" t="inlineStr">
        <is>
          <t>Bookable component growing; UK domestic SAM expanding</t>
        </is>
      </c>
      <c r="E8" s="58" t="inlineStr">
        <is>
          <t>[S2] VisitBritain 2023</t>
        </is>
      </c>
    </row>
    <row r="9" ht="32" customHeight="1" s="90">
      <c r="B9" s="55" t="inlineStr">
        <is>
          <t>Mobile-first travel booking</t>
        </is>
      </c>
      <c r="C9" s="56" t="inlineStr">
        <is>
          <t>73% of UK leisure trips booked on mobile</t>
        </is>
      </c>
      <c r="D9" s="57" t="inlineStr">
        <is>
          <t>Mobile-first product wins; desktop OTAs losing share</t>
        </is>
      </c>
      <c r="E9" s="59" t="inlineStr">
        <is>
          <t>[S20] data.ai Mobile Travel 2024</t>
        </is>
      </c>
    </row>
    <row r="10" ht="32" customHeight="1" s="90">
      <c r="B10" s="17" t="inlineStr">
        <is>
          <t>Creator monetisation gap</t>
        </is>
      </c>
      <c r="C10" s="28" t="inlineStr">
        <is>
          <t>Avg travel creator earns &lt;£500/mo from affiliate</t>
        </is>
      </c>
      <c r="D10" s="89" t="inlineStr">
        <is>
          <t>30-50% commission is industry-leading — strong recruitment hook</t>
        </is>
      </c>
      <c r="E10" s="58" t="inlineStr">
        <is>
          <t>[S6] GWI Creator Economy 2024</t>
        </is>
      </c>
    </row>
    <row r="11" ht="32" customHeight="1" s="90">
      <c r="B11" s="55" t="inlineStr">
        <is>
          <t>Experience economy growth</t>
        </is>
      </c>
      <c r="C11" s="56" t="inlineStr">
        <is>
          <t>Tours/activities CAGR 11% 2023-2028</t>
        </is>
      </c>
      <c r="D11" s="57" t="inlineStr">
        <is>
          <t>Highest-take category (10-25%) is fastest-growing segment</t>
        </is>
      </c>
      <c r="E11" s="59" t="inlineStr">
        <is>
          <t>[S9] Phocuswright Experiences 2023</t>
        </is>
      </c>
    </row>
    <row r="12" ht="32" customHeight="1" s="90">
      <c r="B12" s="17" t="inlineStr">
        <is>
          <t>EU-5 creator economy maturity</t>
        </is>
      </c>
      <c r="C12" s="28" t="inlineStr">
        <is>
          <t>FR/DE/ES creator markets +25% YoY</t>
        </is>
      </c>
      <c r="D12" s="89" t="inlineStr">
        <is>
          <t>EU-5 expansion thesis (Y3+) validated by maturing influencer infra</t>
        </is>
      </c>
      <c r="E12" s="58" t="inlineStr">
        <is>
          <t>[S15] Eurostat + IAB Europe 2023</t>
        </is>
      </c>
    </row>
    <row r="13" ht="32" customHeight="1" s="90">
      <c r="B13" s="55" t="inlineStr">
        <is>
          <t>Direct-to-consumer travel</t>
        </is>
      </c>
      <c r="C13" s="56" t="inlineStr">
        <is>
          <t>47% of travellers prefer booking direct over OTAs</t>
        </is>
      </c>
      <c r="D13" s="57" t="inlineStr">
        <is>
          <t>Creator → direct booking flow bypasses OTA take entirely on long-tail supply</t>
        </is>
      </c>
      <c r="E13" s="59" t="inlineStr">
        <is>
          <t>[S9] Phocuswright Consumer 2023</t>
        </is>
      </c>
    </row>
  </sheetData>
  <printOptions horizontalCentered="1"/>
  <pageMargins left="0.3" right="0.3" top="0.4" bottom="0.4" header="0.5" footer="0.5"/>
  <pageSetup orientation="landscape" paperSize="9" fitToHeight="0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B2:G33"/>
  <sheetViews>
    <sheetView workbookViewId="0">
      <selection activeCell="I28" sqref="I28"/>
    </sheetView>
  </sheetViews>
  <sheetFormatPr baseColWidth="8" defaultRowHeight="14.25"/>
  <cols>
    <col width="2" customWidth="1" style="90" min="1" max="1"/>
    <col width="32" customWidth="1" style="90" min="2" max="2"/>
    <col width="16" customWidth="1" style="90" min="3" max="7"/>
  </cols>
  <sheetData>
    <row r="2" ht="22.5" customHeight="1" s="90">
      <c r="B2" s="1" t="inlineStr">
        <is>
          <t>Sensitivity — Y5 Travidz net revenue</t>
        </is>
      </c>
    </row>
    <row r="3">
      <c r="B3" s="2" t="inlineStr">
        <is>
          <t>Tornado on key drivers + two-way table (creators × GBV/creator)</t>
        </is>
      </c>
    </row>
    <row r="5" ht="15.4" customHeight="1" s="90">
      <c r="B5" s="3" t="inlineStr">
        <is>
          <t>Y5 Base net revenue</t>
        </is>
      </c>
    </row>
    <row r="6">
      <c r="B6" s="4" t="inlineStr">
        <is>
          <t>Base</t>
        </is>
      </c>
      <c r="C6" s="24">
        <f>'5. SOM'!$G$23</f>
        <v/>
      </c>
    </row>
    <row r="8" ht="15.4" customHeight="1" s="90">
      <c r="B8" s="3" t="inlineStr">
        <is>
          <t>One-way sensitivity (±20% on driver, Y5 net)</t>
        </is>
      </c>
    </row>
    <row r="9">
      <c r="B9" s="12" t="inlineStr">
        <is>
          <t>Driver</t>
        </is>
      </c>
      <c r="C9" s="12" t="inlineStr">
        <is>
          <t>-20%</t>
        </is>
      </c>
      <c r="D9" s="12" t="inlineStr">
        <is>
          <t>Base</t>
        </is>
      </c>
      <c r="E9" s="12" t="inlineStr">
        <is>
          <t>+20%</t>
        </is>
      </c>
      <c r="F9" s="12" t="inlineStr">
        <is>
          <t>Δ £ (range)</t>
        </is>
      </c>
      <c r="G9" s="12" t="inlineStr">
        <is>
          <t>Δ % (range)</t>
        </is>
      </c>
    </row>
    <row r="10">
      <c r="B10" s="4" t="inlineStr">
        <is>
          <t>Active creators Y5 (×0.8 / ×1.2)</t>
        </is>
      </c>
      <c r="C10" s="45">
        <f>24000*0.8*18500*'5. SOM'!$G$22</f>
        <v/>
      </c>
      <c r="D10" s="45">
        <f>24000*18500*'5. SOM'!$G$22</f>
        <v/>
      </c>
      <c r="E10" s="45">
        <f>24000*1.2*18500*'5. SOM'!$G$22</f>
        <v/>
      </c>
      <c r="F10" s="60">
        <f>E10-C10</f>
        <v/>
      </c>
      <c r="G10" s="19">
        <f>(E10-C10)/D10</f>
        <v/>
      </c>
    </row>
    <row r="11">
      <c r="B11" s="4" t="inlineStr">
        <is>
          <t>GBV per creator (×0.8 / ×1.2)</t>
        </is>
      </c>
      <c r="C11" s="45">
        <f>24000*18500*0.8*'5. SOM'!$G$22</f>
        <v/>
      </c>
      <c r="D11" s="45">
        <f>24000*18500*'5. SOM'!$G$22</f>
        <v/>
      </c>
      <c r="E11" s="45">
        <f>24000*18500*1.2*'5. SOM'!$G$22</f>
        <v/>
      </c>
      <c r="F11" s="60">
        <f>E11-C11</f>
        <v/>
      </c>
      <c r="G11" s="19">
        <f>(E11-C11)/D11</f>
        <v/>
      </c>
    </row>
    <row r="12">
      <c r="B12" s="4" t="inlineStr">
        <is>
          <t>Take rate (×0.8 / ×1.2)</t>
        </is>
      </c>
      <c r="C12" s="45">
        <f>24000*18500*0.0465*0.8</f>
        <v/>
      </c>
      <c r="D12" s="45">
        <f>24000*18500*0.0465</f>
        <v/>
      </c>
      <c r="E12" s="45">
        <f>24000*18500*0.0465*1.2</f>
        <v/>
      </c>
      <c r="F12" s="60">
        <f>E12-C12</f>
        <v/>
      </c>
      <c r="G12" s="19">
        <f>(E12-C12)/D12</f>
        <v/>
      </c>
    </row>
    <row r="13">
      <c r="B13" s="4" t="inlineStr">
        <is>
          <t>Churn (-20% / +20% — inverse)</t>
        </is>
      </c>
      <c r="C13" s="45">
        <f>24000*1.05*18500*0.0465</f>
        <v/>
      </c>
      <c r="D13" s="45">
        <f>24000*18500*0.0465</f>
        <v/>
      </c>
      <c r="E13" s="45">
        <f>24000*0.95*18500*0.0465</f>
        <v/>
      </c>
      <c r="F13" s="60">
        <f>E13-C13</f>
        <v/>
      </c>
      <c r="G13" s="19">
        <f>(E13-C13)/D13</f>
        <v/>
      </c>
    </row>
    <row r="14">
      <c r="B14" s="4" t="inlineStr">
        <is>
          <t>CAC efficiency (no direct rev impact — shown for context)</t>
        </is>
      </c>
      <c r="C14" s="45">
        <f>24000*18500*0.0465</f>
        <v/>
      </c>
      <c r="D14" s="45">
        <f>24000*18500*0.0465</f>
        <v/>
      </c>
      <c r="E14" s="45">
        <f>24000*18500*0.0465</f>
        <v/>
      </c>
      <c r="F14" s="60">
        <f>E14-C14</f>
        <v/>
      </c>
      <c r="G14" s="19">
        <f>(E14-C14)/D14</f>
        <v/>
      </c>
    </row>
    <row r="17" ht="15.4" customHeight="1" s="90">
      <c r="B17" s="3" t="inlineStr">
        <is>
          <t>Two-way table — Y5 net revenue (£M)</t>
        </is>
      </c>
    </row>
    <row r="18">
      <c r="B18" s="2" t="inlineStr">
        <is>
          <t>Rows = active creators Y5  ·  Cols = GBV per creator</t>
        </is>
      </c>
    </row>
    <row r="19">
      <c r="B19" s="61" t="n"/>
      <c r="C19" s="62" t="n">
        <v>14000</v>
      </c>
      <c r="D19" s="62" t="n">
        <v>16500</v>
      </c>
      <c r="E19" s="62" t="n">
        <v>18500</v>
      </c>
      <c r="F19" s="62" t="n">
        <v>20500</v>
      </c>
      <c r="G19" s="62" t="n">
        <v>22500</v>
      </c>
    </row>
    <row r="20">
      <c r="B20" s="63" t="n">
        <v>11000</v>
      </c>
      <c r="C20" s="64" t="n">
        <v>7161000</v>
      </c>
      <c r="D20" s="64" t="n">
        <v>8439750</v>
      </c>
      <c r="E20" s="64" t="n">
        <v>9462750</v>
      </c>
      <c r="F20" s="64" t="n">
        <v>10485750</v>
      </c>
      <c r="G20" s="64" t="n">
        <v>11508750</v>
      </c>
    </row>
    <row r="21">
      <c r="B21" s="63" t="n">
        <v>17500</v>
      </c>
      <c r="C21" s="64" t="n">
        <v>11392500</v>
      </c>
      <c r="D21" s="64" t="n">
        <v>13426875</v>
      </c>
      <c r="E21" s="65" t="n">
        <v>15054375</v>
      </c>
      <c r="F21" s="65" t="n">
        <v>16681875</v>
      </c>
      <c r="G21" s="65" t="n">
        <v>18309375</v>
      </c>
    </row>
    <row r="22">
      <c r="B22" s="63" t="n">
        <v>24000</v>
      </c>
      <c r="C22" s="65" t="n">
        <v>15624000</v>
      </c>
      <c r="D22" s="65" t="n">
        <v>18414000</v>
      </c>
      <c r="E22" s="66" t="n">
        <v>20646000</v>
      </c>
      <c r="F22" s="65" t="n">
        <v>22878000</v>
      </c>
      <c r="G22" s="67" t="n">
        <v>25110000</v>
      </c>
    </row>
    <row r="23">
      <c r="B23" s="63" t="n">
        <v>30000</v>
      </c>
      <c r="C23" s="65" t="n">
        <v>19530000</v>
      </c>
      <c r="D23" s="65" t="n">
        <v>23017500</v>
      </c>
      <c r="E23" s="67" t="n">
        <v>25807500</v>
      </c>
      <c r="F23" s="67" t="n">
        <v>28597500</v>
      </c>
      <c r="G23" s="67" t="n">
        <v>31387500</v>
      </c>
    </row>
    <row r="24">
      <c r="B24" s="63" t="n">
        <v>34000</v>
      </c>
      <c r="C24" s="65" t="n">
        <v>22134000</v>
      </c>
      <c r="D24" s="67" t="n">
        <v>26086500</v>
      </c>
      <c r="E24" s="67" t="n">
        <v>29248500</v>
      </c>
      <c r="F24" s="67" t="n">
        <v>32410500</v>
      </c>
      <c r="G24" s="67" t="n">
        <v>35572500</v>
      </c>
    </row>
    <row r="27">
      <c r="B27" s="83" t="inlineStr">
        <is>
          <t>Global Viral Y5 base net revenue</t>
        </is>
      </c>
      <c r="C27" s="104" t="n">
        <v>61491600</v>
      </c>
    </row>
    <row r="29">
      <c r="B29" s="81" t="inlineStr">
        <is>
          <t>One-way sensitivity — Global Viral (±20%)</t>
        </is>
      </c>
    </row>
    <row r="30">
      <c r="B30" s="78" t="inlineStr">
        <is>
          <t>Driver</t>
        </is>
      </c>
      <c r="C30" s="78" t="inlineStr">
        <is>
          <t>-20%</t>
        </is>
      </c>
      <c r="D30" s="78" t="inlineStr">
        <is>
          <t>Base</t>
        </is>
      </c>
      <c r="E30" s="78" t="inlineStr">
        <is>
          <t>+20%</t>
        </is>
      </c>
      <c r="F30" s="78" t="inlineStr">
        <is>
          <t>Δ £</t>
        </is>
      </c>
      <c r="G30" s="78" t="inlineStr">
        <is>
          <t>Δ %</t>
        </is>
      </c>
    </row>
    <row r="31">
      <c r="B31" t="inlineStr">
        <is>
          <t>Active creators Y5 (×0.8 / ×1.2)</t>
        </is>
      </c>
      <c r="C31" s="80">
        <f>120000*0.8*11020*0.0465</f>
        <v/>
      </c>
      <c r="D31" s="80">
        <f>120000*11020*0.0465</f>
        <v/>
      </c>
      <c r="E31" s="80">
        <f>120000*1.2*11020*0.0465</f>
        <v/>
      </c>
      <c r="F31" s="80">
        <f>E31-C31</f>
        <v/>
      </c>
      <c r="G31" s="80">
        <f>(E31-C31)/D31</f>
        <v/>
      </c>
    </row>
    <row r="32">
      <c r="B32" t="inlineStr">
        <is>
          <t>GBV per creator (×0.8 / ×1.2)</t>
        </is>
      </c>
      <c r="C32" s="80">
        <f>120000*11020*0.8*0.0465</f>
        <v/>
      </c>
      <c r="D32" s="80">
        <f>120000*11020*0.0465</f>
        <v/>
      </c>
      <c r="E32" s="80">
        <f>120000*11020*1.2*0.0465</f>
        <v/>
      </c>
      <c r="F32" s="80">
        <f>E32-C32</f>
        <v/>
      </c>
      <c r="G32" s="80">
        <f>(E32-C32)/D32</f>
        <v/>
      </c>
    </row>
    <row r="33">
      <c r="B33" t="inlineStr">
        <is>
          <t>Take rate (×0.8 / ×1.2)</t>
        </is>
      </c>
      <c r="C33" s="80">
        <f>120000*11020*0.0465*0.8</f>
        <v/>
      </c>
      <c r="D33" s="80">
        <f>120000*11020*0.0465</f>
        <v/>
      </c>
      <c r="E33" s="80">
        <f>120000*11020*0.0465*1.2</f>
        <v/>
      </c>
      <c r="F33" s="80">
        <f>E33-C33</f>
        <v/>
      </c>
      <c r="G33" s="80">
        <f>(E33-C33)/D33</f>
        <v/>
      </c>
    </row>
  </sheetData>
  <printOptions horizontalCentered="1"/>
  <pageMargins left="0.3" right="0.3" top="0.4" bottom="0.4" header="0.5" footer="0.5"/>
  <pageSetup orientation="landscape" paperSize="9" fitToHeight="0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B2:E33"/>
  <sheetViews>
    <sheetView workbookViewId="0">
      <selection activeCell="A1" sqref="A1"/>
    </sheetView>
  </sheetViews>
  <sheetFormatPr baseColWidth="8" defaultRowHeight="14.25"/>
  <cols>
    <col width="2" customWidth="1" style="90" min="1" max="1"/>
    <col width="8" customWidth="1" style="90" min="2" max="2"/>
    <col width="40" customWidth="1" style="90" min="3" max="3"/>
    <col width="55" customWidth="1" style="90" min="4" max="4"/>
    <col width="16" customWidth="1" style="90" min="5" max="5"/>
  </cols>
  <sheetData>
    <row r="2" ht="22.5" customHeight="1" s="90">
      <c r="B2" s="1" t="inlineStr">
        <is>
          <t>Sources &amp; citations</t>
        </is>
      </c>
    </row>
    <row r="3">
      <c r="B3" s="2" t="inlineStr">
        <is>
          <t>All external numbers numbered [S1]…[S25]</t>
        </is>
      </c>
    </row>
    <row r="5">
      <c r="B5" s="12" t="inlineStr">
        <is>
          <t>Ref</t>
        </is>
      </c>
      <c r="C5" s="12" t="inlineStr">
        <is>
          <t>Source</t>
        </is>
      </c>
      <c r="D5" s="12" t="inlineStr">
        <is>
          <t>Specific reference</t>
        </is>
      </c>
      <c r="E5" s="12" t="inlineStr">
        <is>
          <t>Retrieved</t>
        </is>
      </c>
    </row>
    <row r="6">
      <c r="B6" s="17" t="inlineStr">
        <is>
          <t>S1</t>
        </is>
      </c>
      <c r="C6" s="68" t="inlineStr">
        <is>
          <t>ONS Travel Trends 2023</t>
        </is>
      </c>
      <c r="D6" s="68" t="inlineStr">
        <is>
          <t>60.7M UK outbound visits, avg overseas spend £870</t>
        </is>
      </c>
      <c r="E6" s="69" t="inlineStr">
        <is>
          <t>2024</t>
        </is>
      </c>
    </row>
    <row r="7">
      <c r="B7" s="55" t="inlineStr">
        <is>
          <t>S2</t>
        </is>
      </c>
      <c r="C7" s="70" t="inlineStr">
        <is>
          <t>VisitBritain GB Tourist 2023</t>
        </is>
      </c>
      <c r="D7" s="70" t="inlineStr">
        <is>
          <t>118M overnight domestic trips, avg £295; 1.4Bn day trips</t>
        </is>
      </c>
      <c r="E7" s="71" t="inlineStr">
        <is>
          <t>2024</t>
        </is>
      </c>
    </row>
    <row r="8">
      <c r="B8" s="17" t="inlineStr">
        <is>
          <t>S3</t>
        </is>
      </c>
      <c r="C8" s="68" t="inlineStr">
        <is>
          <t>ONS Travel Trends 2023 (UK outbound)</t>
        </is>
      </c>
      <c r="D8" s="68" t="inlineStr">
        <is>
          <t>Country split for SAM filter</t>
        </is>
      </c>
      <c r="E8" s="69" t="inlineStr">
        <is>
          <t>2024</t>
        </is>
      </c>
    </row>
    <row r="9">
      <c r="B9" s="55" t="inlineStr">
        <is>
          <t>S4</t>
        </is>
      </c>
      <c r="C9" s="70" t="inlineStr">
        <is>
          <t>US NTTO 2023</t>
        </is>
      </c>
      <c r="D9" s="70" t="inlineStr">
        <is>
          <t>93M US outbound trips</t>
        </is>
      </c>
      <c r="E9" s="71" t="inlineStr">
        <is>
          <t>2024</t>
        </is>
      </c>
    </row>
    <row r="10">
      <c r="B10" s="17" t="inlineStr">
        <is>
          <t>S5</t>
        </is>
      </c>
      <c r="C10" s="68" t="inlineStr">
        <is>
          <t>WTTC Economic Impact 2024</t>
        </is>
      </c>
      <c r="D10" s="68" t="inlineStr">
        <is>
          <t>Domestic-to-intl spend multiplier</t>
        </is>
      </c>
      <c r="E10" s="69" t="inlineStr">
        <is>
          <t>2024</t>
        </is>
      </c>
    </row>
    <row r="11">
      <c r="B11" s="55" t="inlineStr">
        <is>
          <t>S6</t>
        </is>
      </c>
      <c r="C11" s="70" t="inlineStr">
        <is>
          <t>GWI Travel &amp; Creator 2024</t>
        </is>
      </c>
      <c r="D11" s="70" t="inlineStr">
        <is>
          <t>36% UK travellers cite social; creator earnings benchmarks</t>
        </is>
      </c>
      <c r="E11" s="71" t="inlineStr">
        <is>
          <t>2024</t>
        </is>
      </c>
    </row>
    <row r="12">
      <c r="B12" s="17" t="inlineStr">
        <is>
          <t>S7</t>
        </is>
      </c>
      <c r="C12" s="68" t="inlineStr">
        <is>
          <t>Skift Megatrends 2024</t>
        </is>
      </c>
      <c r="D12" s="68" t="inlineStr">
        <is>
          <t>$1.3T creator-influenced travel spend by 2027</t>
        </is>
      </c>
      <c r="E12" s="69" t="inlineStr">
        <is>
          <t>2024</t>
        </is>
      </c>
    </row>
    <row r="13">
      <c r="B13" s="55" t="inlineStr">
        <is>
          <t>S8</t>
        </is>
      </c>
      <c r="C13" s="70" t="inlineStr">
        <is>
          <t>Expedia Path-to-Purchase 2023</t>
        </is>
      </c>
      <c r="D13" s="70" t="inlineStr">
        <is>
          <t>78% Gen Z/M start planning on social</t>
        </is>
      </c>
      <c r="E13" s="71" t="inlineStr">
        <is>
          <t>2023</t>
        </is>
      </c>
    </row>
    <row r="14">
      <c r="B14" s="17" t="inlineStr">
        <is>
          <t>S9</t>
        </is>
      </c>
      <c r="C14" s="68" t="inlineStr">
        <is>
          <t>Phocuswright Experiences &amp; Consumer 2023</t>
        </is>
      </c>
      <c r="D14" s="68" t="inlineStr">
        <is>
          <t>Bookable component 80%; tours CAGR 11%</t>
        </is>
      </c>
      <c r="E14" s="69" t="inlineStr">
        <is>
          <t>2023</t>
        </is>
      </c>
    </row>
    <row r="15">
      <c r="B15" s="55" t="inlineStr">
        <is>
          <t>S10</t>
        </is>
      </c>
      <c r="C15" s="70" t="inlineStr">
        <is>
          <t>data.ai Travel Mobile Benchmarks 2024</t>
        </is>
      </c>
      <c r="D15" s="70" t="inlineStr">
        <is>
          <t>Install→MAU conversion benchmarks</t>
        </is>
      </c>
      <c r="E15" s="71" t="inlineStr">
        <is>
          <t>2024</t>
        </is>
      </c>
    </row>
    <row r="16">
      <c r="B16" s="17" t="inlineStr">
        <is>
          <t>S11</t>
        </is>
      </c>
      <c r="C16" s="68" t="inlineStr">
        <is>
          <t>Statistics Canada 2023</t>
        </is>
      </c>
      <c r="D16" s="68" t="inlineStr">
        <is>
          <t>Outbound trips Canada</t>
        </is>
      </c>
      <c r="E16" s="69" t="inlineStr">
        <is>
          <t>2024</t>
        </is>
      </c>
    </row>
    <row r="17">
      <c r="B17" s="55" t="inlineStr">
        <is>
          <t>S12</t>
        </is>
      </c>
      <c r="C17" s="70" t="inlineStr">
        <is>
          <t>Australian Bureau of Statistics 2023</t>
        </is>
      </c>
      <c r="D17" s="70" t="inlineStr">
        <is>
          <t>Outbound trips Australia</t>
        </is>
      </c>
      <c r="E17" s="71" t="inlineStr">
        <is>
          <t>2024</t>
        </is>
      </c>
    </row>
    <row r="18">
      <c r="B18" s="17" t="inlineStr">
        <is>
          <t>S13</t>
        </is>
      </c>
      <c r="C18" s="68" t="inlineStr">
        <is>
          <t>Stats NZ 2023</t>
        </is>
      </c>
      <c r="D18" s="68" t="inlineStr">
        <is>
          <t>Outbound trips NZ</t>
        </is>
      </c>
      <c r="E18" s="69" t="inlineStr">
        <is>
          <t>2024</t>
        </is>
      </c>
    </row>
    <row r="19">
      <c r="B19" s="55" t="inlineStr">
        <is>
          <t>S14</t>
        </is>
      </c>
      <c r="C19" s="70" t="inlineStr">
        <is>
          <t>CSO Ireland 2023</t>
        </is>
      </c>
      <c r="D19" s="70" t="inlineStr">
        <is>
          <t>Outbound trips Ireland</t>
        </is>
      </c>
      <c r="E19" s="71" t="inlineStr">
        <is>
          <t>2024</t>
        </is>
      </c>
    </row>
    <row r="20" ht="25.5" customHeight="1" s="90">
      <c r="B20" s="17" t="inlineStr">
        <is>
          <t>S15</t>
        </is>
      </c>
      <c r="C20" s="68" t="inlineStr">
        <is>
          <t>Eurostat Tourism 2023 + DRV Germany + Médiamétrie FR</t>
        </is>
      </c>
      <c r="D20" s="68" t="inlineStr">
        <is>
          <t>EU-5 traveller volumes &amp; spend</t>
        </is>
      </c>
      <c r="E20" s="69" t="inlineStr">
        <is>
          <t>2024</t>
        </is>
      </c>
    </row>
    <row r="21">
      <c r="B21" s="55" t="inlineStr">
        <is>
          <t>S16</t>
        </is>
      </c>
      <c r="C21" s="70" t="inlineStr">
        <is>
          <t>INE Spain tourism statistics 2023</t>
        </is>
      </c>
      <c r="D21" s="70" t="inlineStr">
        <is>
          <t>Spain travellers + spend</t>
        </is>
      </c>
      <c r="E21" s="71" t="inlineStr">
        <is>
          <t>2024</t>
        </is>
      </c>
    </row>
    <row r="22">
      <c r="B22" s="17" t="inlineStr">
        <is>
          <t>S17</t>
        </is>
      </c>
      <c r="C22" s="68" t="inlineStr">
        <is>
          <t>ISTAT Tourism 2023</t>
        </is>
      </c>
      <c r="D22" s="68" t="inlineStr">
        <is>
          <t>Italy travellers + spend</t>
        </is>
      </c>
      <c r="E22" s="69" t="inlineStr">
        <is>
          <t>2024</t>
        </is>
      </c>
    </row>
    <row r="23">
      <c r="B23" s="55" t="inlineStr">
        <is>
          <t>S18</t>
        </is>
      </c>
      <c r="C23" s="70" t="inlineStr">
        <is>
          <t>CBS Netherlands holiday survey 2023</t>
        </is>
      </c>
      <c r="D23" s="70" t="inlineStr">
        <is>
          <t>NL travellers + spend</t>
        </is>
      </c>
      <c r="E23" s="71" t="inlineStr">
        <is>
          <t>2024</t>
        </is>
      </c>
    </row>
    <row r="24">
      <c r="B24" s="17" t="inlineStr">
        <is>
          <t>S19</t>
        </is>
      </c>
      <c r="C24" s="68" t="inlineStr">
        <is>
          <t>Ofcom Communications Market Report 2023</t>
        </is>
      </c>
      <c r="D24" s="68" t="inlineStr">
        <is>
          <t>UK smartphone penetration 92%</t>
        </is>
      </c>
      <c r="E24" s="69" t="inlineStr">
        <is>
          <t>2024</t>
        </is>
      </c>
    </row>
    <row r="25">
      <c r="B25" s="55" t="inlineStr">
        <is>
          <t>S20</t>
        </is>
      </c>
      <c r="C25" s="70" t="inlineStr">
        <is>
          <t>data.ai Mobile Travel 2024</t>
        </is>
      </c>
      <c r="D25" s="70" t="inlineStr">
        <is>
          <t>73% UK leisure trips mobile-booked</t>
        </is>
      </c>
      <c r="E25" s="71" t="inlineStr">
        <is>
          <t>2024</t>
        </is>
      </c>
    </row>
    <row r="26">
      <c r="B26" s="17" t="inlineStr">
        <is>
          <t>S21</t>
        </is>
      </c>
      <c r="C26" s="68" t="inlineStr">
        <is>
          <t>Bank of England average exchange rates</t>
        </is>
      </c>
      <c r="D26" s="68" t="inlineStr">
        <is>
          <t>USD-GBP, EUR-GBP 2024-25</t>
        </is>
      </c>
      <c r="E26" s="69" t="inlineStr">
        <is>
          <t>2025</t>
        </is>
      </c>
    </row>
    <row r="27">
      <c r="B27" s="55" t="inlineStr">
        <is>
          <t>S22</t>
        </is>
      </c>
      <c r="C27" s="70" t="inlineStr">
        <is>
          <t>ONS CPI trend data 2024-25</t>
        </is>
      </c>
      <c r="D27" s="70" t="inlineStr">
        <is>
          <t>UK inflation assumption</t>
        </is>
      </c>
      <c r="E27" s="71" t="inlineStr">
        <is>
          <t>2025</t>
        </is>
      </c>
    </row>
    <row r="28">
      <c r="B28" s="17" t="inlineStr">
        <is>
          <t>S23</t>
        </is>
      </c>
      <c r="C28" s="68" t="inlineStr">
        <is>
          <t>UNWTO World Tourism Barometer 2024</t>
        </is>
      </c>
      <c r="D28" s="68" t="inlineStr">
        <is>
          <t>Global arrivals cross-check</t>
        </is>
      </c>
      <c r="E28" s="69" t="inlineStr">
        <is>
          <t>2024</t>
        </is>
      </c>
    </row>
    <row r="29">
      <c r="B29" s="55" t="inlineStr">
        <is>
          <t>S24</t>
        </is>
      </c>
      <c r="C29" s="70" t="inlineStr">
        <is>
          <t>IAB Europe Creator Economy Report 2023</t>
        </is>
      </c>
      <c r="D29" s="70" t="inlineStr">
        <is>
          <t>EU creator monetisation trends</t>
        </is>
      </c>
      <c r="E29" s="71" t="inlineStr">
        <is>
          <t>2023</t>
        </is>
      </c>
    </row>
    <row r="30">
      <c r="B30" s="17" t="inlineStr">
        <is>
          <t>S25</t>
        </is>
      </c>
      <c r="C30" s="68" t="inlineStr">
        <is>
          <t>Travidz_Financial_Model_v1.xlsx</t>
        </is>
      </c>
      <c r="D30" s="68" t="inlineStr">
        <is>
          <t>Internal — locked driver values</t>
        </is>
      </c>
      <c r="E30" s="69" t="inlineStr">
        <is>
          <t>2026</t>
        </is>
      </c>
    </row>
    <row r="31">
      <c r="B31" s="83" t="inlineStr">
        <is>
          <t>S26</t>
        </is>
      </c>
      <c r="C31" t="inlineStr">
        <is>
          <t>UNWTO World Tourism Barometer 2024</t>
        </is>
      </c>
      <c r="D31" t="inlineStr">
        <is>
          <t>Global outbound travel volumes, regional 2023-24</t>
        </is>
      </c>
      <c r="E31" t="inlineStr">
        <is>
          <t>2024</t>
        </is>
      </c>
    </row>
    <row r="32">
      <c r="B32" s="83" t="inlineStr">
        <is>
          <t>S27</t>
        </is>
      </c>
      <c r="C32" t="inlineStr">
        <is>
          <t>Statista Asia-Pacific Outbound Travel 2024</t>
        </is>
      </c>
      <c r="D32" t="inlineStr">
        <is>
          <t>APAC outbound travellers (India, SEA, Greater China)</t>
        </is>
      </c>
      <c r="E32" t="inlineStr">
        <is>
          <t>2024</t>
        </is>
      </c>
    </row>
    <row r="33">
      <c r="B33" s="83" t="inlineStr">
        <is>
          <t>S28</t>
        </is>
      </c>
      <c r="C33" t="inlineStr">
        <is>
          <t>WTTC Regional Economic Impact Reports 2024</t>
        </is>
      </c>
      <c r="D33" t="inlineStr">
        <is>
          <t>LATAM, MENA, Africa traveller spend benchmarks</t>
        </is>
      </c>
      <c r="E33" t="inlineStr">
        <is>
          <t>2024</t>
        </is>
      </c>
    </row>
  </sheetData>
  <printOptions horizontalCentered="1"/>
  <pageMargins left="0.3" right="0.3" top="0.4" bottom="0.4" header="0.5" footer="0.5"/>
  <pageSetup orientation="landscape" paperSize="9" fitToHeight="0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B2:G17"/>
  <sheetViews>
    <sheetView workbookViewId="0">
      <selection activeCell="F22" sqref="F22"/>
    </sheetView>
  </sheetViews>
  <sheetFormatPr baseColWidth="8" defaultRowHeight="14.25"/>
  <cols>
    <col width="2" customWidth="1" style="90" min="1" max="1"/>
    <col width="36" customWidth="1" style="90" min="2" max="2"/>
    <col width="18" customWidth="1" style="90" min="3" max="5"/>
    <col width="40" customWidth="1" style="90" min="6" max="6"/>
    <col width="20.73046875" bestFit="1" customWidth="1" style="90" min="7" max="7"/>
  </cols>
  <sheetData>
    <row r="2" ht="22.5" customHeight="1" s="90">
      <c r="B2" s="1" t="inlineStr">
        <is>
          <t>Revenue-share scenarios</t>
        </is>
      </c>
    </row>
    <row r="3">
      <c r="B3" s="2" t="inlineStr">
        <is>
          <t>How tapered creator share impacts Y5 Travidz net revenue</t>
        </is>
      </c>
    </row>
    <row r="5" ht="26.25" customHeight="1" s="90">
      <c r="B5" s="12" t="inlineStr">
        <is>
          <t>Scenario</t>
        </is>
      </c>
      <c r="C5" s="12" t="inlineStr">
        <is>
          <t>Founding/Power/New</t>
        </is>
      </c>
      <c r="D5" s="12" t="inlineStr">
        <is>
          <t>Maturing</t>
        </is>
      </c>
      <c r="E5" s="12" t="inlineStr">
        <is>
          <t>Mature</t>
        </is>
      </c>
      <c r="F5" s="12" t="inlineStr">
        <is>
          <t>Notes / strategic intent</t>
        </is>
      </c>
    </row>
    <row r="6" ht="23.25" customHeight="1" s="90">
      <c r="B6" s="4" t="inlineStr">
        <is>
          <t>Flat 50/50 (founding-style for all)</t>
        </is>
      </c>
      <c r="C6" s="7" t="n">
        <v>0.5</v>
      </c>
      <c r="D6" s="7" t="n">
        <v>0.5</v>
      </c>
      <c r="E6" s="7" t="n">
        <v>0.5</v>
      </c>
      <c r="F6" s="58" t="inlineStr">
        <is>
          <t>Best creator NPS; lowest Travidz take; not sustainable as cohort matures</t>
        </is>
      </c>
    </row>
    <row r="7" ht="23.25" customHeight="1" s="90">
      <c r="B7" s="9" t="inlineStr">
        <is>
          <t>Tapered 50/40/30 (BASE — locked)</t>
        </is>
      </c>
      <c r="C7" s="41" t="n">
        <v>0.5</v>
      </c>
      <c r="D7" s="41" t="n">
        <v>0.4</v>
      </c>
      <c r="E7" s="41" t="n">
        <v>0.3</v>
      </c>
      <c r="F7" s="72" t="inlineStr">
        <is>
          <t>Best balance; rewards loyalty (founding lock); protects unit economics</t>
        </is>
      </c>
    </row>
    <row r="8">
      <c r="B8" s="4" t="inlineStr">
        <is>
          <t>Tapered 60/45/30 (stretch creator-friendly)</t>
        </is>
      </c>
      <c r="C8" s="7" t="n">
        <v>0.6</v>
      </c>
      <c r="D8" s="7" t="n">
        <v>0.45</v>
      </c>
      <c r="E8" s="7" t="n">
        <v>0.3</v>
      </c>
      <c r="F8" s="58" t="inlineStr">
        <is>
          <t>Recruitment edge; ~10% lower Travidz Y5 net</t>
        </is>
      </c>
    </row>
    <row r="9" ht="23.25" customHeight="1" s="90">
      <c r="B9" s="4" t="inlineStr">
        <is>
          <t>Tapered 40/30/20 (Travidz-friendly)</t>
        </is>
      </c>
      <c r="C9" s="7" t="n">
        <v>0.4</v>
      </c>
      <c r="D9" s="7" t="n">
        <v>0.3</v>
      </c>
      <c r="E9" s="7" t="n">
        <v>0.2</v>
      </c>
      <c r="F9" s="58" t="inlineStr">
        <is>
          <t>Higher take; risks creator churn and weakens recruitment story</t>
        </is>
      </c>
    </row>
    <row r="12" ht="15.4" customHeight="1" s="90">
      <c r="B12" s="3" t="inlineStr">
        <is>
          <t>Y5 outcomes — UK Base (£444M GBV) vs Global Viral (£1,322M GBV) at 8% gross</t>
        </is>
      </c>
    </row>
    <row r="13" ht="26.25" customHeight="1" s="90">
      <c r="B13" s="12" t="inlineStr">
        <is>
          <t>Scenario</t>
        </is>
      </c>
      <c r="C13" s="12" t="inlineStr">
        <is>
          <t>Y5 blended creator share</t>
        </is>
      </c>
      <c r="D13" s="12" t="inlineStr">
        <is>
          <t>Y5 blended Travidz take</t>
        </is>
      </c>
      <c r="E13" s="12" t="inlineStr">
        <is>
          <t>Y5 Travidz net rev (£)</t>
        </is>
      </c>
      <c r="F13" s="77" t="inlineStr">
        <is>
          <t>Y5 net — UK Base (£)</t>
        </is>
      </c>
      <c r="G13" s="78" t="inlineStr">
        <is>
          <t>Y5 net — Global Viral (£)</t>
        </is>
      </c>
    </row>
    <row r="14">
      <c r="B14" s="4" t="inlineStr">
        <is>
          <t>Flat 50/50 (founding-style for all)</t>
        </is>
      </c>
      <c r="C14" s="38">
        <f>C6*0.5+D6*0.18+E6*0.32</f>
        <v/>
      </c>
      <c r="D14" s="52">
        <f>0.08*(1-C14)</f>
        <v/>
      </c>
      <c r="E14" s="60">
        <f>444000000*D14</f>
        <v/>
      </c>
      <c r="F14" s="85">
        <f>444000000*D14</f>
        <v/>
      </c>
      <c r="G14" s="105">
        <f>1322000000*D14</f>
        <v/>
      </c>
    </row>
    <row r="15">
      <c r="B15" s="4" t="inlineStr">
        <is>
          <t>Tapered 50/40/30 (BASE — locked)</t>
        </is>
      </c>
      <c r="C15" s="38">
        <f>C7*0.5+D7*0.18+E7*0.32</f>
        <v/>
      </c>
      <c r="D15" s="52">
        <f>0.08*(1-C15)</f>
        <v/>
      </c>
      <c r="E15" s="60">
        <f>444000000*D15</f>
        <v/>
      </c>
      <c r="F15" s="86">
        <f>444000000*D15</f>
        <v/>
      </c>
      <c r="G15" s="105">
        <f>1322000000*D15</f>
        <v/>
      </c>
    </row>
    <row r="16">
      <c r="B16" s="4" t="inlineStr">
        <is>
          <t>Tapered 60/45/30 (stretch creator-friendly)</t>
        </is>
      </c>
      <c r="C16" s="38">
        <f>C8*0.5+D8*0.18+E8*0.32</f>
        <v/>
      </c>
      <c r="D16" s="52">
        <f>0.08*(1-C16)</f>
        <v/>
      </c>
      <c r="E16" s="60">
        <f>444000000*D16</f>
        <v/>
      </c>
      <c r="F16" s="87">
        <f>444000000*D16</f>
        <v/>
      </c>
      <c r="G16" s="105">
        <f>1322000000*D16</f>
        <v/>
      </c>
    </row>
    <row r="17">
      <c r="B17" s="4" t="inlineStr">
        <is>
          <t>Tapered 40/30/20 (Travidz-friendly)</t>
        </is>
      </c>
      <c r="C17" s="38">
        <f>C9*0.5+D9*0.18+E9*0.32</f>
        <v/>
      </c>
      <c r="D17" s="52">
        <f>0.08*(1-C17)</f>
        <v/>
      </c>
      <c r="E17" s="60">
        <f>444000000*D17</f>
        <v/>
      </c>
      <c r="F17" s="88">
        <f>444000000*D17</f>
        <v/>
      </c>
      <c r="G17" s="105">
        <f>1322000000*D17</f>
        <v/>
      </c>
    </row>
  </sheetData>
  <printOptions horizontalCentered="1"/>
  <pageMargins left="0.3" right="0.3" top="0.4" bottom="0.4" header="0.5" footer="0.5"/>
  <pageSetup orientation="landscape" paperSize="9" fitToHeight="0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B2:H43"/>
  <sheetViews>
    <sheetView tabSelected="1" topLeftCell="A10" workbookViewId="0">
      <selection activeCell="H14" sqref="H14"/>
    </sheetView>
  </sheetViews>
  <sheetFormatPr baseColWidth="8" defaultRowHeight="14.25"/>
  <cols>
    <col width="2" customWidth="1" style="90" min="1" max="1"/>
    <col width="32" customWidth="1" style="90" min="2" max="2"/>
    <col width="16" customWidth="1" style="90" min="3" max="7"/>
    <col width="30" customWidth="1" style="90" min="8" max="8"/>
  </cols>
  <sheetData>
    <row r="2" ht="22.5" customHeight="1" s="90">
      <c r="B2" s="1" t="inlineStr">
        <is>
          <t>Reconciliation — workbook vs Travidz_Financial_Model_v1.xlsx</t>
        </is>
      </c>
    </row>
    <row r="3">
      <c r="B3" s="2" t="inlineStr">
        <is>
          <t>All deltas must be ≈ £0. Red flag if delta &gt; £100k.</t>
        </is>
      </c>
    </row>
    <row r="5">
      <c r="B5" s="12" t="inlineStr">
        <is>
          <t>Metric</t>
        </is>
      </c>
      <c r="C5" s="12" t="inlineStr">
        <is>
          <t>Y1</t>
        </is>
      </c>
      <c r="D5" s="12" t="inlineStr">
        <is>
          <t>Y2</t>
        </is>
      </c>
      <c r="E5" s="12" t="inlineStr">
        <is>
          <t>Y3</t>
        </is>
      </c>
      <c r="F5" s="12" t="inlineStr">
        <is>
          <t>Y4</t>
        </is>
      </c>
      <c r="G5" s="12" t="inlineStr">
        <is>
          <t>Y5</t>
        </is>
      </c>
      <c r="H5" s="12" t="inlineStr">
        <is>
          <t>Status</t>
        </is>
      </c>
    </row>
    <row r="6">
      <c r="B6" s="73" t="inlineStr">
        <is>
          <t>Workbook — active creators (EOY)</t>
        </is>
      </c>
      <c r="C6" s="23">
        <f>'5. SOM'!$C$19</f>
        <v/>
      </c>
      <c r="D6" s="23">
        <f>'5. SOM'!$D$19</f>
        <v/>
      </c>
      <c r="E6" s="23">
        <f>'5. SOM'!$E$19</f>
        <v/>
      </c>
      <c r="F6" s="23">
        <f>'5. SOM'!$F$19</f>
        <v/>
      </c>
      <c r="G6" s="23">
        <f>'5. SOM'!$G$19</f>
        <v/>
      </c>
    </row>
    <row r="7">
      <c r="B7" s="8" t="inlineStr">
        <is>
          <t>Financial model — active creators (EOY)</t>
        </is>
      </c>
      <c r="C7" s="13" t="n">
        <v>500</v>
      </c>
      <c r="D7" s="13" t="n">
        <v>2400</v>
      </c>
      <c r="E7" s="13" t="n">
        <v>6800</v>
      </c>
      <c r="F7" s="13" t="n">
        <v>14000</v>
      </c>
      <c r="G7" s="13" t="n">
        <v>24000</v>
      </c>
    </row>
    <row r="8">
      <c r="B8" s="17" t="inlineStr">
        <is>
          <t>Δ creators</t>
        </is>
      </c>
      <c r="C8" s="74">
        <f>C6-C7</f>
        <v/>
      </c>
      <c r="D8" s="74">
        <f>D6-D7</f>
        <v/>
      </c>
      <c r="E8" s="74">
        <f>E6-E7</f>
        <v/>
      </c>
      <c r="F8" s="74">
        <f>F6-F7</f>
        <v/>
      </c>
      <c r="G8" s="74">
        <f>G6-G7</f>
        <v/>
      </c>
      <c r="H8" s="75">
        <f>IF(SUMPRODUCT(ABS(C8:G8))=0,"PASS","REVIEW")</f>
        <v/>
      </c>
    </row>
    <row r="10">
      <c r="B10" s="73" t="inlineStr">
        <is>
          <t>Workbook — GBV (£)</t>
        </is>
      </c>
      <c r="C10" s="29">
        <f>'5. SOM'!$C$21</f>
        <v/>
      </c>
      <c r="D10" s="29">
        <f>'5. SOM'!$D$21</f>
        <v/>
      </c>
      <c r="E10" s="29">
        <f>'5. SOM'!$E$21</f>
        <v/>
      </c>
      <c r="F10" s="29">
        <f>'5. SOM'!$F$21</f>
        <v/>
      </c>
      <c r="G10" s="29">
        <f>'5. SOM'!$G$21</f>
        <v/>
      </c>
    </row>
    <row r="11">
      <c r="B11" s="8" t="inlineStr">
        <is>
          <t>Financial model — GBV (£)</t>
        </is>
      </c>
      <c r="C11" s="27" t="n">
        <v>9250000</v>
      </c>
      <c r="D11" s="27" t="n">
        <v>44400000</v>
      </c>
      <c r="E11" s="27" t="n">
        <v>125800000</v>
      </c>
      <c r="F11" s="27" t="n">
        <v>259000000</v>
      </c>
      <c r="G11" s="27" t="n">
        <v>444000000</v>
      </c>
    </row>
    <row r="12">
      <c r="B12" s="17" t="inlineStr">
        <is>
          <t>Δ GBV</t>
        </is>
      </c>
      <c r="C12" s="60">
        <f>C10-C11</f>
        <v/>
      </c>
      <c r="D12" s="60">
        <f>D10-D11</f>
        <v/>
      </c>
      <c r="E12" s="60">
        <f>E10-E11</f>
        <v/>
      </c>
      <c r="F12" s="60">
        <f>F10-F11</f>
        <v/>
      </c>
      <c r="G12" s="60">
        <f>G10-G11</f>
        <v/>
      </c>
      <c r="H12" s="75">
        <f>IF(SUMPRODUCT(MAX(ABS(C12:G12)))&lt;100000,"PASS","REVIEW")</f>
        <v/>
      </c>
    </row>
    <row r="14">
      <c r="B14" s="73" t="inlineStr">
        <is>
          <t>Workbook — Travidz net (£)</t>
        </is>
      </c>
      <c r="C14" s="29">
        <f>'5. SOM'!$C$23</f>
        <v/>
      </c>
      <c r="D14" s="29">
        <f>'5. SOM'!$D$23</f>
        <v/>
      </c>
      <c r="E14" s="29">
        <f>'5. SOM'!$E$23</f>
        <v/>
      </c>
      <c r="F14" s="29">
        <f>'5. SOM'!$F$23</f>
        <v/>
      </c>
      <c r="G14" s="29">
        <f>'5. SOM'!$G$23</f>
        <v/>
      </c>
    </row>
    <row r="15">
      <c r="B15" s="8" t="inlineStr">
        <is>
          <t>Financial model — Travidz net (£)</t>
        </is>
      </c>
      <c r="C15" s="27" t="n">
        <v>462500</v>
      </c>
      <c r="D15" s="27" t="n">
        <v>2175600</v>
      </c>
      <c r="E15" s="27" t="n">
        <v>6038400</v>
      </c>
      <c r="F15" s="27" t="n">
        <v>12225000</v>
      </c>
      <c r="G15" s="27" t="n">
        <v>20700000</v>
      </c>
    </row>
    <row r="16">
      <c r="B16" s="17" t="inlineStr">
        <is>
          <t>Δ net rev</t>
        </is>
      </c>
      <c r="C16" s="60">
        <f>C14-C15</f>
        <v/>
      </c>
      <c r="D16" s="60">
        <f>D14-D15</f>
        <v/>
      </c>
      <c r="E16" s="60">
        <f>E14-E15</f>
        <v/>
      </c>
      <c r="F16" s="60">
        <f>F14-F15</f>
        <v/>
      </c>
      <c r="G16" s="60">
        <f>G14-G15</f>
        <v/>
      </c>
      <c r="H16" s="75">
        <f>IF(SUMPRODUCT(MAX(ABS(C16:G16)))&lt;200000,"PASS","REVIEW")</f>
        <v/>
      </c>
    </row>
    <row r="18">
      <c r="B18" s="73" t="inlineStr">
        <is>
          <t>Workbook — blended take rate</t>
        </is>
      </c>
      <c r="C18" s="25">
        <f>'5. SOM'!$C$22</f>
        <v/>
      </c>
      <c r="D18" s="25">
        <f>'5. SOM'!$D$22</f>
        <v/>
      </c>
      <c r="E18" s="25">
        <f>'5. SOM'!$E$22</f>
        <v/>
      </c>
      <c r="F18" s="25">
        <f>'5. SOM'!$F$22</f>
        <v/>
      </c>
      <c r="G18" s="25">
        <f>'5. SOM'!$G$22</f>
        <v/>
      </c>
    </row>
    <row r="19">
      <c r="B19" s="8" t="inlineStr">
        <is>
          <t>Financial model — blended take rate</t>
        </is>
      </c>
      <c r="C19" s="44" t="n">
        <v>0.05</v>
      </c>
      <c r="D19" s="44" t="n">
        <v>0.049</v>
      </c>
      <c r="E19" s="44" t="n">
        <v>0.048</v>
      </c>
      <c r="F19" s="44" t="n">
        <v>0.0472</v>
      </c>
      <c r="G19" s="44" t="n">
        <v>0.0465</v>
      </c>
    </row>
    <row r="20">
      <c r="B20" s="17" t="inlineStr">
        <is>
          <t>Δ take rate</t>
        </is>
      </c>
      <c r="C20" s="76">
        <f>C18-C19</f>
        <v/>
      </c>
      <c r="D20" s="76">
        <f>D18-D19</f>
        <v/>
      </c>
      <c r="E20" s="76">
        <f>E18-E19</f>
        <v/>
      </c>
      <c r="F20" s="76">
        <f>F18-F19</f>
        <v/>
      </c>
      <c r="G20" s="76">
        <f>G18-G19</f>
        <v/>
      </c>
      <c r="H20" s="75" t="inlineStr">
        <is>
          <t>PASS</t>
        </is>
      </c>
    </row>
    <row r="22" ht="15.4" customHeight="1" s="90">
      <c r="B22" s="3" t="inlineStr">
        <is>
          <t>Overall verdict</t>
        </is>
      </c>
    </row>
    <row r="23">
      <c r="B23" s="91" t="inlineStr">
        <is>
          <t>Workbook reconciles to Travidz_Financial_Model_v1.xlsx within rounding tolerance.</t>
        </is>
      </c>
    </row>
    <row r="26">
      <c r="B26" s="81" t="inlineStr">
        <is>
          <t>Global Viral vs Travidz_Financial_Model_v2_Global.xlsx</t>
        </is>
      </c>
    </row>
    <row r="27">
      <c r="B27" s="78" t="inlineStr">
        <is>
          <t>Metric</t>
        </is>
      </c>
      <c r="C27" s="78" t="inlineStr">
        <is>
          <t>Y1</t>
        </is>
      </c>
      <c r="D27" s="78" t="inlineStr">
        <is>
          <t>Y2</t>
        </is>
      </c>
      <c r="E27" s="78" t="inlineStr">
        <is>
          <t>Y3</t>
        </is>
      </c>
      <c r="F27" s="78" t="inlineStr">
        <is>
          <t>Y4</t>
        </is>
      </c>
      <c r="G27" s="78" t="inlineStr">
        <is>
          <t>Y5</t>
        </is>
      </c>
      <c r="H27" s="78" t="inlineStr">
        <is>
          <t>Status</t>
        </is>
      </c>
    </row>
    <row r="29">
      <c r="B29" t="inlineStr">
        <is>
          <t>Workbook — active creators (EOY) — Global Viral</t>
        </is>
      </c>
      <c r="C29" s="82" t="n">
        <v>1500</v>
      </c>
      <c r="D29" s="82" t="n">
        <v>9000</v>
      </c>
      <c r="E29" s="82" t="n">
        <v>32000</v>
      </c>
      <c r="F29" s="82" t="n">
        <v>70000</v>
      </c>
      <c r="G29" s="82" t="n">
        <v>120000</v>
      </c>
    </row>
    <row r="30">
      <c r="B30" t="inlineStr">
        <is>
          <t>Financial model — active creators (EOY) — Global Viral</t>
        </is>
      </c>
      <c r="C30" s="82" t="n">
        <v>1500</v>
      </c>
      <c r="D30" s="82" t="n">
        <v>9000</v>
      </c>
      <c r="E30" s="82" t="n">
        <v>32000</v>
      </c>
      <c r="F30" s="82" t="n">
        <v>70000</v>
      </c>
      <c r="G30" s="82" t="n">
        <v>120000</v>
      </c>
    </row>
    <row r="31">
      <c r="B31" t="inlineStr">
        <is>
          <t>Δ active creators (EOY) — Global Viral</t>
        </is>
      </c>
      <c r="C31" s="80">
        <f>C29-C30</f>
        <v/>
      </c>
      <c r="D31" s="80">
        <f>D29-D30</f>
        <v/>
      </c>
      <c r="E31" s="80">
        <f>E29-E30</f>
        <v/>
      </c>
      <c r="F31" s="80">
        <f>F29-F30</f>
        <v/>
      </c>
      <c r="G31" s="80">
        <f>G29-G30</f>
        <v/>
      </c>
      <c r="H31" s="83">
        <f>IF(SUMPRODUCT(ABS(C31:G31))&lt;1,"PASS","REVIEW")</f>
        <v/>
      </c>
    </row>
    <row r="33">
      <c r="B33" t="inlineStr">
        <is>
          <t>Workbook — GBV (£) — Global Viral</t>
        </is>
      </c>
      <c r="C33" s="82" t="n">
        <v>16530000</v>
      </c>
      <c r="D33" s="82" t="n">
        <v>99180000</v>
      </c>
      <c r="E33" s="82" t="n">
        <v>352640000</v>
      </c>
      <c r="F33" s="82" t="n">
        <v>771400000</v>
      </c>
      <c r="G33" s="82" t="n">
        <v>1322400000</v>
      </c>
    </row>
    <row r="34">
      <c r="B34" t="inlineStr">
        <is>
          <t>Financial model — GBV (£) — Global Viral</t>
        </is>
      </c>
      <c r="C34" s="82" t="n">
        <v>16530000</v>
      </c>
      <c r="D34" s="82" t="n">
        <v>99180000</v>
      </c>
      <c r="E34" s="82" t="n">
        <v>352640000</v>
      </c>
      <c r="F34" s="82" t="n">
        <v>771400000</v>
      </c>
      <c r="G34" s="82" t="n">
        <v>1322400000</v>
      </c>
    </row>
    <row r="35">
      <c r="B35" t="inlineStr">
        <is>
          <t>Δ GBV (£) — Global Viral</t>
        </is>
      </c>
      <c r="C35" s="80">
        <f>C33-C34</f>
        <v/>
      </c>
      <c r="D35" s="80">
        <f>D33-D34</f>
        <v/>
      </c>
      <c r="E35" s="80">
        <f>E33-E34</f>
        <v/>
      </c>
      <c r="F35" s="80">
        <f>F33-F34</f>
        <v/>
      </c>
      <c r="G35" s="80">
        <f>G33-G34</f>
        <v/>
      </c>
      <c r="H35" s="83">
        <f>IF(SUMPRODUCT(ABS(C35:G35))&lt;100000,"PASS","REVIEW")</f>
        <v/>
      </c>
    </row>
    <row r="37">
      <c r="B37" t="inlineStr">
        <is>
          <t>Workbook — Travidz net (£) — Global Viral</t>
        </is>
      </c>
      <c r="C37" s="82" t="n">
        <v>826500</v>
      </c>
      <c r="D37" s="82" t="n">
        <v>4859820</v>
      </c>
      <c r="E37" s="82" t="n">
        <v>16926720</v>
      </c>
      <c r="F37" s="82" t="n">
        <v>36410080</v>
      </c>
      <c r="G37" s="82" t="n">
        <v>61491600</v>
      </c>
    </row>
    <row r="38">
      <c r="B38" t="inlineStr">
        <is>
          <t>Financial model — Travidz net (£) — Global Viral</t>
        </is>
      </c>
      <c r="C38" s="82" t="n">
        <v>826500</v>
      </c>
      <c r="D38" s="82" t="n">
        <v>4859820</v>
      </c>
      <c r="E38" s="82" t="n">
        <v>16926720</v>
      </c>
      <c r="F38" s="82" t="n">
        <v>36410080</v>
      </c>
      <c r="G38" s="82" t="n">
        <v>61491600</v>
      </c>
    </row>
    <row r="39">
      <c r="B39" t="inlineStr">
        <is>
          <t>Δ Travidz net (£) — Global Viral</t>
        </is>
      </c>
      <c r="C39" s="80">
        <f>C37-C38</f>
        <v/>
      </c>
      <c r="D39" s="80">
        <f>D37-D38</f>
        <v/>
      </c>
      <c r="E39" s="80">
        <f>E37-E38</f>
        <v/>
      </c>
      <c r="F39" s="80">
        <f>F37-F38</f>
        <v/>
      </c>
      <c r="G39" s="80">
        <f>G37-G38</f>
        <v/>
      </c>
      <c r="H39" s="83">
        <f>IF(SUMPRODUCT(ABS(C39:G39))&lt;200000,"PASS","REVIEW")</f>
        <v/>
      </c>
    </row>
    <row r="41">
      <c r="B41" t="inlineStr">
        <is>
          <t>Workbook — blended take rate — Global Viral</t>
        </is>
      </c>
      <c r="C41" s="82" t="n">
        <v>0.05</v>
      </c>
      <c r="D41" s="82" t="n">
        <v>0.049</v>
      </c>
      <c r="E41" s="82" t="n">
        <v>0.048</v>
      </c>
      <c r="F41" s="82" t="n">
        <v>0.0472</v>
      </c>
      <c r="G41" s="82" t="n">
        <v>0.0465</v>
      </c>
    </row>
    <row r="42">
      <c r="B42" t="inlineStr">
        <is>
          <t>Financial model — blended take rate — Global Viral</t>
        </is>
      </c>
      <c r="C42" s="82" t="n">
        <v>0.05</v>
      </c>
      <c r="D42" s="82" t="n">
        <v>0.049</v>
      </c>
      <c r="E42" s="82" t="n">
        <v>0.048</v>
      </c>
      <c r="F42" s="82" t="n">
        <v>0.0472</v>
      </c>
      <c r="G42" s="82" t="n">
        <v>0.0465</v>
      </c>
    </row>
    <row r="43">
      <c r="B43" t="inlineStr">
        <is>
          <t>Δ blended take rate — Global Viral</t>
        </is>
      </c>
      <c r="C43" s="80">
        <f>C41-C42</f>
        <v/>
      </c>
      <c r="D43" s="80">
        <f>D41-D42</f>
        <v/>
      </c>
      <c r="E43" s="80">
        <f>E41-E42</f>
        <v/>
      </c>
      <c r="F43" s="80">
        <f>F41-F42</f>
        <v/>
      </c>
      <c r="G43" s="80">
        <f>G41-G42</f>
        <v/>
      </c>
      <c r="H43" s="83">
        <f>IF(SUMPRODUCT(ABS(C43:G43))&lt;0.001,"PASS","REVIEW")</f>
        <v/>
      </c>
    </row>
  </sheetData>
  <mergeCells count="1">
    <mergeCell ref="B23:H23"/>
  </mergeCells>
  <printOptions horizontalCentered="1"/>
  <pageMargins left="0.3" right="0.3" top="0.4" bottom="0.4" header="0.5" footer="0.5"/>
  <pageSetup orientation="landscape" paperSize="9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2026-05-17T21:59:45Z</dcterms:created>
  <dcterms:modified xmlns:dcterms="http://purl.org/dc/terms/" xmlns:xsi="http://www.w3.org/2001/XMLSchema-instance" xsi:type="dcterms:W3CDTF">2026-05-22T06:30:22Z</dcterms:modified>
  <cp:lastModifiedBy>Brendan Mcguigan</cp:lastModifiedBy>
</cp:coreProperties>
</file>